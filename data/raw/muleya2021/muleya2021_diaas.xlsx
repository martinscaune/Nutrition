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https://uniofnottm-my.sharepoint.com/personal/molly_muleya_nottingham_ac_uk/Documents/research work/Future Protein work/"/>
    </mc:Choice>
  </mc:AlternateContent>
  <xr:revisionPtr revIDLastSave="1" documentId="8_{AA6C2312-4AD9-41F0-866E-94407E52FB0E}" xr6:coauthVersionLast="47" xr6:coauthVersionMax="47" xr10:uidLastSave="{6688F1C6-A7A4-4A34-B566-22C79CB00469}"/>
  <bookViews>
    <workbookView xWindow="25080" yWindow="-120" windowWidth="19440" windowHeight="15000" xr2:uid="{00000000-000D-0000-FFFF-FFFF00000000}"/>
  </bookViews>
  <sheets>
    <sheet name="Intro" sheetId="8" r:id="rId1"/>
    <sheet name="IAA digestibility" sheetId="1" r:id="rId2"/>
    <sheet name="Total and digestible IAA" sheetId="4" r:id="rId3"/>
    <sheet name="DIAAS (birth to 6 months)" sheetId="5" r:id="rId4"/>
    <sheet name="DIAAS (6 months to 3 yrs)" sheetId="6" r:id="rId5"/>
    <sheet name="DIAAS (older child, adolescent," sheetId="7" r:id="rId6"/>
    <sheet name="Info"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4" i="1" l="1"/>
  <c r="F263" i="1"/>
  <c r="O288" i="1"/>
  <c r="O289" i="1"/>
  <c r="O290" i="1"/>
  <c r="O291" i="1"/>
  <c r="AD291" i="4" s="1"/>
  <c r="O292" i="1"/>
  <c r="O287" i="1"/>
  <c r="G286" i="1"/>
  <c r="G285" i="1"/>
  <c r="F284" i="1"/>
  <c r="F283" i="1"/>
  <c r="V274" i="4"/>
  <c r="W274" i="4"/>
  <c r="X274" i="4"/>
  <c r="Y274" i="4"/>
  <c r="AK274" i="4" s="1"/>
  <c r="Z274" i="4"/>
  <c r="AA274" i="4"/>
  <c r="AB274" i="4"/>
  <c r="AC274" i="4"/>
  <c r="AD274" i="4"/>
  <c r="AE274" i="4"/>
  <c r="AF274" i="4"/>
  <c r="V275" i="4"/>
  <c r="AH275" i="4" s="1"/>
  <c r="W275" i="4"/>
  <c r="X275" i="4"/>
  <c r="Y275" i="4"/>
  <c r="Z275" i="4"/>
  <c r="AL275" i="4" s="1"/>
  <c r="AA275" i="4"/>
  <c r="AB275" i="4"/>
  <c r="AC275" i="4"/>
  <c r="AD275" i="4"/>
  <c r="AE275" i="4"/>
  <c r="AF275" i="4"/>
  <c r="V276" i="4"/>
  <c r="W276" i="4"/>
  <c r="AI276" i="4" s="1"/>
  <c r="D276" i="5" s="1"/>
  <c r="X276" i="4"/>
  <c r="Y276" i="4"/>
  <c r="Z276" i="4"/>
  <c r="AA276" i="4"/>
  <c r="AB276" i="4"/>
  <c r="AC276" i="4"/>
  <c r="AD276" i="4"/>
  <c r="AE276" i="4"/>
  <c r="AO276" i="4" s="1"/>
  <c r="AF276" i="4"/>
  <c r="V277" i="4"/>
  <c r="W277" i="4"/>
  <c r="X277" i="4"/>
  <c r="AJ277" i="4" s="1"/>
  <c r="Y277" i="4"/>
  <c r="Z277" i="4"/>
  <c r="AA277" i="4"/>
  <c r="AB277" i="4"/>
  <c r="AC277" i="4"/>
  <c r="AD277" i="4"/>
  <c r="AE277" i="4"/>
  <c r="AF277" i="4"/>
  <c r="AP277" i="4" s="1"/>
  <c r="V278" i="4"/>
  <c r="W278" i="4"/>
  <c r="X278" i="4"/>
  <c r="Y278" i="4"/>
  <c r="AK278" i="4" s="1"/>
  <c r="Z278" i="4"/>
  <c r="AA278" i="4"/>
  <c r="AB278" i="4"/>
  <c r="AC278" i="4"/>
  <c r="AD278" i="4"/>
  <c r="AE278" i="4"/>
  <c r="AF278" i="4"/>
  <c r="V279" i="4"/>
  <c r="W279" i="4"/>
  <c r="X279" i="4"/>
  <c r="Y279" i="4"/>
  <c r="Z279" i="4"/>
  <c r="AL279" i="4" s="1"/>
  <c r="AA279" i="4"/>
  <c r="AB279" i="4"/>
  <c r="AC279" i="4"/>
  <c r="AD279" i="4"/>
  <c r="AE279" i="4"/>
  <c r="AF279" i="4"/>
  <c r="V280" i="4"/>
  <c r="W280" i="4"/>
  <c r="AI280" i="4" s="1"/>
  <c r="D280" i="5" s="1"/>
  <c r="X280" i="4"/>
  <c r="Y280" i="4"/>
  <c r="Z280" i="4"/>
  <c r="AA280" i="4"/>
  <c r="AB280" i="4"/>
  <c r="AC280" i="4"/>
  <c r="AD280" i="4"/>
  <c r="AE280" i="4"/>
  <c r="AO280" i="4" s="1"/>
  <c r="J280" i="5" s="1"/>
  <c r="AF280" i="4"/>
  <c r="V281" i="4"/>
  <c r="W281" i="4"/>
  <c r="X281" i="4"/>
  <c r="AJ281" i="4" s="1"/>
  <c r="Y281" i="4"/>
  <c r="Z281" i="4"/>
  <c r="AA281" i="4"/>
  <c r="AB281" i="4"/>
  <c r="AC281" i="4"/>
  <c r="AD281" i="4"/>
  <c r="AE281" i="4"/>
  <c r="AF281" i="4"/>
  <c r="AP281" i="4" s="1"/>
  <c r="V282" i="4"/>
  <c r="W282" i="4"/>
  <c r="X282" i="4"/>
  <c r="Y282" i="4"/>
  <c r="AK282" i="4" s="1"/>
  <c r="Z282" i="4"/>
  <c r="AA282" i="4"/>
  <c r="AB282" i="4"/>
  <c r="AC282" i="4"/>
  <c r="AD282" i="4"/>
  <c r="AE282" i="4"/>
  <c r="AF282" i="4"/>
  <c r="W283" i="4"/>
  <c r="X283" i="4"/>
  <c r="Y283" i="4"/>
  <c r="AK283" i="4" s="1"/>
  <c r="Z283" i="4"/>
  <c r="AL283" i="4" s="1"/>
  <c r="AA283" i="4"/>
  <c r="AB283" i="4"/>
  <c r="AC283" i="4"/>
  <c r="AD283" i="4"/>
  <c r="AE283" i="4"/>
  <c r="AO283" i="4" s="1"/>
  <c r="AF283" i="4"/>
  <c r="W284" i="4"/>
  <c r="AI284" i="4" s="1"/>
  <c r="D284" i="5" s="1"/>
  <c r="X284" i="4"/>
  <c r="AJ284" i="4" s="1"/>
  <c r="Y284" i="4"/>
  <c r="Z284" i="4"/>
  <c r="AL284" i="4" s="1"/>
  <c r="AA284" i="4"/>
  <c r="AB284" i="4"/>
  <c r="AC284" i="4"/>
  <c r="AD284" i="4"/>
  <c r="AE284" i="4"/>
  <c r="AO284" i="4" s="1"/>
  <c r="J284" i="5" s="1"/>
  <c r="AF284" i="4"/>
  <c r="W285" i="4"/>
  <c r="X285" i="4"/>
  <c r="AJ285" i="4" s="1"/>
  <c r="Y285" i="4"/>
  <c r="Z285" i="4"/>
  <c r="AA285" i="4"/>
  <c r="AB285" i="4"/>
  <c r="AC285" i="4"/>
  <c r="AD285" i="4"/>
  <c r="AE285" i="4"/>
  <c r="AF285" i="4"/>
  <c r="AP285" i="4" s="1"/>
  <c r="W286" i="4"/>
  <c r="AI286" i="4" s="1"/>
  <c r="D286" i="7" s="1"/>
  <c r="X286" i="4"/>
  <c r="Y286" i="4"/>
  <c r="AK286" i="4" s="1"/>
  <c r="Z286" i="4"/>
  <c r="AL286" i="4" s="1"/>
  <c r="AA286" i="4"/>
  <c r="AB286" i="4"/>
  <c r="AC286" i="4"/>
  <c r="AN286" i="4" s="1"/>
  <c r="AD286" i="4"/>
  <c r="AE286" i="4"/>
  <c r="AF286" i="4"/>
  <c r="V287" i="4"/>
  <c r="AH287" i="4" s="1"/>
  <c r="W287" i="4"/>
  <c r="AI287" i="4" s="1"/>
  <c r="X287" i="4"/>
  <c r="AJ287" i="4" s="1"/>
  <c r="Y287" i="4"/>
  <c r="Z287" i="4"/>
  <c r="AL287" i="4" s="1"/>
  <c r="AA287" i="4"/>
  <c r="AB287" i="4"/>
  <c r="AC287" i="4"/>
  <c r="AD287" i="4"/>
  <c r="AE287" i="4"/>
  <c r="AO287" i="4" s="1"/>
  <c r="AF287" i="4"/>
  <c r="V288" i="4"/>
  <c r="AH288" i="4" s="1"/>
  <c r="W288" i="4"/>
  <c r="AI288" i="4" s="1"/>
  <c r="X288" i="4"/>
  <c r="Y288" i="4"/>
  <c r="Z288" i="4"/>
  <c r="AL288" i="4" s="1"/>
  <c r="AA288" i="4"/>
  <c r="AB288" i="4"/>
  <c r="AC288" i="4"/>
  <c r="AN288" i="4" s="1"/>
  <c r="AD288" i="4"/>
  <c r="AE288" i="4"/>
  <c r="AO288" i="4" s="1"/>
  <c r="J288" i="5" s="1"/>
  <c r="AF288" i="4"/>
  <c r="AP288" i="4" s="1"/>
  <c r="K288" i="5" s="1"/>
  <c r="V289" i="4"/>
  <c r="W289" i="4"/>
  <c r="AI289" i="4" s="1"/>
  <c r="X289" i="4"/>
  <c r="AJ289" i="4" s="1"/>
  <c r="Y289" i="4"/>
  <c r="Z289" i="4"/>
  <c r="AA289" i="4"/>
  <c r="AB289" i="4"/>
  <c r="AC289" i="4"/>
  <c r="AD289" i="4"/>
  <c r="AE289" i="4"/>
  <c r="AO289" i="4" s="1"/>
  <c r="AF289" i="4"/>
  <c r="AP289" i="4" s="1"/>
  <c r="V290" i="4"/>
  <c r="W290" i="4"/>
  <c r="X290" i="4"/>
  <c r="AJ290" i="4" s="1"/>
  <c r="E290" i="5" s="1"/>
  <c r="Y290" i="4"/>
  <c r="AK290" i="4" s="1"/>
  <c r="F290" i="5" s="1"/>
  <c r="Z290" i="4"/>
  <c r="AA290" i="4"/>
  <c r="AB290" i="4"/>
  <c r="AC290" i="4"/>
  <c r="AD290" i="4"/>
  <c r="AE290" i="4"/>
  <c r="AF290" i="4"/>
  <c r="AP290" i="4" s="1"/>
  <c r="V291" i="4"/>
  <c r="AH291" i="4" s="1"/>
  <c r="C291" i="5" s="1"/>
  <c r="W291" i="4"/>
  <c r="X291" i="4"/>
  <c r="Y291" i="4"/>
  <c r="AK291" i="4" s="1"/>
  <c r="Z291" i="4"/>
  <c r="AL291" i="4" s="1"/>
  <c r="AA291" i="4"/>
  <c r="AB291" i="4"/>
  <c r="AC291" i="4"/>
  <c r="AE291" i="4"/>
  <c r="AO291" i="4" s="1"/>
  <c r="AF291" i="4"/>
  <c r="AP291" i="4" s="1"/>
  <c r="K291" i="5" s="1"/>
  <c r="V292" i="4"/>
  <c r="AH292" i="4" s="1"/>
  <c r="W292" i="4"/>
  <c r="AI292" i="4" s="1"/>
  <c r="X292" i="4"/>
  <c r="AJ292" i="4" s="1"/>
  <c r="Y292" i="4"/>
  <c r="AK292" i="4" s="1"/>
  <c r="F292" i="7" s="1"/>
  <c r="Z292" i="4"/>
  <c r="AL292" i="4" s="1"/>
  <c r="AA292" i="4"/>
  <c r="AB292" i="4"/>
  <c r="AC292" i="4"/>
  <c r="AN292" i="4" s="1"/>
  <c r="AD292" i="4"/>
  <c r="AE292" i="4"/>
  <c r="AO292" i="4" s="1"/>
  <c r="J292" i="5" s="1"/>
  <c r="AF292" i="4"/>
  <c r="AK275" i="4"/>
  <c r="AH276" i="4"/>
  <c r="AL276" i="4"/>
  <c r="AI277" i="4"/>
  <c r="AO277" i="4"/>
  <c r="AJ278" i="4"/>
  <c r="AP278" i="4"/>
  <c r="AK279" i="4"/>
  <c r="AH280" i="4"/>
  <c r="AL280" i="4"/>
  <c r="AI281" i="4"/>
  <c r="AO281" i="4"/>
  <c r="AJ282" i="4"/>
  <c r="AP282" i="4"/>
  <c r="AN284" i="4"/>
  <c r="AI285" i="4"/>
  <c r="AP286" i="4"/>
  <c r="AK287" i="4"/>
  <c r="F275" i="1"/>
  <c r="F276" i="1"/>
  <c r="F277" i="1"/>
  <c r="F278" i="1"/>
  <c r="F279" i="1"/>
  <c r="F280" i="1"/>
  <c r="F281" i="1"/>
  <c r="F282" i="1"/>
  <c r="F274" i="1"/>
  <c r="AH267" i="4"/>
  <c r="AI267" i="4"/>
  <c r="AL267" i="4"/>
  <c r="AP267" i="4"/>
  <c r="AO268" i="4"/>
  <c r="AP268" i="4"/>
  <c r="AJ269" i="4"/>
  <c r="AK269" i="4"/>
  <c r="AM270" i="4"/>
  <c r="AN270" i="4"/>
  <c r="AH271" i="4"/>
  <c r="C271" i="7" s="1"/>
  <c r="AI271" i="4"/>
  <c r="AL271" i="4"/>
  <c r="AO272" i="4"/>
  <c r="AP272" i="4"/>
  <c r="AJ273" i="4"/>
  <c r="AK273" i="4"/>
  <c r="AI283" i="4"/>
  <c r="D283" i="5" s="1"/>
  <c r="AJ283" i="4"/>
  <c r="AM283" i="4"/>
  <c r="AK284" i="4"/>
  <c r="AK285" i="4"/>
  <c r="AL285" i="4"/>
  <c r="AN285" i="4"/>
  <c r="AO285" i="4"/>
  <c r="AJ286" i="4"/>
  <c r="AO286" i="4"/>
  <c r="AM287" i="4"/>
  <c r="H287" i="6" s="1"/>
  <c r="AP287" i="4"/>
  <c r="K287" i="5" s="1"/>
  <c r="AJ288" i="4"/>
  <c r="AK288" i="4"/>
  <c r="AH289" i="4"/>
  <c r="AK289" i="4"/>
  <c r="AL289" i="4"/>
  <c r="AN289" i="4"/>
  <c r="AH290" i="4"/>
  <c r="AI290" i="4"/>
  <c r="AL290" i="4"/>
  <c r="G290" i="5" s="1"/>
  <c r="AO290" i="4"/>
  <c r="AI291" i="4"/>
  <c r="D291" i="5" s="1"/>
  <c r="AJ291" i="4"/>
  <c r="E291" i="5" s="1"/>
  <c r="AP292" i="4"/>
  <c r="K292" i="5" s="1"/>
  <c r="AL266" i="4"/>
  <c r="AI266" i="4"/>
  <c r="AH266" i="4"/>
  <c r="C266" i="5" s="1"/>
  <c r="V267" i="4"/>
  <c r="W267" i="4"/>
  <c r="X267" i="4"/>
  <c r="AJ267" i="4" s="1"/>
  <c r="Y267" i="4"/>
  <c r="AK267" i="4" s="1"/>
  <c r="Z267" i="4"/>
  <c r="AA267" i="4"/>
  <c r="AB267" i="4"/>
  <c r="AM267" i="4" s="1"/>
  <c r="AC267" i="4"/>
  <c r="AN267" i="4" s="1"/>
  <c r="AD267" i="4"/>
  <c r="AE267" i="4"/>
  <c r="AO267" i="4" s="1"/>
  <c r="J267" i="7" s="1"/>
  <c r="AF267" i="4"/>
  <c r="V268" i="4"/>
  <c r="AH268" i="4" s="1"/>
  <c r="W268" i="4"/>
  <c r="AI268" i="4" s="1"/>
  <c r="D268" i="7" s="1"/>
  <c r="X268" i="4"/>
  <c r="AJ268" i="4" s="1"/>
  <c r="E268" i="7" s="1"/>
  <c r="Y268" i="4"/>
  <c r="AK268" i="4" s="1"/>
  <c r="Z268" i="4"/>
  <c r="AL268" i="4" s="1"/>
  <c r="AA268" i="4"/>
  <c r="AM268" i="4" s="1"/>
  <c r="AB268" i="4"/>
  <c r="AC268" i="4"/>
  <c r="AN268" i="4" s="1"/>
  <c r="AD268" i="4"/>
  <c r="AE268" i="4"/>
  <c r="AF268" i="4"/>
  <c r="V269" i="4"/>
  <c r="AH269" i="4" s="1"/>
  <c r="W269" i="4"/>
  <c r="AI269" i="4" s="1"/>
  <c r="X269" i="4"/>
  <c r="Y269" i="4"/>
  <c r="Z269" i="4"/>
  <c r="AL269" i="4" s="1"/>
  <c r="AA269" i="4"/>
  <c r="AM269" i="4" s="1"/>
  <c r="AB269" i="4"/>
  <c r="AC269" i="4"/>
  <c r="AD269" i="4"/>
  <c r="AN269" i="4" s="1"/>
  <c r="AE269" i="4"/>
  <c r="AO269" i="4" s="1"/>
  <c r="AF269" i="4"/>
  <c r="AP269" i="4" s="1"/>
  <c r="V270" i="4"/>
  <c r="AH270" i="4" s="1"/>
  <c r="C270" i="7" s="1"/>
  <c r="W270" i="4"/>
  <c r="AI270" i="4" s="1"/>
  <c r="X270" i="4"/>
  <c r="AJ270" i="4" s="1"/>
  <c r="Y270" i="4"/>
  <c r="AK270" i="4" s="1"/>
  <c r="F270" i="7" s="1"/>
  <c r="Z270" i="4"/>
  <c r="AL270" i="4" s="1"/>
  <c r="G270" i="7" s="1"/>
  <c r="AA270" i="4"/>
  <c r="AB270" i="4"/>
  <c r="AC270" i="4"/>
  <c r="AD270" i="4"/>
  <c r="AE270" i="4"/>
  <c r="AO270" i="4" s="1"/>
  <c r="AF270" i="4"/>
  <c r="AP270" i="4" s="1"/>
  <c r="V271" i="4"/>
  <c r="W271" i="4"/>
  <c r="X271" i="4"/>
  <c r="AJ271" i="4" s="1"/>
  <c r="Y271" i="4"/>
  <c r="AK271" i="4" s="1"/>
  <c r="Z271" i="4"/>
  <c r="AA271" i="4"/>
  <c r="AB271" i="4"/>
  <c r="AM271" i="4" s="1"/>
  <c r="AC271" i="4"/>
  <c r="AN271" i="4" s="1"/>
  <c r="AD271" i="4"/>
  <c r="AE271" i="4"/>
  <c r="AO271" i="4" s="1"/>
  <c r="J271" i="5" s="1"/>
  <c r="AF271" i="4"/>
  <c r="AP271" i="4" s="1"/>
  <c r="V272" i="4"/>
  <c r="AH272" i="4" s="1"/>
  <c r="W272" i="4"/>
  <c r="AI272" i="4" s="1"/>
  <c r="D272" i="5" s="1"/>
  <c r="X272" i="4"/>
  <c r="AJ272" i="4" s="1"/>
  <c r="Y272" i="4"/>
  <c r="AK272" i="4" s="1"/>
  <c r="Z272" i="4"/>
  <c r="AL272" i="4" s="1"/>
  <c r="AA272" i="4"/>
  <c r="AM272" i="4" s="1"/>
  <c r="AB272" i="4"/>
  <c r="AC272" i="4"/>
  <c r="AN272" i="4" s="1"/>
  <c r="AD272" i="4"/>
  <c r="AE272" i="4"/>
  <c r="AF272" i="4"/>
  <c r="V273" i="4"/>
  <c r="AH273" i="4" s="1"/>
  <c r="W273" i="4"/>
  <c r="AI273" i="4" s="1"/>
  <c r="X273" i="4"/>
  <c r="Y273" i="4"/>
  <c r="Z273" i="4"/>
  <c r="AL273" i="4" s="1"/>
  <c r="AA273" i="4"/>
  <c r="AM273" i="4" s="1"/>
  <c r="AB273" i="4"/>
  <c r="AC273" i="4"/>
  <c r="AD273" i="4"/>
  <c r="AN273" i="4" s="1"/>
  <c r="AE273" i="4"/>
  <c r="AO273" i="4" s="1"/>
  <c r="AF273" i="4"/>
  <c r="AP273" i="4" s="1"/>
  <c r="AH274" i="4"/>
  <c r="AI274" i="4"/>
  <c r="AJ274" i="4"/>
  <c r="AL274" i="4"/>
  <c r="G274" i="7" s="1"/>
  <c r="AO274" i="4"/>
  <c r="AP274" i="4"/>
  <c r="AI275" i="4"/>
  <c r="AJ275" i="4"/>
  <c r="AO275" i="4"/>
  <c r="AP275" i="4"/>
  <c r="AJ276" i="4"/>
  <c r="AK276" i="4"/>
  <c r="AP276" i="4"/>
  <c r="AH277" i="4"/>
  <c r="AK277" i="4"/>
  <c r="AL277" i="4"/>
  <c r="AH278" i="4"/>
  <c r="AI278" i="4"/>
  <c r="D278" i="5" s="1"/>
  <c r="AL278" i="4"/>
  <c r="AO278" i="4"/>
  <c r="AH279" i="4"/>
  <c r="AI279" i="4"/>
  <c r="D279" i="7" s="1"/>
  <c r="AJ279" i="4"/>
  <c r="AO279" i="4"/>
  <c r="AP279" i="4"/>
  <c r="AJ280" i="4"/>
  <c r="AK280" i="4"/>
  <c r="F280" i="5" s="1"/>
  <c r="AP280" i="4"/>
  <c r="AH281" i="4"/>
  <c r="AK281" i="4"/>
  <c r="AL281" i="4"/>
  <c r="AH282" i="4"/>
  <c r="AI282" i="4"/>
  <c r="D282" i="7" s="1"/>
  <c r="AL282" i="4"/>
  <c r="AO282" i="4"/>
  <c r="J282" i="5" s="1"/>
  <c r="AF266" i="4"/>
  <c r="AP266" i="4" s="1"/>
  <c r="K266" i="5" s="1"/>
  <c r="AE266" i="4"/>
  <c r="AO266" i="4" s="1"/>
  <c r="AD266" i="4"/>
  <c r="AC266" i="4"/>
  <c r="AN266" i="4" s="1"/>
  <c r="AB266" i="4"/>
  <c r="AM266" i="4" s="1"/>
  <c r="AA266" i="4"/>
  <c r="Z266" i="4"/>
  <c r="Y266" i="4"/>
  <c r="X266" i="4"/>
  <c r="AJ266" i="4" s="1"/>
  <c r="W266" i="4"/>
  <c r="V266" i="4"/>
  <c r="F267" i="1"/>
  <c r="F268" i="1"/>
  <c r="F269" i="1"/>
  <c r="F270" i="1"/>
  <c r="F271" i="1"/>
  <c r="F272" i="1"/>
  <c r="F273" i="1"/>
  <c r="F266" i="1"/>
  <c r="A271" i="7"/>
  <c r="B271" i="7"/>
  <c r="A272" i="7"/>
  <c r="B272" i="7"/>
  <c r="A273" i="7"/>
  <c r="B273" i="7"/>
  <c r="A274" i="7"/>
  <c r="B274" i="7"/>
  <c r="A275" i="7"/>
  <c r="B275" i="7"/>
  <c r="A276" i="7"/>
  <c r="B276" i="7"/>
  <c r="A277" i="7"/>
  <c r="B277" i="7"/>
  <c r="A278" i="7"/>
  <c r="B278" i="7"/>
  <c r="A279" i="7"/>
  <c r="B279" i="7"/>
  <c r="A280" i="7"/>
  <c r="B280" i="7"/>
  <c r="A281" i="7"/>
  <c r="B281" i="7"/>
  <c r="A282" i="7"/>
  <c r="B282" i="7"/>
  <c r="A283" i="7"/>
  <c r="B283" i="7"/>
  <c r="A284" i="7"/>
  <c r="B284" i="7"/>
  <c r="A285" i="7"/>
  <c r="B285" i="7"/>
  <c r="A286" i="7"/>
  <c r="B286" i="7"/>
  <c r="A287" i="7"/>
  <c r="B287" i="7"/>
  <c r="A288" i="7"/>
  <c r="B288" i="7"/>
  <c r="A289" i="7"/>
  <c r="B289" i="7"/>
  <c r="A290" i="7"/>
  <c r="B290" i="7"/>
  <c r="A291" i="7"/>
  <c r="B291" i="7"/>
  <c r="A292" i="7"/>
  <c r="B292" i="7"/>
  <c r="A271" i="6"/>
  <c r="B271" i="6"/>
  <c r="A272" i="6"/>
  <c r="B272" i="6"/>
  <c r="A273" i="6"/>
  <c r="B273" i="6"/>
  <c r="A274" i="6"/>
  <c r="B274" i="6"/>
  <c r="A275" i="6"/>
  <c r="B275" i="6"/>
  <c r="A276" i="6"/>
  <c r="B276" i="6"/>
  <c r="A277" i="6"/>
  <c r="B277" i="6"/>
  <c r="A278" i="6"/>
  <c r="B278" i="6"/>
  <c r="A279" i="6"/>
  <c r="B279" i="6"/>
  <c r="A280" i="6"/>
  <c r="B280" i="6"/>
  <c r="A281" i="6"/>
  <c r="B281" i="6"/>
  <c r="A282" i="6"/>
  <c r="B282" i="6"/>
  <c r="A283" i="6"/>
  <c r="B283" i="6"/>
  <c r="A284" i="6"/>
  <c r="B284" i="6"/>
  <c r="A285" i="6"/>
  <c r="B285" i="6"/>
  <c r="A286" i="6"/>
  <c r="B286" i="6"/>
  <c r="A287" i="6"/>
  <c r="B287" i="6"/>
  <c r="A288" i="6"/>
  <c r="B288" i="6"/>
  <c r="A289" i="6"/>
  <c r="B289" i="6"/>
  <c r="A290" i="6"/>
  <c r="B290" i="6"/>
  <c r="A291" i="6"/>
  <c r="B291" i="6"/>
  <c r="A292" i="6"/>
  <c r="B292" i="6"/>
  <c r="J286" i="5"/>
  <c r="C290" i="5"/>
  <c r="A271" i="5"/>
  <c r="B271" i="5"/>
  <c r="A272" i="5"/>
  <c r="B272" i="5"/>
  <c r="A273" i="5"/>
  <c r="B273" i="5"/>
  <c r="A274" i="5"/>
  <c r="B274" i="5"/>
  <c r="A275" i="5"/>
  <c r="B275" i="5"/>
  <c r="A276" i="5"/>
  <c r="B276" i="5"/>
  <c r="A277" i="5"/>
  <c r="B277" i="5"/>
  <c r="A278" i="5"/>
  <c r="B278" i="5"/>
  <c r="A279" i="5"/>
  <c r="B279" i="5"/>
  <c r="A280" i="5"/>
  <c r="B280" i="5"/>
  <c r="A281" i="5"/>
  <c r="B281" i="5"/>
  <c r="A282" i="5"/>
  <c r="B282" i="5"/>
  <c r="A283" i="5"/>
  <c r="B283" i="5"/>
  <c r="A284" i="5"/>
  <c r="B284" i="5"/>
  <c r="A285" i="5"/>
  <c r="B285" i="5"/>
  <c r="A286" i="5"/>
  <c r="B286" i="5"/>
  <c r="A287" i="5"/>
  <c r="B287" i="5"/>
  <c r="A288" i="5"/>
  <c r="B288" i="5"/>
  <c r="A289" i="5"/>
  <c r="B289" i="5"/>
  <c r="A290" i="5"/>
  <c r="B290" i="5"/>
  <c r="A291" i="5"/>
  <c r="B291" i="5"/>
  <c r="A292" i="5"/>
  <c r="B292" i="5"/>
  <c r="F288" i="7"/>
  <c r="D290" i="7"/>
  <c r="C269" i="4"/>
  <c r="C270" i="4"/>
  <c r="C271" i="4"/>
  <c r="C272" i="4"/>
  <c r="C273" i="4"/>
  <c r="A271" i="4"/>
  <c r="B271" i="4"/>
  <c r="A272" i="4"/>
  <c r="B272" i="4"/>
  <c r="A273" i="4"/>
  <c r="B273" i="4"/>
  <c r="A274" i="4"/>
  <c r="B274" i="4"/>
  <c r="A275" i="4"/>
  <c r="B275" i="4"/>
  <c r="A276" i="4"/>
  <c r="B276" i="4"/>
  <c r="A277" i="4"/>
  <c r="B277" i="4"/>
  <c r="A278" i="4"/>
  <c r="B278" i="4"/>
  <c r="A279" i="4"/>
  <c r="B279" i="4"/>
  <c r="A280" i="4"/>
  <c r="B280" i="4"/>
  <c r="A281" i="4"/>
  <c r="B281" i="4"/>
  <c r="A282" i="4"/>
  <c r="B282" i="4"/>
  <c r="A283" i="4"/>
  <c r="B283" i="4"/>
  <c r="A284" i="4"/>
  <c r="B284" i="4"/>
  <c r="A285" i="4"/>
  <c r="B285" i="4"/>
  <c r="A286" i="4"/>
  <c r="B286" i="4"/>
  <c r="A287" i="4"/>
  <c r="B287" i="4"/>
  <c r="A288" i="4"/>
  <c r="B288" i="4"/>
  <c r="A289" i="4"/>
  <c r="B289" i="4"/>
  <c r="A290" i="4"/>
  <c r="B290" i="4"/>
  <c r="A291" i="4"/>
  <c r="B291" i="4"/>
  <c r="A292" i="4"/>
  <c r="B292" i="4"/>
  <c r="A265" i="5"/>
  <c r="B265" i="5"/>
  <c r="A266" i="5"/>
  <c r="B266" i="5"/>
  <c r="A267" i="5"/>
  <c r="B267" i="5"/>
  <c r="A268" i="5"/>
  <c r="B268" i="5"/>
  <c r="A269" i="5"/>
  <c r="B269" i="5"/>
  <c r="A270" i="5"/>
  <c r="B270" i="5"/>
  <c r="A265" i="6"/>
  <c r="B265" i="6"/>
  <c r="A266" i="6"/>
  <c r="B266" i="6"/>
  <c r="A267" i="6"/>
  <c r="B267" i="6"/>
  <c r="A268" i="6"/>
  <c r="B268" i="6"/>
  <c r="A269" i="6"/>
  <c r="B269" i="6"/>
  <c r="A270" i="6"/>
  <c r="B270" i="6"/>
  <c r="B265" i="7"/>
  <c r="B266" i="7"/>
  <c r="B267" i="7"/>
  <c r="B268" i="7"/>
  <c r="B269" i="7"/>
  <c r="B270" i="7"/>
  <c r="A265" i="7"/>
  <c r="A266" i="7"/>
  <c r="A267" i="7"/>
  <c r="A268" i="7"/>
  <c r="A269" i="7"/>
  <c r="A270" i="7"/>
  <c r="B266" i="4"/>
  <c r="B267" i="4"/>
  <c r="B268" i="4"/>
  <c r="B269" i="4"/>
  <c r="B270" i="4"/>
  <c r="A266" i="4"/>
  <c r="A267" i="4"/>
  <c r="A268" i="4"/>
  <c r="A269" i="4"/>
  <c r="A270" i="4"/>
  <c r="A265" i="4"/>
  <c r="A255" i="7"/>
  <c r="A256" i="7"/>
  <c r="A257" i="7"/>
  <c r="A258" i="7"/>
  <c r="A259" i="7"/>
  <c r="A260" i="7"/>
  <c r="A261" i="7"/>
  <c r="A262" i="7"/>
  <c r="A263" i="7"/>
  <c r="A264" i="7"/>
  <c r="B255" i="7"/>
  <c r="B256" i="7"/>
  <c r="B257" i="7"/>
  <c r="B258" i="7"/>
  <c r="B259" i="7"/>
  <c r="B260" i="7"/>
  <c r="B261" i="7"/>
  <c r="B262" i="7"/>
  <c r="B263" i="7"/>
  <c r="B264" i="7"/>
  <c r="AH252" i="4"/>
  <c r="C252" i="5" s="1"/>
  <c r="V251" i="4"/>
  <c r="AH251" i="4" s="1"/>
  <c r="W251" i="4"/>
  <c r="AI251" i="4" s="1"/>
  <c r="X251" i="4"/>
  <c r="AJ251" i="4" s="1"/>
  <c r="Y251" i="4"/>
  <c r="AK251" i="4" s="1"/>
  <c r="Z251" i="4"/>
  <c r="AL251" i="4" s="1"/>
  <c r="AA251" i="4"/>
  <c r="AM251" i="4" s="1"/>
  <c r="AB251" i="4"/>
  <c r="AC251" i="4"/>
  <c r="AD251" i="4"/>
  <c r="AE251" i="4"/>
  <c r="AO251" i="4" s="1"/>
  <c r="AF251" i="4"/>
  <c r="AP251" i="4" s="1"/>
  <c r="V252" i="4"/>
  <c r="W252" i="4"/>
  <c r="AI252" i="4" s="1"/>
  <c r="X252" i="4"/>
  <c r="AJ252" i="4" s="1"/>
  <c r="E252" i="5" s="1"/>
  <c r="Y252" i="4"/>
  <c r="AK252" i="4" s="1"/>
  <c r="F252" i="5" s="1"/>
  <c r="Z252" i="4"/>
  <c r="AL252" i="4" s="1"/>
  <c r="G252" i="7" s="1"/>
  <c r="AA252" i="4"/>
  <c r="AB252" i="4"/>
  <c r="AC252" i="4"/>
  <c r="AD252" i="4"/>
  <c r="AE252" i="4"/>
  <c r="AO252" i="4" s="1"/>
  <c r="AF252" i="4"/>
  <c r="AP252" i="4" s="1"/>
  <c r="V260" i="4"/>
  <c r="AH260" i="4" s="1"/>
  <c r="W260" i="4"/>
  <c r="AI260" i="4" s="1"/>
  <c r="X260" i="4"/>
  <c r="AJ260" i="4" s="1"/>
  <c r="Y260" i="4"/>
  <c r="AK260" i="4" s="1"/>
  <c r="Z260" i="4"/>
  <c r="AL260" i="4" s="1"/>
  <c r="AA260" i="4"/>
  <c r="AM260" i="4" s="1"/>
  <c r="AB260" i="4"/>
  <c r="AC260" i="4"/>
  <c r="AD260" i="4"/>
  <c r="AE260" i="4"/>
  <c r="AO260" i="4" s="1"/>
  <c r="AF260" i="4"/>
  <c r="AP260" i="4" s="1"/>
  <c r="V261" i="4"/>
  <c r="AH261" i="4" s="1"/>
  <c r="C261" i="5" s="1"/>
  <c r="W261" i="4"/>
  <c r="AI261" i="4" s="1"/>
  <c r="X261" i="4"/>
  <c r="AJ261" i="4" s="1"/>
  <c r="Y261" i="4"/>
  <c r="AK261" i="4" s="1"/>
  <c r="Z261" i="4"/>
  <c r="AL261" i="4" s="1"/>
  <c r="G261" i="7" s="1"/>
  <c r="AA261" i="4"/>
  <c r="AB261" i="4"/>
  <c r="AC261" i="4"/>
  <c r="AD261" i="4"/>
  <c r="AE261" i="4"/>
  <c r="AO261" i="4" s="1"/>
  <c r="AF261" i="4"/>
  <c r="AP261" i="4" s="1"/>
  <c r="K261" i="7" s="1"/>
  <c r="V262" i="4"/>
  <c r="AH262" i="4" s="1"/>
  <c r="W262" i="4"/>
  <c r="AI262" i="4" s="1"/>
  <c r="X262" i="4"/>
  <c r="AJ262" i="4" s="1"/>
  <c r="E262" i="7" s="1"/>
  <c r="Y262" i="4"/>
  <c r="AK262" i="4" s="1"/>
  <c r="F262" i="7" s="1"/>
  <c r="Z262" i="4"/>
  <c r="AL262" i="4" s="1"/>
  <c r="AA262" i="4"/>
  <c r="AB262" i="4"/>
  <c r="AC262" i="4"/>
  <c r="AD262" i="4"/>
  <c r="AE262" i="4"/>
  <c r="AO262" i="4" s="1"/>
  <c r="AF262" i="4"/>
  <c r="AP262" i="4" s="1"/>
  <c r="D265" i="5"/>
  <c r="I265" i="5"/>
  <c r="G266" i="5"/>
  <c r="K269" i="7"/>
  <c r="A245" i="6"/>
  <c r="B245" i="6"/>
  <c r="A246" i="6"/>
  <c r="B246" i="6"/>
  <c r="A247" i="6"/>
  <c r="B247" i="6"/>
  <c r="A248" i="6"/>
  <c r="B248" i="6"/>
  <c r="A249" i="6"/>
  <c r="B249" i="6"/>
  <c r="A250" i="6"/>
  <c r="B250" i="6"/>
  <c r="A251" i="6"/>
  <c r="B251" i="6"/>
  <c r="A252" i="6"/>
  <c r="B252" i="6"/>
  <c r="A253" i="6"/>
  <c r="B253" i="6"/>
  <c r="A254" i="6"/>
  <c r="B254" i="6"/>
  <c r="A255" i="6"/>
  <c r="B255" i="6"/>
  <c r="A256" i="6"/>
  <c r="B256" i="6"/>
  <c r="A257" i="6"/>
  <c r="B257" i="6"/>
  <c r="A258" i="6"/>
  <c r="B258" i="6"/>
  <c r="A259" i="6"/>
  <c r="B259" i="6"/>
  <c r="A260" i="6"/>
  <c r="B260" i="6"/>
  <c r="A261" i="6"/>
  <c r="B261" i="6"/>
  <c r="A262" i="6"/>
  <c r="B262" i="6"/>
  <c r="A263" i="6"/>
  <c r="B263" i="6"/>
  <c r="A264" i="6"/>
  <c r="B264" i="6"/>
  <c r="A251" i="5"/>
  <c r="B251" i="5"/>
  <c r="A252" i="5"/>
  <c r="B252" i="5"/>
  <c r="A253" i="5"/>
  <c r="B253" i="5"/>
  <c r="A254" i="5"/>
  <c r="B254" i="5"/>
  <c r="A255" i="5"/>
  <c r="B255" i="5"/>
  <c r="A256" i="5"/>
  <c r="B256" i="5"/>
  <c r="A257" i="5"/>
  <c r="B257" i="5"/>
  <c r="A258" i="5"/>
  <c r="B258" i="5"/>
  <c r="A259" i="5"/>
  <c r="B259" i="5"/>
  <c r="A260" i="5"/>
  <c r="B260" i="5"/>
  <c r="A261" i="5"/>
  <c r="B261" i="5"/>
  <c r="A262" i="5"/>
  <c r="B262" i="5"/>
  <c r="A263" i="5"/>
  <c r="B263" i="5"/>
  <c r="A264" i="5"/>
  <c r="B264" i="5"/>
  <c r="A248" i="7"/>
  <c r="B248" i="7"/>
  <c r="A249" i="7"/>
  <c r="B249" i="7"/>
  <c r="A250" i="7"/>
  <c r="B250" i="7"/>
  <c r="A251" i="7"/>
  <c r="B251" i="7"/>
  <c r="A252" i="7"/>
  <c r="B252" i="7"/>
  <c r="A253" i="7"/>
  <c r="B253" i="7"/>
  <c r="A254" i="7"/>
  <c r="B254" i="7"/>
  <c r="A251" i="4"/>
  <c r="B251" i="4"/>
  <c r="C251" i="4"/>
  <c r="A252" i="4"/>
  <c r="B252" i="4"/>
  <c r="C252" i="4"/>
  <c r="A253" i="4"/>
  <c r="B253" i="4"/>
  <c r="C253" i="4"/>
  <c r="A254" i="4"/>
  <c r="B254" i="4"/>
  <c r="C254" i="4"/>
  <c r="A255" i="4"/>
  <c r="B255" i="4"/>
  <c r="C255" i="4"/>
  <c r="A256" i="4"/>
  <c r="B256" i="4"/>
  <c r="C256" i="4"/>
  <c r="A257" i="4"/>
  <c r="B257" i="4"/>
  <c r="C257" i="4"/>
  <c r="A258" i="4"/>
  <c r="B258" i="4"/>
  <c r="C258" i="4"/>
  <c r="A259" i="4"/>
  <c r="B259" i="4"/>
  <c r="C259" i="4"/>
  <c r="A260" i="4"/>
  <c r="B260" i="4"/>
  <c r="C260" i="4"/>
  <c r="A261" i="4"/>
  <c r="B261" i="4"/>
  <c r="C261" i="4"/>
  <c r="A262" i="4"/>
  <c r="B262" i="4"/>
  <c r="C262" i="4"/>
  <c r="A263" i="4"/>
  <c r="B263" i="4"/>
  <c r="C263" i="4"/>
  <c r="A264" i="4"/>
  <c r="B264" i="4"/>
  <c r="C264" i="4"/>
  <c r="B265" i="4"/>
  <c r="C265" i="4"/>
  <c r="C266" i="4"/>
  <c r="C267" i="4"/>
  <c r="C268" i="4"/>
  <c r="L245" i="7"/>
  <c r="L246" i="7"/>
  <c r="A215" i="5"/>
  <c r="B215" i="5"/>
  <c r="A216" i="5"/>
  <c r="B216" i="5"/>
  <c r="A217" i="5"/>
  <c r="B217" i="5"/>
  <c r="A218" i="5"/>
  <c r="B218" i="5"/>
  <c r="A219" i="5"/>
  <c r="B219" i="5"/>
  <c r="A220" i="5"/>
  <c r="B220" i="5"/>
  <c r="A221" i="5"/>
  <c r="B221" i="5"/>
  <c r="A222" i="5"/>
  <c r="B222" i="5"/>
  <c r="A223" i="5"/>
  <c r="B223" i="5"/>
  <c r="A224" i="5"/>
  <c r="B224" i="5"/>
  <c r="A225" i="5"/>
  <c r="B225" i="5"/>
  <c r="A226" i="5"/>
  <c r="B226" i="5"/>
  <c r="A227" i="5"/>
  <c r="B227" i="5"/>
  <c r="A228" i="5"/>
  <c r="B228" i="5"/>
  <c r="A229" i="5"/>
  <c r="B229" i="5"/>
  <c r="A230" i="5"/>
  <c r="B230" i="5"/>
  <c r="A231" i="5"/>
  <c r="B231" i="5"/>
  <c r="A232" i="5"/>
  <c r="B232" i="5"/>
  <c r="A233" i="5"/>
  <c r="B233" i="5"/>
  <c r="A234" i="5"/>
  <c r="B234" i="5"/>
  <c r="A235" i="5"/>
  <c r="B235" i="5"/>
  <c r="A236" i="5"/>
  <c r="B236" i="5"/>
  <c r="A237" i="5"/>
  <c r="B237" i="5"/>
  <c r="A238" i="5"/>
  <c r="B238" i="5"/>
  <c r="A239" i="5"/>
  <c r="B239" i="5"/>
  <c r="A240" i="5"/>
  <c r="B240" i="5"/>
  <c r="A241" i="5"/>
  <c r="B241" i="5"/>
  <c r="A242" i="5"/>
  <c r="B242" i="5"/>
  <c r="A243" i="5"/>
  <c r="B243" i="5"/>
  <c r="A244" i="5"/>
  <c r="B244" i="5"/>
  <c r="A245" i="5"/>
  <c r="B245" i="5"/>
  <c r="A246" i="5"/>
  <c r="B246" i="5"/>
  <c r="A247" i="5"/>
  <c r="B247" i="5"/>
  <c r="A248" i="5"/>
  <c r="B248" i="5"/>
  <c r="A249" i="5"/>
  <c r="B249" i="5"/>
  <c r="A250" i="5"/>
  <c r="B250" i="5"/>
  <c r="B214" i="5"/>
  <c r="A214" i="5"/>
  <c r="A228" i="6"/>
  <c r="B228" i="6"/>
  <c r="A229" i="6"/>
  <c r="B229" i="6"/>
  <c r="A230" i="6"/>
  <c r="B230" i="6"/>
  <c r="A231" i="6"/>
  <c r="B231" i="6"/>
  <c r="A232" i="6"/>
  <c r="B232" i="6"/>
  <c r="A233" i="6"/>
  <c r="B233" i="6"/>
  <c r="A234" i="6"/>
  <c r="B234" i="6"/>
  <c r="A235" i="6"/>
  <c r="B235" i="6"/>
  <c r="A236" i="6"/>
  <c r="B236" i="6"/>
  <c r="A237" i="6"/>
  <c r="B237" i="6"/>
  <c r="A238" i="6"/>
  <c r="B238" i="6"/>
  <c r="A239" i="6"/>
  <c r="B239" i="6"/>
  <c r="A240" i="6"/>
  <c r="B240" i="6"/>
  <c r="A241" i="6"/>
  <c r="B241" i="6"/>
  <c r="A242" i="6"/>
  <c r="B242" i="6"/>
  <c r="A243" i="6"/>
  <c r="B243" i="6"/>
  <c r="A244" i="6"/>
  <c r="B244" i="6"/>
  <c r="B227" i="6"/>
  <c r="G236" i="1"/>
  <c r="G237" i="1"/>
  <c r="G238" i="1"/>
  <c r="V238" i="4" s="1"/>
  <c r="AH238" i="4" s="1"/>
  <c r="C238" i="5" s="1"/>
  <c r="G239" i="1"/>
  <c r="V239" i="4" s="1"/>
  <c r="AH239" i="4" s="1"/>
  <c r="G240" i="1"/>
  <c r="G241" i="1"/>
  <c r="G242" i="1"/>
  <c r="V242" i="4" s="1"/>
  <c r="AH242" i="4" s="1"/>
  <c r="C242" i="5" s="1"/>
  <c r="G243" i="1"/>
  <c r="V243" i="4" s="1"/>
  <c r="AH243" i="4" s="1"/>
  <c r="C243" i="5" s="1"/>
  <c r="G244" i="1"/>
  <c r="V244" i="4" s="1"/>
  <c r="AH244" i="4" s="1"/>
  <c r="C244" i="5" s="1"/>
  <c r="G235" i="1"/>
  <c r="A239" i="4"/>
  <c r="B239" i="4"/>
  <c r="C239" i="4"/>
  <c r="A240" i="4"/>
  <c r="B240" i="4"/>
  <c r="C240" i="4"/>
  <c r="A241" i="4"/>
  <c r="B241" i="4"/>
  <c r="C241" i="4"/>
  <c r="A242" i="4"/>
  <c r="B242" i="4"/>
  <c r="C242" i="4"/>
  <c r="A243" i="4"/>
  <c r="B243" i="4"/>
  <c r="C243" i="4"/>
  <c r="A244" i="4"/>
  <c r="B244" i="4"/>
  <c r="C244" i="4"/>
  <c r="A245" i="4"/>
  <c r="B245" i="4"/>
  <c r="C245" i="4"/>
  <c r="A246" i="4"/>
  <c r="B246" i="4"/>
  <c r="C246" i="4"/>
  <c r="A247" i="4"/>
  <c r="B247" i="4"/>
  <c r="C247" i="4"/>
  <c r="A248" i="4"/>
  <c r="B248" i="4"/>
  <c r="C248" i="4"/>
  <c r="A249" i="4"/>
  <c r="B249" i="4"/>
  <c r="C249" i="4"/>
  <c r="A250" i="4"/>
  <c r="B250" i="4"/>
  <c r="C250" i="4"/>
  <c r="V217" i="4"/>
  <c r="AH217" i="4" s="1"/>
  <c r="C217" i="5" s="1"/>
  <c r="W217" i="4"/>
  <c r="AI217" i="4" s="1"/>
  <c r="X217" i="4"/>
  <c r="Y217" i="4"/>
  <c r="AK217" i="4" s="1"/>
  <c r="F217" i="5" s="1"/>
  <c r="Z217" i="4"/>
  <c r="AL217" i="4" s="1"/>
  <c r="G217" i="5" s="1"/>
  <c r="AA217" i="4"/>
  <c r="AB217" i="4"/>
  <c r="AC217" i="4"/>
  <c r="AD217" i="4"/>
  <c r="AE217" i="4"/>
  <c r="AF217" i="4"/>
  <c r="V218" i="4"/>
  <c r="AH218" i="4" s="1"/>
  <c r="C218" i="5" s="1"/>
  <c r="W218" i="4"/>
  <c r="AI218" i="4" s="1"/>
  <c r="X218" i="4"/>
  <c r="AJ218" i="4" s="1"/>
  <c r="Y218" i="4"/>
  <c r="AK218" i="4" s="1"/>
  <c r="Z218" i="4"/>
  <c r="AL218" i="4" s="1"/>
  <c r="G218" i="5" s="1"/>
  <c r="AA218" i="4"/>
  <c r="AB218" i="4"/>
  <c r="AC218" i="4"/>
  <c r="AE218" i="4"/>
  <c r="AO218" i="4" s="1"/>
  <c r="AF218" i="4"/>
  <c r="AP218" i="4" s="1"/>
  <c r="K218" i="5" s="1"/>
  <c r="V219" i="4"/>
  <c r="W219" i="4"/>
  <c r="AI219" i="4" s="1"/>
  <c r="X219" i="4"/>
  <c r="AJ219" i="4" s="1"/>
  <c r="Y219" i="4"/>
  <c r="AK219" i="4" s="1"/>
  <c r="F219" i="5" s="1"/>
  <c r="Z219" i="4"/>
  <c r="AL219" i="4" s="1"/>
  <c r="G219" i="5" s="1"/>
  <c r="AA219" i="4"/>
  <c r="AB219" i="4"/>
  <c r="AC219" i="4"/>
  <c r="AE219" i="4"/>
  <c r="AO219" i="4" s="1"/>
  <c r="J219" i="5" s="1"/>
  <c r="AF219" i="4"/>
  <c r="AP219" i="4" s="1"/>
  <c r="K219" i="5" s="1"/>
  <c r="V220" i="4"/>
  <c r="AH220" i="4" s="1"/>
  <c r="W220" i="4"/>
  <c r="AI220" i="4" s="1"/>
  <c r="X220" i="4"/>
  <c r="AJ220" i="4" s="1"/>
  <c r="Y220" i="4"/>
  <c r="AK220" i="4" s="1"/>
  <c r="F220" i="5" s="1"/>
  <c r="Z220" i="4"/>
  <c r="AL220" i="4" s="1"/>
  <c r="AA220" i="4"/>
  <c r="AB220" i="4"/>
  <c r="AC220" i="4"/>
  <c r="AE220" i="4"/>
  <c r="AO220" i="4" s="1"/>
  <c r="AF220" i="4"/>
  <c r="AP220" i="4" s="1"/>
  <c r="V221" i="4"/>
  <c r="AH221" i="4" s="1"/>
  <c r="W221" i="4"/>
  <c r="X221" i="4"/>
  <c r="AJ221" i="4" s="1"/>
  <c r="Y221" i="4"/>
  <c r="AK221" i="4" s="1"/>
  <c r="Z221" i="4"/>
  <c r="AL221" i="4" s="1"/>
  <c r="G221" i="5" s="1"/>
  <c r="AA221" i="4"/>
  <c r="AB221" i="4"/>
  <c r="AC221" i="4"/>
  <c r="AE221" i="4"/>
  <c r="AO221" i="4" s="1"/>
  <c r="AF221" i="4"/>
  <c r="V222" i="4"/>
  <c r="AH222" i="4" s="1"/>
  <c r="C222" i="7" s="1"/>
  <c r="W222" i="4"/>
  <c r="AI222" i="4" s="1"/>
  <c r="X222" i="4"/>
  <c r="AJ222" i="4" s="1"/>
  <c r="Y222" i="4"/>
  <c r="Z222" i="4"/>
  <c r="AL222" i="4" s="1"/>
  <c r="AA222" i="4"/>
  <c r="AB222" i="4"/>
  <c r="AC222" i="4"/>
  <c r="AE222" i="4"/>
  <c r="AO222" i="4" s="1"/>
  <c r="AF222" i="4"/>
  <c r="AP222" i="4" s="1"/>
  <c r="V223" i="4"/>
  <c r="AH223" i="4" s="1"/>
  <c r="W223" i="4"/>
  <c r="AI223" i="4" s="1"/>
  <c r="X223" i="4"/>
  <c r="AJ223" i="4" s="1"/>
  <c r="Y223" i="4"/>
  <c r="AK223" i="4" s="1"/>
  <c r="Z223" i="4"/>
  <c r="AA223" i="4"/>
  <c r="AB223" i="4"/>
  <c r="AC223" i="4"/>
  <c r="AE223" i="4"/>
  <c r="AO223" i="4" s="1"/>
  <c r="J223" i="5" s="1"/>
  <c r="AF223" i="4"/>
  <c r="V224" i="4"/>
  <c r="AH224" i="4" s="1"/>
  <c r="W224" i="4"/>
  <c r="AI224" i="4" s="1"/>
  <c r="X224" i="4"/>
  <c r="Y224" i="4"/>
  <c r="AK224" i="4" s="1"/>
  <c r="F224" i="5" s="1"/>
  <c r="Z224" i="4"/>
  <c r="AL224" i="4" s="1"/>
  <c r="AA224" i="4"/>
  <c r="AB224" i="4"/>
  <c r="AC224" i="4"/>
  <c r="AE224" i="4"/>
  <c r="AO224" i="4" s="1"/>
  <c r="AF224" i="4"/>
  <c r="AP224" i="4" s="1"/>
  <c r="V225" i="4"/>
  <c r="AH225" i="4" s="1"/>
  <c r="C225" i="5" s="1"/>
  <c r="W225" i="4"/>
  <c r="X225" i="4"/>
  <c r="AJ225" i="4" s="1"/>
  <c r="Y225" i="4"/>
  <c r="AK225" i="4" s="1"/>
  <c r="F225" i="6" s="1"/>
  <c r="Z225" i="4"/>
  <c r="AL225" i="4" s="1"/>
  <c r="G225" i="5" s="1"/>
  <c r="AA225" i="4"/>
  <c r="AB225" i="4"/>
  <c r="AC225" i="4"/>
  <c r="AE225" i="4"/>
  <c r="AF225" i="4"/>
  <c r="AP225" i="4" s="1"/>
  <c r="K225" i="5" s="1"/>
  <c r="V226" i="4"/>
  <c r="AH226" i="4" s="1"/>
  <c r="W226" i="4"/>
  <c r="AI226" i="4" s="1"/>
  <c r="D226" i="5" s="1"/>
  <c r="X226" i="4"/>
  <c r="AJ226" i="4" s="1"/>
  <c r="Y226" i="4"/>
  <c r="Z226" i="4"/>
  <c r="AL226" i="4" s="1"/>
  <c r="G226" i="5" s="1"/>
  <c r="AA226" i="4"/>
  <c r="AB226" i="4"/>
  <c r="AC226" i="4"/>
  <c r="AE226" i="4"/>
  <c r="AO226" i="4" s="1"/>
  <c r="J226" i="5" s="1"/>
  <c r="AF226" i="4"/>
  <c r="AP226" i="4" s="1"/>
  <c r="V227" i="4"/>
  <c r="AH227" i="4" s="1"/>
  <c r="C227" i="5" s="1"/>
  <c r="W227" i="4"/>
  <c r="AI227" i="4" s="1"/>
  <c r="D227" i="5" s="1"/>
  <c r="X227" i="4"/>
  <c r="AJ227" i="4" s="1"/>
  <c r="Y227" i="4"/>
  <c r="AK227" i="4" s="1"/>
  <c r="F227" i="5" s="1"/>
  <c r="Z227" i="4"/>
  <c r="AL227" i="4" s="1"/>
  <c r="G227" i="5" s="1"/>
  <c r="AA227" i="4"/>
  <c r="AB227" i="4"/>
  <c r="AC227" i="4"/>
  <c r="AD227" i="4"/>
  <c r="AE227" i="4"/>
  <c r="AO227" i="4" s="1"/>
  <c r="J227" i="5" s="1"/>
  <c r="AF227" i="4"/>
  <c r="AP227" i="4" s="1"/>
  <c r="V228" i="4"/>
  <c r="AH228" i="4" s="1"/>
  <c r="W228" i="4"/>
  <c r="X228" i="4"/>
  <c r="AJ228" i="4" s="1"/>
  <c r="E228" i="5" s="1"/>
  <c r="Y228" i="4"/>
  <c r="AK228" i="4" s="1"/>
  <c r="Z228" i="4"/>
  <c r="AL228" i="4" s="1"/>
  <c r="AA228" i="4"/>
  <c r="AB228" i="4"/>
  <c r="AC228" i="4"/>
  <c r="AD228" i="4"/>
  <c r="AE228" i="4"/>
  <c r="AO228" i="4" s="1"/>
  <c r="J228" i="5" s="1"/>
  <c r="AF228" i="4"/>
  <c r="AP228" i="4" s="1"/>
  <c r="V229" i="4"/>
  <c r="AH229" i="4" s="1"/>
  <c r="C229" i="5" s="1"/>
  <c r="W229" i="4"/>
  <c r="AI229" i="4" s="1"/>
  <c r="D229" i="5" s="1"/>
  <c r="X229" i="4"/>
  <c r="AJ229" i="4" s="1"/>
  <c r="E229" i="5" s="1"/>
  <c r="Y229" i="4"/>
  <c r="AK229" i="4" s="1"/>
  <c r="Z229" i="4"/>
  <c r="AL229" i="4" s="1"/>
  <c r="G229" i="5" s="1"/>
  <c r="AA229" i="4"/>
  <c r="AB229" i="4"/>
  <c r="AC229" i="4"/>
  <c r="AD229" i="4"/>
  <c r="AE229" i="4"/>
  <c r="AO229" i="4" s="1"/>
  <c r="J229" i="5" s="1"/>
  <c r="AF229" i="4"/>
  <c r="V230" i="4"/>
  <c r="AH230" i="4" s="1"/>
  <c r="C230" i="5" s="1"/>
  <c r="W230" i="4"/>
  <c r="AI230" i="4" s="1"/>
  <c r="D230" i="5" s="1"/>
  <c r="X230" i="4"/>
  <c r="AJ230" i="4" s="1"/>
  <c r="E230" i="5" s="1"/>
  <c r="Y230" i="4"/>
  <c r="Z230" i="4"/>
  <c r="AL230" i="4" s="1"/>
  <c r="G230" i="5" s="1"/>
  <c r="AA230" i="4"/>
  <c r="AB230" i="4"/>
  <c r="AC230" i="4"/>
  <c r="AD230" i="4"/>
  <c r="AE230" i="4"/>
  <c r="AO230" i="4" s="1"/>
  <c r="J230" i="5" s="1"/>
  <c r="AF230" i="4"/>
  <c r="AP230" i="4" s="1"/>
  <c r="K230" i="5" s="1"/>
  <c r="V231" i="4"/>
  <c r="AH231" i="4" s="1"/>
  <c r="C231" i="5" s="1"/>
  <c r="W231" i="4"/>
  <c r="AI231" i="4" s="1"/>
  <c r="D231" i="5" s="1"/>
  <c r="X231" i="4"/>
  <c r="AJ231" i="4" s="1"/>
  <c r="E231" i="5" s="1"/>
  <c r="Y231" i="4"/>
  <c r="AK231" i="4" s="1"/>
  <c r="F231" i="5" s="1"/>
  <c r="Z231" i="4"/>
  <c r="AL231" i="4" s="1"/>
  <c r="G231" i="5" s="1"/>
  <c r="AA231" i="4"/>
  <c r="AB231" i="4"/>
  <c r="AC231" i="4"/>
  <c r="AD231" i="4"/>
  <c r="AE231" i="4"/>
  <c r="AO231" i="4" s="1"/>
  <c r="AF231" i="4"/>
  <c r="AP231" i="4" s="1"/>
  <c r="K231" i="5" s="1"/>
  <c r="V232" i="4"/>
  <c r="AH232" i="4" s="1"/>
  <c r="C232" i="5" s="1"/>
  <c r="W232" i="4"/>
  <c r="AI232" i="4" s="1"/>
  <c r="D232" i="5" s="1"/>
  <c r="X232" i="4"/>
  <c r="AJ232" i="4" s="1"/>
  <c r="E232" i="5" s="1"/>
  <c r="Y232" i="4"/>
  <c r="AK232" i="4" s="1"/>
  <c r="F232" i="5" s="1"/>
  <c r="Z232" i="4"/>
  <c r="AL232" i="4" s="1"/>
  <c r="G232" i="5" s="1"/>
  <c r="AA232" i="4"/>
  <c r="AB232" i="4"/>
  <c r="AC232" i="4"/>
  <c r="AD232" i="4"/>
  <c r="AE232" i="4"/>
  <c r="AF232" i="4"/>
  <c r="AP232" i="4" s="1"/>
  <c r="K232" i="5" s="1"/>
  <c r="V233" i="4"/>
  <c r="AH233" i="4" s="1"/>
  <c r="C233" i="5" s="1"/>
  <c r="W233" i="4"/>
  <c r="AI233" i="4" s="1"/>
  <c r="D233" i="5" s="1"/>
  <c r="X233" i="4"/>
  <c r="AJ233" i="4" s="1"/>
  <c r="E233" i="5" s="1"/>
  <c r="Y233" i="4"/>
  <c r="AK233" i="4" s="1"/>
  <c r="Z233" i="4"/>
  <c r="AL233" i="4" s="1"/>
  <c r="G233" i="5" s="1"/>
  <c r="AA233" i="4"/>
  <c r="AB233" i="4"/>
  <c r="AC233" i="4"/>
  <c r="AD233" i="4"/>
  <c r="AE233" i="4"/>
  <c r="AO233" i="4" s="1"/>
  <c r="J233" i="5" s="1"/>
  <c r="AF233" i="4"/>
  <c r="AP233" i="4" s="1"/>
  <c r="K233" i="5" s="1"/>
  <c r="V234" i="4"/>
  <c r="AH234" i="4" s="1"/>
  <c r="C234" i="5" s="1"/>
  <c r="W234" i="4"/>
  <c r="AI234" i="4" s="1"/>
  <c r="D234" i="5" s="1"/>
  <c r="X234" i="4"/>
  <c r="AJ234" i="4" s="1"/>
  <c r="E234" i="5" s="1"/>
  <c r="Y234" i="4"/>
  <c r="Z234" i="4"/>
  <c r="AL234" i="4" s="1"/>
  <c r="G234" i="5" s="1"/>
  <c r="AA234" i="4"/>
  <c r="AB234" i="4"/>
  <c r="AC234" i="4"/>
  <c r="AD234" i="4"/>
  <c r="AE234" i="4"/>
  <c r="AO234" i="4" s="1"/>
  <c r="J234" i="5" s="1"/>
  <c r="AF234" i="4"/>
  <c r="AP234" i="4" s="1"/>
  <c r="V235" i="4"/>
  <c r="AH235" i="4" s="1"/>
  <c r="C235" i="5" s="1"/>
  <c r="W235" i="4"/>
  <c r="AI235" i="4" s="1"/>
  <c r="D235" i="5" s="1"/>
  <c r="X235" i="4"/>
  <c r="AJ235" i="4" s="1"/>
  <c r="E235" i="5" s="1"/>
  <c r="Y235" i="4"/>
  <c r="AK235" i="4" s="1"/>
  <c r="F235" i="5" s="1"/>
  <c r="Z235" i="4"/>
  <c r="AL235" i="4" s="1"/>
  <c r="G235" i="5" s="1"/>
  <c r="AA235" i="4"/>
  <c r="AB235" i="4"/>
  <c r="AC235" i="4"/>
  <c r="AD235" i="4"/>
  <c r="AE235" i="4"/>
  <c r="AO235" i="4" s="1"/>
  <c r="J235" i="5" s="1"/>
  <c r="AF235" i="4"/>
  <c r="AP235" i="4" s="1"/>
  <c r="K235" i="5" s="1"/>
  <c r="V236" i="4"/>
  <c r="AH236" i="4" s="1"/>
  <c r="C236" i="5" s="1"/>
  <c r="W236" i="4"/>
  <c r="AI236" i="4" s="1"/>
  <c r="D236" i="5" s="1"/>
  <c r="X236" i="4"/>
  <c r="AJ236" i="4" s="1"/>
  <c r="E236" i="5" s="1"/>
  <c r="Y236" i="4"/>
  <c r="AK236" i="4" s="1"/>
  <c r="F236" i="5" s="1"/>
  <c r="Z236" i="4"/>
  <c r="AL236" i="4" s="1"/>
  <c r="G236" i="5" s="1"/>
  <c r="AA236" i="4"/>
  <c r="AB236" i="4"/>
  <c r="AC236" i="4"/>
  <c r="AD236" i="4"/>
  <c r="AE236" i="4"/>
  <c r="AF236" i="4"/>
  <c r="AP236" i="4" s="1"/>
  <c r="K236" i="5" s="1"/>
  <c r="V237" i="4"/>
  <c r="AH237" i="4" s="1"/>
  <c r="W237" i="4"/>
  <c r="X237" i="4"/>
  <c r="AJ237" i="4" s="1"/>
  <c r="E237" i="5" s="1"/>
  <c r="Y237" i="4"/>
  <c r="AK237" i="4" s="1"/>
  <c r="F237" i="5" s="1"/>
  <c r="Z237" i="4"/>
  <c r="AL237" i="4" s="1"/>
  <c r="AA237" i="4"/>
  <c r="AB237" i="4"/>
  <c r="AC237" i="4"/>
  <c r="AD237" i="4"/>
  <c r="AE237" i="4"/>
  <c r="AO237" i="4" s="1"/>
  <c r="J237" i="5" s="1"/>
  <c r="AF237" i="4"/>
  <c r="AP237" i="4" s="1"/>
  <c r="W238" i="4"/>
  <c r="AI238" i="4" s="1"/>
  <c r="D238" i="5" s="1"/>
  <c r="X238" i="4"/>
  <c r="AJ238" i="4" s="1"/>
  <c r="Y238" i="4"/>
  <c r="AK238" i="4" s="1"/>
  <c r="F238" i="5" s="1"/>
  <c r="Z238" i="4"/>
  <c r="AL238" i="4" s="1"/>
  <c r="G238" i="5" s="1"/>
  <c r="AA238" i="4"/>
  <c r="AB238" i="4"/>
  <c r="AC238" i="4"/>
  <c r="AD238" i="4"/>
  <c r="AE238" i="4"/>
  <c r="AO238" i="4" s="1"/>
  <c r="J238" i="5" s="1"/>
  <c r="AF238" i="4"/>
  <c r="AP238" i="4" s="1"/>
  <c r="K238" i="5" s="1"/>
  <c r="W239" i="4"/>
  <c r="AI239" i="4" s="1"/>
  <c r="D239" i="5" s="1"/>
  <c r="X239" i="4"/>
  <c r="Y239" i="4"/>
  <c r="AK239" i="4" s="1"/>
  <c r="F239" i="5" s="1"/>
  <c r="Z239" i="4"/>
  <c r="AL239" i="4" s="1"/>
  <c r="AA239" i="4"/>
  <c r="AB239" i="4"/>
  <c r="AC239" i="4"/>
  <c r="AD239" i="4"/>
  <c r="AN239" i="4" s="1"/>
  <c r="I239" i="5" s="1"/>
  <c r="AE239" i="4"/>
  <c r="AO239" i="4" s="1"/>
  <c r="J239" i="5" s="1"/>
  <c r="AF239" i="4"/>
  <c r="AP239" i="4" s="1"/>
  <c r="K239" i="5" s="1"/>
  <c r="V240" i="4"/>
  <c r="AH240" i="4" s="1"/>
  <c r="C240" i="5" s="1"/>
  <c r="W240" i="4"/>
  <c r="AI240" i="4" s="1"/>
  <c r="D240" i="5" s="1"/>
  <c r="X240" i="4"/>
  <c r="AJ240" i="4" s="1"/>
  <c r="Y240" i="4"/>
  <c r="Z240" i="4"/>
  <c r="AL240" i="4" s="1"/>
  <c r="G240" i="5" s="1"/>
  <c r="AA240" i="4"/>
  <c r="AB240" i="4"/>
  <c r="AC240" i="4"/>
  <c r="AD240" i="4"/>
  <c r="AE240" i="4"/>
  <c r="AO240" i="4" s="1"/>
  <c r="J240" i="5" s="1"/>
  <c r="AF240" i="4"/>
  <c r="AP240" i="4" s="1"/>
  <c r="K240" i="5" s="1"/>
  <c r="V241" i="4"/>
  <c r="AH241" i="4" s="1"/>
  <c r="W241" i="4"/>
  <c r="AI241" i="4" s="1"/>
  <c r="D241" i="5" s="1"/>
  <c r="X241" i="4"/>
  <c r="AJ241" i="4" s="1"/>
  <c r="E241" i="5" s="1"/>
  <c r="Y241" i="4"/>
  <c r="AK241" i="4" s="1"/>
  <c r="F241" i="5" s="1"/>
  <c r="Z241" i="4"/>
  <c r="AL241" i="4" s="1"/>
  <c r="AA241" i="4"/>
  <c r="AB241" i="4"/>
  <c r="AC241" i="4"/>
  <c r="AD241" i="4"/>
  <c r="AE241" i="4"/>
  <c r="AO241" i="4" s="1"/>
  <c r="J241" i="5" s="1"/>
  <c r="AF241" i="4"/>
  <c r="AP241" i="4" s="1"/>
  <c r="W242" i="4"/>
  <c r="AI242" i="4" s="1"/>
  <c r="D242" i="5" s="1"/>
  <c r="X242" i="4"/>
  <c r="AJ242" i="4" s="1"/>
  <c r="Y242" i="4"/>
  <c r="AK242" i="4" s="1"/>
  <c r="F242" i="5" s="1"/>
  <c r="Z242" i="4"/>
  <c r="AL242" i="4" s="1"/>
  <c r="G242" i="5" s="1"/>
  <c r="AA242" i="4"/>
  <c r="AB242" i="4"/>
  <c r="AC242" i="4"/>
  <c r="AD242" i="4"/>
  <c r="AE242" i="4"/>
  <c r="AO242" i="4" s="1"/>
  <c r="J242" i="5" s="1"/>
  <c r="AF242" i="4"/>
  <c r="AP242" i="4" s="1"/>
  <c r="K242" i="5" s="1"/>
  <c r="W243" i="4"/>
  <c r="AI243" i="4" s="1"/>
  <c r="D243" i="5" s="1"/>
  <c r="X243" i="4"/>
  <c r="AJ243" i="4" s="1"/>
  <c r="E243" i="5" s="1"/>
  <c r="Y243" i="4"/>
  <c r="AK243" i="4" s="1"/>
  <c r="F243" i="5" s="1"/>
  <c r="Z243" i="4"/>
  <c r="AA243" i="4"/>
  <c r="AB243" i="4"/>
  <c r="AC243" i="4"/>
  <c r="AD243" i="4"/>
  <c r="AE243" i="4"/>
  <c r="AO243" i="4" s="1"/>
  <c r="J243" i="5" s="1"/>
  <c r="AF243" i="4"/>
  <c r="AP243" i="4" s="1"/>
  <c r="K243" i="5" s="1"/>
  <c r="W244" i="4"/>
  <c r="AI244" i="4" s="1"/>
  <c r="X244" i="4"/>
  <c r="AJ244" i="4" s="1"/>
  <c r="Y244" i="4"/>
  <c r="AK244" i="4" s="1"/>
  <c r="F244" i="5" s="1"/>
  <c r="Z244" i="4"/>
  <c r="AL244" i="4" s="1"/>
  <c r="G244" i="5" s="1"/>
  <c r="AA244" i="4"/>
  <c r="AB244" i="4"/>
  <c r="AC244" i="4"/>
  <c r="AD244" i="4"/>
  <c r="AE244" i="4"/>
  <c r="AO244" i="4" s="1"/>
  <c r="J244" i="5" s="1"/>
  <c r="AF244" i="4"/>
  <c r="AP244" i="4" s="1"/>
  <c r="K244" i="5" s="1"/>
  <c r="V247" i="4"/>
  <c r="AH247" i="4" s="1"/>
  <c r="C247" i="5" s="1"/>
  <c r="W247" i="4"/>
  <c r="AI247" i="4" s="1"/>
  <c r="D247" i="5" s="1"/>
  <c r="X247" i="4"/>
  <c r="AJ247" i="4" s="1"/>
  <c r="E247" i="5" s="1"/>
  <c r="Y247" i="4"/>
  <c r="Z247" i="4"/>
  <c r="AL247" i="4" s="1"/>
  <c r="G247" i="5" s="1"/>
  <c r="AA247" i="4"/>
  <c r="AB247" i="4"/>
  <c r="AC247" i="4"/>
  <c r="AD247" i="4"/>
  <c r="AE247" i="4"/>
  <c r="AO247" i="4" s="1"/>
  <c r="J247" i="5" s="1"/>
  <c r="AF247" i="4"/>
  <c r="AP247" i="4" s="1"/>
  <c r="K247" i="5" s="1"/>
  <c r="V248" i="4"/>
  <c r="W248" i="4"/>
  <c r="AI248" i="4" s="1"/>
  <c r="X248" i="4"/>
  <c r="AJ248" i="4" s="1"/>
  <c r="E248" i="5" s="1"/>
  <c r="Y248" i="4"/>
  <c r="AK248" i="4" s="1"/>
  <c r="F248" i="5" s="1"/>
  <c r="Z248" i="4"/>
  <c r="AL248" i="4" s="1"/>
  <c r="G248" i="5" s="1"/>
  <c r="AA248" i="4"/>
  <c r="AB248" i="4"/>
  <c r="AC248" i="4"/>
  <c r="AD248" i="4"/>
  <c r="AE248" i="4"/>
  <c r="AO248" i="4" s="1"/>
  <c r="AF248" i="4"/>
  <c r="AP248" i="4" s="1"/>
  <c r="K248" i="5" s="1"/>
  <c r="V249" i="4"/>
  <c r="AH249" i="4" s="1"/>
  <c r="C249" i="5" s="1"/>
  <c r="W249" i="4"/>
  <c r="AI249" i="4" s="1"/>
  <c r="D249" i="5" s="1"/>
  <c r="X249" i="4"/>
  <c r="AJ249" i="4" s="1"/>
  <c r="Y249" i="4"/>
  <c r="AK249" i="4" s="1"/>
  <c r="F249" i="5" s="1"/>
  <c r="Z249" i="4"/>
  <c r="AA249" i="4"/>
  <c r="AB249" i="4"/>
  <c r="AC249" i="4"/>
  <c r="AD249" i="4"/>
  <c r="AE249" i="4"/>
  <c r="AF249" i="4"/>
  <c r="AP249" i="4" s="1"/>
  <c r="V250" i="4"/>
  <c r="AH250" i="4" s="1"/>
  <c r="C250" i="5" s="1"/>
  <c r="W250" i="4"/>
  <c r="AI250" i="4" s="1"/>
  <c r="D250" i="5" s="1"/>
  <c r="X250" i="4"/>
  <c r="AJ250" i="4" s="1"/>
  <c r="E250" i="5" s="1"/>
  <c r="Y250" i="4"/>
  <c r="AK250" i="4" s="1"/>
  <c r="Z250" i="4"/>
  <c r="AL250" i="4" s="1"/>
  <c r="G250" i="5" s="1"/>
  <c r="AA250" i="4"/>
  <c r="AB250" i="4"/>
  <c r="AC250" i="4"/>
  <c r="AD250" i="4"/>
  <c r="AE250" i="4"/>
  <c r="AO250" i="4" s="1"/>
  <c r="J250" i="5" s="1"/>
  <c r="AF250" i="4"/>
  <c r="AP250" i="4" s="1"/>
  <c r="K250" i="6" s="1"/>
  <c r="A228" i="4"/>
  <c r="B228" i="4"/>
  <c r="C228" i="4"/>
  <c r="A229" i="4"/>
  <c r="B229" i="4"/>
  <c r="C229" i="4"/>
  <c r="A230" i="4"/>
  <c r="B230" i="4"/>
  <c r="C230" i="4"/>
  <c r="A231" i="4"/>
  <c r="B231" i="4"/>
  <c r="C231" i="4"/>
  <c r="A232" i="4"/>
  <c r="B232" i="4"/>
  <c r="C232" i="4"/>
  <c r="A233" i="4"/>
  <c r="B233" i="4"/>
  <c r="C233" i="4"/>
  <c r="A234" i="4"/>
  <c r="B234" i="4"/>
  <c r="C234" i="4"/>
  <c r="A235" i="4"/>
  <c r="B235" i="4"/>
  <c r="C235" i="4"/>
  <c r="A236" i="4"/>
  <c r="B236" i="4"/>
  <c r="C236" i="4"/>
  <c r="A237" i="4"/>
  <c r="B237" i="4"/>
  <c r="C237" i="4"/>
  <c r="A238" i="4"/>
  <c r="B238" i="4"/>
  <c r="C238" i="4"/>
  <c r="B227" i="4"/>
  <c r="C227" i="4"/>
  <c r="A227" i="4"/>
  <c r="A227" i="7"/>
  <c r="B227" i="7"/>
  <c r="A228" i="7"/>
  <c r="B228" i="7"/>
  <c r="A229" i="7"/>
  <c r="B229" i="7"/>
  <c r="A230" i="7"/>
  <c r="B230" i="7"/>
  <c r="A231" i="7"/>
  <c r="B231" i="7"/>
  <c r="A232" i="7"/>
  <c r="B232" i="7"/>
  <c r="A233" i="7"/>
  <c r="B233" i="7"/>
  <c r="A234" i="7"/>
  <c r="B234" i="7"/>
  <c r="A235" i="7"/>
  <c r="B235" i="7"/>
  <c r="A236" i="7"/>
  <c r="B236" i="7"/>
  <c r="A237" i="7"/>
  <c r="B237" i="7"/>
  <c r="A238" i="7"/>
  <c r="B238" i="7"/>
  <c r="A239" i="7"/>
  <c r="B239" i="7"/>
  <c r="A240" i="7"/>
  <c r="B240" i="7"/>
  <c r="A241" i="7"/>
  <c r="B241" i="7"/>
  <c r="A242" i="7"/>
  <c r="B242" i="7"/>
  <c r="A243" i="7"/>
  <c r="B243" i="7"/>
  <c r="A244" i="7"/>
  <c r="B244" i="7"/>
  <c r="A245" i="7"/>
  <c r="B245" i="7"/>
  <c r="A246" i="7"/>
  <c r="B246" i="7"/>
  <c r="A247" i="7"/>
  <c r="B247" i="7"/>
  <c r="A217" i="7"/>
  <c r="B217" i="7"/>
  <c r="A218" i="7"/>
  <c r="B218" i="7"/>
  <c r="A219" i="7"/>
  <c r="B219" i="7"/>
  <c r="A220" i="7"/>
  <c r="B220" i="7"/>
  <c r="A221" i="7"/>
  <c r="B221" i="7"/>
  <c r="A222" i="7"/>
  <c r="B222" i="7"/>
  <c r="A223" i="7"/>
  <c r="B223" i="7"/>
  <c r="A224" i="7"/>
  <c r="B224" i="7"/>
  <c r="A225" i="7"/>
  <c r="B225" i="7"/>
  <c r="A226" i="7"/>
  <c r="B226" i="7"/>
  <c r="B216" i="7"/>
  <c r="A216" i="7"/>
  <c r="A227" i="6"/>
  <c r="A217" i="6"/>
  <c r="B217" i="6"/>
  <c r="A218" i="6"/>
  <c r="B218" i="6"/>
  <c r="A219" i="6"/>
  <c r="B219" i="6"/>
  <c r="A220" i="6"/>
  <c r="B220" i="6"/>
  <c r="A221" i="6"/>
  <c r="B221" i="6"/>
  <c r="A222" i="6"/>
  <c r="B222" i="6"/>
  <c r="A223" i="6"/>
  <c r="B223" i="6"/>
  <c r="A224" i="6"/>
  <c r="B224" i="6"/>
  <c r="A225" i="6"/>
  <c r="B225" i="6"/>
  <c r="A226" i="6"/>
  <c r="B226" i="6"/>
  <c r="B216" i="6"/>
  <c r="A216" i="6"/>
  <c r="O219" i="1"/>
  <c r="AD219" i="4" s="1"/>
  <c r="O220" i="1"/>
  <c r="AD220" i="4" s="1"/>
  <c r="O221" i="1"/>
  <c r="AD221" i="4" s="1"/>
  <c r="O222" i="1"/>
  <c r="AD222" i="4" s="1"/>
  <c r="O223" i="1"/>
  <c r="AD223" i="4" s="1"/>
  <c r="O224" i="1"/>
  <c r="AD224" i="4" s="1"/>
  <c r="O225" i="1"/>
  <c r="AD225" i="4" s="1"/>
  <c r="O226" i="1"/>
  <c r="AD226" i="4" s="1"/>
  <c r="O218" i="1"/>
  <c r="AD218" i="4" s="1"/>
  <c r="A219" i="4"/>
  <c r="B219" i="4"/>
  <c r="C219" i="4"/>
  <c r="A220" i="4"/>
  <c r="B220" i="4"/>
  <c r="C220" i="4"/>
  <c r="A221" i="4"/>
  <c r="B221" i="4"/>
  <c r="C221" i="4"/>
  <c r="A222" i="4"/>
  <c r="B222" i="4"/>
  <c r="C222" i="4"/>
  <c r="A223" i="4"/>
  <c r="B223" i="4"/>
  <c r="C223" i="4"/>
  <c r="A224" i="4"/>
  <c r="B224" i="4"/>
  <c r="C224" i="4"/>
  <c r="A225" i="4"/>
  <c r="B225" i="4"/>
  <c r="C225" i="4"/>
  <c r="A226" i="4"/>
  <c r="B226" i="4"/>
  <c r="C226" i="4"/>
  <c r="B218" i="4"/>
  <c r="C218" i="4"/>
  <c r="A218" i="4"/>
  <c r="AJ217" i="4"/>
  <c r="AM217" i="4"/>
  <c r="H217" i="5" s="1"/>
  <c r="AO217" i="4"/>
  <c r="J217" i="5" s="1"/>
  <c r="AP217" i="4"/>
  <c r="V216" i="4"/>
  <c r="AH216" i="4" s="1"/>
  <c r="C216" i="5" s="1"/>
  <c r="W216" i="4"/>
  <c r="AI216" i="4" s="1"/>
  <c r="D216" i="7" s="1"/>
  <c r="X216" i="4"/>
  <c r="AJ216" i="4" s="1"/>
  <c r="Y216" i="4"/>
  <c r="AK216" i="4" s="1"/>
  <c r="F216" i="5" s="1"/>
  <c r="Z216" i="4"/>
  <c r="AL216" i="4" s="1"/>
  <c r="G216" i="5" s="1"/>
  <c r="AA216" i="4"/>
  <c r="AB216" i="4"/>
  <c r="AC216" i="4"/>
  <c r="AD216" i="4"/>
  <c r="AE216" i="4"/>
  <c r="AO216" i="4" s="1"/>
  <c r="J216" i="5" s="1"/>
  <c r="AF216" i="4"/>
  <c r="AP216" i="4" s="1"/>
  <c r="K216" i="5" s="1"/>
  <c r="AH219" i="4"/>
  <c r="C219" i="7" s="1"/>
  <c r="AP221" i="4"/>
  <c r="AK222" i="4"/>
  <c r="AL223" i="4"/>
  <c r="AP223" i="4"/>
  <c r="AI225" i="4"/>
  <c r="D225" i="5" s="1"/>
  <c r="AO225" i="4"/>
  <c r="AK226" i="4"/>
  <c r="AI228" i="4"/>
  <c r="AP229" i="4"/>
  <c r="K229" i="5" s="1"/>
  <c r="AK230" i="4"/>
  <c r="F230" i="5" s="1"/>
  <c r="AO232" i="4"/>
  <c r="J232" i="5" s="1"/>
  <c r="AK234" i="4"/>
  <c r="F234" i="5" s="1"/>
  <c r="AO236" i="4"/>
  <c r="J236" i="5" s="1"/>
  <c r="AK240" i="4"/>
  <c r="F240" i="5" s="1"/>
  <c r="AL243" i="4"/>
  <c r="G243" i="5" s="1"/>
  <c r="AM250" i="4"/>
  <c r="H250" i="5" s="1"/>
  <c r="AI221" i="4"/>
  <c r="AJ224" i="4"/>
  <c r="AI237" i="4"/>
  <c r="D237" i="5" s="1"/>
  <c r="AJ239" i="4"/>
  <c r="E239" i="5" s="1"/>
  <c r="AK247" i="4"/>
  <c r="F247" i="5" s="1"/>
  <c r="AH248" i="4"/>
  <c r="C248" i="5" s="1"/>
  <c r="AL249" i="4"/>
  <c r="G249" i="5" s="1"/>
  <c r="AO249" i="4"/>
  <c r="AF4" i="4"/>
  <c r="AP4" i="4" s="1"/>
  <c r="K4" i="5" s="1"/>
  <c r="AF5" i="4"/>
  <c r="AP5" i="4" s="1"/>
  <c r="K5" i="5" s="1"/>
  <c r="AF6" i="4"/>
  <c r="AP6" i="4" s="1"/>
  <c r="K6" i="5" s="1"/>
  <c r="AF7" i="4"/>
  <c r="AP7" i="4" s="1"/>
  <c r="K7" i="5" s="1"/>
  <c r="AF8" i="4"/>
  <c r="AP8" i="4" s="1"/>
  <c r="K8" i="5" s="1"/>
  <c r="AF9" i="4"/>
  <c r="AP9" i="4" s="1"/>
  <c r="K9" i="5" s="1"/>
  <c r="AF10" i="4"/>
  <c r="AP10" i="4" s="1"/>
  <c r="K10" i="5" s="1"/>
  <c r="AF11" i="4"/>
  <c r="AP11" i="4" s="1"/>
  <c r="K11" i="5" s="1"/>
  <c r="AF12" i="4"/>
  <c r="AP12" i="4" s="1"/>
  <c r="K12" i="5" s="1"/>
  <c r="AF13" i="4"/>
  <c r="AP13" i="4" s="1"/>
  <c r="K13" i="5" s="1"/>
  <c r="AF14" i="4"/>
  <c r="AF17" i="4"/>
  <c r="AP17" i="4" s="1"/>
  <c r="K17" i="5" s="1"/>
  <c r="AF18" i="4"/>
  <c r="AP18" i="4" s="1"/>
  <c r="K18" i="5" s="1"/>
  <c r="AF19" i="4"/>
  <c r="AP19" i="4" s="1"/>
  <c r="K19" i="5" s="1"/>
  <c r="AF20" i="4"/>
  <c r="AP20" i="4" s="1"/>
  <c r="K20" i="5" s="1"/>
  <c r="AF21" i="4"/>
  <c r="AP21" i="4" s="1"/>
  <c r="K21" i="5" s="1"/>
  <c r="AF22" i="4"/>
  <c r="AF23" i="4"/>
  <c r="AP23" i="4" s="1"/>
  <c r="K23" i="5" s="1"/>
  <c r="AF24" i="4"/>
  <c r="AP24" i="4" s="1"/>
  <c r="K24" i="5" s="1"/>
  <c r="AF25" i="4"/>
  <c r="AP25" i="4" s="1"/>
  <c r="K25" i="5" s="1"/>
  <c r="AF26" i="4"/>
  <c r="AP26" i="4" s="1"/>
  <c r="K26" i="5" s="1"/>
  <c r="AF27" i="4"/>
  <c r="AP27" i="4" s="1"/>
  <c r="K27" i="5" s="1"/>
  <c r="AF28" i="4"/>
  <c r="AP28" i="4" s="1"/>
  <c r="K28" i="5" s="1"/>
  <c r="AF29" i="4"/>
  <c r="AP29" i="4" s="1"/>
  <c r="K29" i="5" s="1"/>
  <c r="AF30" i="4"/>
  <c r="AP30" i="4" s="1"/>
  <c r="K30" i="5" s="1"/>
  <c r="AF31" i="4"/>
  <c r="AP31" i="4" s="1"/>
  <c r="K31" i="5" s="1"/>
  <c r="AF32" i="4"/>
  <c r="AP32" i="4" s="1"/>
  <c r="K32" i="5" s="1"/>
  <c r="AF33" i="4"/>
  <c r="AF34" i="4"/>
  <c r="AP34" i="4" s="1"/>
  <c r="K34" i="5" s="1"/>
  <c r="AF35" i="4"/>
  <c r="AP35" i="4" s="1"/>
  <c r="K35" i="5" s="1"/>
  <c r="AF36" i="4"/>
  <c r="AP36" i="4" s="1"/>
  <c r="K36" i="5" s="1"/>
  <c r="AF37" i="4"/>
  <c r="AP37" i="4" s="1"/>
  <c r="K37" i="5" s="1"/>
  <c r="AF38" i="4"/>
  <c r="AF39" i="4"/>
  <c r="AP39" i="4" s="1"/>
  <c r="K39" i="5" s="1"/>
  <c r="AF40" i="4"/>
  <c r="AP40" i="4" s="1"/>
  <c r="AF41" i="4"/>
  <c r="AP41" i="4" s="1"/>
  <c r="K41" i="5" s="1"/>
  <c r="AF43" i="4"/>
  <c r="AP43" i="4" s="1"/>
  <c r="K43" i="5" s="1"/>
  <c r="AF44" i="4"/>
  <c r="AP44" i="4" s="1"/>
  <c r="K44" i="5" s="1"/>
  <c r="AF45" i="4"/>
  <c r="AP45" i="4" s="1"/>
  <c r="K45" i="5" s="1"/>
  <c r="AF46" i="4"/>
  <c r="AP46" i="4" s="1"/>
  <c r="K46" i="5" s="1"/>
  <c r="AF47" i="4"/>
  <c r="AP47" i="4" s="1"/>
  <c r="K47" i="5" s="1"/>
  <c r="AF48" i="4"/>
  <c r="AP48" i="4" s="1"/>
  <c r="K48" i="5" s="1"/>
  <c r="AF49" i="4"/>
  <c r="AP49" i="4" s="1"/>
  <c r="K49" i="5" s="1"/>
  <c r="AF50" i="4"/>
  <c r="AP50" i="4" s="1"/>
  <c r="K50" i="5" s="1"/>
  <c r="AF51" i="4"/>
  <c r="AP51" i="4" s="1"/>
  <c r="K51" i="5" s="1"/>
  <c r="AF52" i="4"/>
  <c r="AP52" i="4" s="1"/>
  <c r="K52" i="5" s="1"/>
  <c r="AF53" i="4"/>
  <c r="AP53" i="4" s="1"/>
  <c r="K53" i="5" s="1"/>
  <c r="AF54" i="4"/>
  <c r="AP54" i="4" s="1"/>
  <c r="K54" i="5" s="1"/>
  <c r="AF55" i="4"/>
  <c r="AP55" i="4" s="1"/>
  <c r="K55" i="5" s="1"/>
  <c r="AF56" i="4"/>
  <c r="AP56" i="4" s="1"/>
  <c r="K56" i="5" s="1"/>
  <c r="AF57" i="4"/>
  <c r="AF58" i="4"/>
  <c r="AF59" i="4"/>
  <c r="AP59" i="4" s="1"/>
  <c r="K59" i="5" s="1"/>
  <c r="AF60" i="4"/>
  <c r="AP60" i="4" s="1"/>
  <c r="K60" i="5" s="1"/>
  <c r="AF61" i="4"/>
  <c r="AP61" i="4" s="1"/>
  <c r="K61" i="5" s="1"/>
  <c r="AF62" i="4"/>
  <c r="AP62" i="4" s="1"/>
  <c r="K62" i="5" s="1"/>
  <c r="AF64" i="4"/>
  <c r="AP64" i="4" s="1"/>
  <c r="K64" i="5" s="1"/>
  <c r="AF65" i="4"/>
  <c r="AP65" i="4" s="1"/>
  <c r="K65" i="5" s="1"/>
  <c r="AF66" i="4"/>
  <c r="AP66" i="4" s="1"/>
  <c r="K66" i="5" s="1"/>
  <c r="AF67" i="4"/>
  <c r="AP67" i="4" s="1"/>
  <c r="K67" i="5" s="1"/>
  <c r="AF68" i="4"/>
  <c r="AP68" i="4" s="1"/>
  <c r="K68" i="5" s="1"/>
  <c r="AF69" i="4"/>
  <c r="AP69" i="4" s="1"/>
  <c r="K69" i="5" s="1"/>
  <c r="AF71" i="4"/>
  <c r="AP71" i="4" s="1"/>
  <c r="K71" i="5" s="1"/>
  <c r="AF73" i="4"/>
  <c r="AP73" i="4" s="1"/>
  <c r="K73" i="5" s="1"/>
  <c r="AF74" i="4"/>
  <c r="AP74" i="4" s="1"/>
  <c r="K74" i="5" s="1"/>
  <c r="AF75" i="4"/>
  <c r="AP75" i="4" s="1"/>
  <c r="K75" i="5" s="1"/>
  <c r="AF76" i="4"/>
  <c r="AP76" i="4" s="1"/>
  <c r="K76" i="5" s="1"/>
  <c r="AF77" i="4"/>
  <c r="AP77" i="4" s="1"/>
  <c r="K77" i="5" s="1"/>
  <c r="AF78" i="4"/>
  <c r="AP78" i="4" s="1"/>
  <c r="K78" i="5" s="1"/>
  <c r="AF79" i="4"/>
  <c r="AP79" i="4" s="1"/>
  <c r="K79" i="5" s="1"/>
  <c r="AF80" i="4"/>
  <c r="AP80" i="4" s="1"/>
  <c r="K80" i="5" s="1"/>
  <c r="AF81" i="4"/>
  <c r="AP81" i="4" s="1"/>
  <c r="K81" i="5" s="1"/>
  <c r="AF82" i="4"/>
  <c r="AF83" i="4"/>
  <c r="AP83" i="4" s="1"/>
  <c r="K83" i="5" s="1"/>
  <c r="AF84" i="4"/>
  <c r="AP84" i="4" s="1"/>
  <c r="K84" i="5" s="1"/>
  <c r="AF85" i="4"/>
  <c r="AP85" i="4" s="1"/>
  <c r="K85" i="5" s="1"/>
  <c r="AF86" i="4"/>
  <c r="AP86" i="4" s="1"/>
  <c r="K86" i="5" s="1"/>
  <c r="AF87" i="4"/>
  <c r="AP87" i="4" s="1"/>
  <c r="K87" i="5" s="1"/>
  <c r="AF88" i="4"/>
  <c r="AP88" i="4" s="1"/>
  <c r="K88" i="5" s="1"/>
  <c r="AF89" i="4"/>
  <c r="AP89" i="4" s="1"/>
  <c r="K89" i="5" s="1"/>
  <c r="AF90" i="4"/>
  <c r="AP90" i="4" s="1"/>
  <c r="K90" i="5" s="1"/>
  <c r="AF91" i="4"/>
  <c r="AP91" i="4" s="1"/>
  <c r="K91" i="5" s="1"/>
  <c r="AF92" i="4"/>
  <c r="AP92" i="4" s="1"/>
  <c r="AF93" i="4"/>
  <c r="AP93" i="4" s="1"/>
  <c r="AF94" i="4"/>
  <c r="AP94" i="4" s="1"/>
  <c r="AF95" i="4"/>
  <c r="AP95" i="4" s="1"/>
  <c r="K95" i="5" s="1"/>
  <c r="AF96" i="4"/>
  <c r="AP96" i="4" s="1"/>
  <c r="K96" i="5" s="1"/>
  <c r="AF97" i="4"/>
  <c r="AF98" i="4"/>
  <c r="AP98" i="4" s="1"/>
  <c r="K98" i="5" s="1"/>
  <c r="AF99" i="4"/>
  <c r="AP99" i="4" s="1"/>
  <c r="K99" i="5" s="1"/>
  <c r="AF100" i="4"/>
  <c r="AF101" i="4"/>
  <c r="AP101" i="4" s="1"/>
  <c r="AF102" i="4"/>
  <c r="AP102" i="4" s="1"/>
  <c r="K102" i="5" s="1"/>
  <c r="AF103" i="4"/>
  <c r="AP103" i="4" s="1"/>
  <c r="K103" i="5" s="1"/>
  <c r="AF104" i="4"/>
  <c r="AP104" i="4" s="1"/>
  <c r="K104" i="5" s="1"/>
  <c r="AF105" i="4"/>
  <c r="AP105" i="4" s="1"/>
  <c r="K105" i="5" s="1"/>
  <c r="AF106" i="4"/>
  <c r="AP106" i="4" s="1"/>
  <c r="K106" i="5" s="1"/>
  <c r="AF107" i="4"/>
  <c r="AP107" i="4" s="1"/>
  <c r="K107" i="5" s="1"/>
  <c r="AF108" i="4"/>
  <c r="AP108" i="4" s="1"/>
  <c r="K108" i="5" s="1"/>
  <c r="AF109" i="4"/>
  <c r="AF110" i="4"/>
  <c r="AP110" i="4" s="1"/>
  <c r="K110" i="5" s="1"/>
  <c r="AF111" i="4"/>
  <c r="AP111" i="4" s="1"/>
  <c r="K111" i="5" s="1"/>
  <c r="AF112" i="4"/>
  <c r="AP112" i="4" s="1"/>
  <c r="K112" i="5" s="1"/>
  <c r="AF113" i="4"/>
  <c r="AP113" i="4" s="1"/>
  <c r="K113" i="5" s="1"/>
  <c r="AF114" i="4"/>
  <c r="AP114" i="4" s="1"/>
  <c r="K114" i="5" s="1"/>
  <c r="AF115" i="4"/>
  <c r="AP115" i="4" s="1"/>
  <c r="K115" i="5" s="1"/>
  <c r="AF116" i="4"/>
  <c r="AP116" i="4" s="1"/>
  <c r="K116" i="5" s="1"/>
  <c r="AF118" i="4"/>
  <c r="AP118" i="4" s="1"/>
  <c r="K118" i="5" s="1"/>
  <c r="AF119" i="4"/>
  <c r="AP119" i="4" s="1"/>
  <c r="K119" i="5" s="1"/>
  <c r="AF120" i="4"/>
  <c r="AP120" i="4" s="1"/>
  <c r="K120" i="5" s="1"/>
  <c r="AF121" i="4"/>
  <c r="AP121" i="4" s="1"/>
  <c r="K121" i="5" s="1"/>
  <c r="AF122" i="4"/>
  <c r="AF123" i="4"/>
  <c r="AP123" i="4" s="1"/>
  <c r="K123" i="5" s="1"/>
  <c r="AF124" i="4"/>
  <c r="AP124" i="4" s="1"/>
  <c r="K124" i="5" s="1"/>
  <c r="AF125" i="4"/>
  <c r="AP125" i="4" s="1"/>
  <c r="K125" i="5" s="1"/>
  <c r="AF126" i="4"/>
  <c r="AP126" i="4" s="1"/>
  <c r="K126" i="5" s="1"/>
  <c r="AF127" i="4"/>
  <c r="AP127" i="4" s="1"/>
  <c r="K127" i="5" s="1"/>
  <c r="AF128" i="4"/>
  <c r="AP128" i="4" s="1"/>
  <c r="K128" i="5" s="1"/>
  <c r="AF129" i="4"/>
  <c r="AP129" i="4" s="1"/>
  <c r="K129" i="5" s="1"/>
  <c r="AF130" i="4"/>
  <c r="AP130" i="4" s="1"/>
  <c r="K130" i="5" s="1"/>
  <c r="AF131" i="4"/>
  <c r="AP131" i="4" s="1"/>
  <c r="K131" i="5" s="1"/>
  <c r="AF132" i="4"/>
  <c r="AP132" i="4" s="1"/>
  <c r="K132" i="5" s="1"/>
  <c r="AF133" i="4"/>
  <c r="AP133" i="4" s="1"/>
  <c r="K133" i="5" s="1"/>
  <c r="AF134" i="4"/>
  <c r="AP134" i="4" s="1"/>
  <c r="K134" i="5" s="1"/>
  <c r="AF135" i="4"/>
  <c r="AP135" i="4" s="1"/>
  <c r="K135" i="5" s="1"/>
  <c r="AF136" i="4"/>
  <c r="AP136" i="4" s="1"/>
  <c r="K136" i="5" s="1"/>
  <c r="AF137" i="4"/>
  <c r="AF138" i="4"/>
  <c r="AP138" i="4" s="1"/>
  <c r="K138" i="5" s="1"/>
  <c r="AF139" i="4"/>
  <c r="AP139" i="4" s="1"/>
  <c r="K139" i="5" s="1"/>
  <c r="AF140" i="4"/>
  <c r="AP140" i="4" s="1"/>
  <c r="K140" i="5" s="1"/>
  <c r="AF141" i="4"/>
  <c r="AP141" i="4" s="1"/>
  <c r="K141" i="5" s="1"/>
  <c r="AF142" i="4"/>
  <c r="AP142" i="4" s="1"/>
  <c r="K142" i="5" s="1"/>
  <c r="AF143" i="4"/>
  <c r="AP143" i="4" s="1"/>
  <c r="K143" i="5" s="1"/>
  <c r="AF144" i="4"/>
  <c r="AP144" i="4" s="1"/>
  <c r="K144" i="5" s="1"/>
  <c r="AF145" i="4"/>
  <c r="AP145" i="4" s="1"/>
  <c r="K145" i="5" s="1"/>
  <c r="AF146" i="4"/>
  <c r="AP146" i="4" s="1"/>
  <c r="K146" i="5" s="1"/>
  <c r="AF147" i="4"/>
  <c r="AP147" i="4" s="1"/>
  <c r="K147" i="5" s="1"/>
  <c r="AF148" i="4"/>
  <c r="AP148" i="4" s="1"/>
  <c r="K148" i="5" s="1"/>
  <c r="AF149" i="4"/>
  <c r="AP149" i="4" s="1"/>
  <c r="K149" i="5" s="1"/>
  <c r="AF150" i="4"/>
  <c r="AP150" i="4" s="1"/>
  <c r="K150" i="5" s="1"/>
  <c r="AF151" i="4"/>
  <c r="AP151" i="4" s="1"/>
  <c r="K151" i="5" s="1"/>
  <c r="AF152" i="4"/>
  <c r="AP152" i="4" s="1"/>
  <c r="K152" i="5" s="1"/>
  <c r="AF153" i="4"/>
  <c r="AP153" i="4" s="1"/>
  <c r="K153" i="5" s="1"/>
  <c r="AF154" i="4"/>
  <c r="AP154" i="4" s="1"/>
  <c r="K154" i="5" s="1"/>
  <c r="AF156" i="4"/>
  <c r="AP156" i="4" s="1"/>
  <c r="K156" i="5" s="1"/>
  <c r="AF157" i="4"/>
  <c r="AP157" i="4" s="1"/>
  <c r="K157" i="5" s="1"/>
  <c r="AF158" i="4"/>
  <c r="AP158" i="4" s="1"/>
  <c r="K158" i="5" s="1"/>
  <c r="AF160" i="4"/>
  <c r="AP160" i="4" s="1"/>
  <c r="K160" i="5" s="1"/>
  <c r="AF161" i="4"/>
  <c r="AP161" i="4" s="1"/>
  <c r="K161" i="5" s="1"/>
  <c r="AF163" i="4"/>
  <c r="AP163" i="4" s="1"/>
  <c r="K163" i="5" s="1"/>
  <c r="AF164" i="4"/>
  <c r="AP164" i="4" s="1"/>
  <c r="K164" i="5" s="1"/>
  <c r="AF165" i="4"/>
  <c r="AF166" i="4"/>
  <c r="AF167" i="4"/>
  <c r="AP167" i="4" s="1"/>
  <c r="K167" i="5" s="1"/>
  <c r="AF168" i="4"/>
  <c r="AP168" i="4" s="1"/>
  <c r="K168" i="5" s="1"/>
  <c r="AF169" i="4"/>
  <c r="AP169" i="4" s="1"/>
  <c r="K169" i="5" s="1"/>
  <c r="AF170" i="4"/>
  <c r="AP170" i="4" s="1"/>
  <c r="K170" i="5" s="1"/>
  <c r="AF171" i="4"/>
  <c r="AP171" i="4" s="1"/>
  <c r="K171" i="5" s="1"/>
  <c r="AF172" i="4"/>
  <c r="AP172" i="4" s="1"/>
  <c r="AF176" i="4"/>
  <c r="AP176" i="4" s="1"/>
  <c r="K176" i="5" s="1"/>
  <c r="AF177" i="4"/>
  <c r="AP177" i="4" s="1"/>
  <c r="K177" i="5" s="1"/>
  <c r="AF178" i="4"/>
  <c r="AP178" i="4" s="1"/>
  <c r="K178" i="5" s="1"/>
  <c r="AF179" i="4"/>
  <c r="AP179" i="4" s="1"/>
  <c r="K179" i="5" s="1"/>
  <c r="AF180" i="4"/>
  <c r="AP180" i="4" s="1"/>
  <c r="K180" i="5" s="1"/>
  <c r="AF181" i="4"/>
  <c r="AP181" i="4" s="1"/>
  <c r="K181" i="5" s="1"/>
  <c r="AF182" i="4"/>
  <c r="AP182" i="4" s="1"/>
  <c r="K182" i="5" s="1"/>
  <c r="AF183" i="4"/>
  <c r="AP183" i="4" s="1"/>
  <c r="K183" i="5" s="1"/>
  <c r="AF184" i="4"/>
  <c r="AP184" i="4" s="1"/>
  <c r="K184" i="5" s="1"/>
  <c r="AF185" i="4"/>
  <c r="AP185" i="4" s="1"/>
  <c r="K185" i="5" s="1"/>
  <c r="AF186" i="4"/>
  <c r="AP186" i="4" s="1"/>
  <c r="K186" i="5" s="1"/>
  <c r="AF187" i="4"/>
  <c r="AP187" i="4" s="1"/>
  <c r="K187" i="5" s="1"/>
  <c r="AF189" i="4"/>
  <c r="AP189" i="4" s="1"/>
  <c r="K189" i="5" s="1"/>
  <c r="AF191" i="4"/>
  <c r="AP191" i="4" s="1"/>
  <c r="K191" i="5" s="1"/>
  <c r="AF192" i="4"/>
  <c r="AP192" i="4" s="1"/>
  <c r="K192" i="5" s="1"/>
  <c r="AF193" i="4"/>
  <c r="AP193" i="4" s="1"/>
  <c r="K193" i="5" s="1"/>
  <c r="AF194" i="4"/>
  <c r="AP194" i="4" s="1"/>
  <c r="K194" i="5" s="1"/>
  <c r="AF195" i="4"/>
  <c r="AP195" i="4" s="1"/>
  <c r="K195" i="5" s="1"/>
  <c r="AF197" i="4"/>
  <c r="AP197" i="4" s="1"/>
  <c r="K197" i="5" s="1"/>
  <c r="AF198" i="4"/>
  <c r="AP198" i="4" s="1"/>
  <c r="K198" i="5" s="1"/>
  <c r="AF199" i="4"/>
  <c r="AP199" i="4" s="1"/>
  <c r="K199" i="5" s="1"/>
  <c r="AF200" i="4"/>
  <c r="AP200" i="4" s="1"/>
  <c r="K200" i="5" s="1"/>
  <c r="AF201" i="4"/>
  <c r="AP201" i="4" s="1"/>
  <c r="K201" i="5" s="1"/>
  <c r="AF202" i="4"/>
  <c r="AP202" i="4" s="1"/>
  <c r="K202" i="5" s="1"/>
  <c r="AF203" i="4"/>
  <c r="AP203" i="4" s="1"/>
  <c r="K203" i="5" s="1"/>
  <c r="AF205" i="4"/>
  <c r="AP205" i="4" s="1"/>
  <c r="K205" i="5" s="1"/>
  <c r="AF206" i="4"/>
  <c r="AF207" i="4"/>
  <c r="AP207" i="4" s="1"/>
  <c r="K207" i="5" s="1"/>
  <c r="AF208" i="4"/>
  <c r="AP208" i="4" s="1"/>
  <c r="K208" i="5" s="1"/>
  <c r="AF209" i="4"/>
  <c r="AP209" i="4" s="1"/>
  <c r="K209" i="5" s="1"/>
  <c r="AF210" i="4"/>
  <c r="AP210" i="4" s="1"/>
  <c r="K210" i="5" s="1"/>
  <c r="AF211" i="4"/>
  <c r="AP211" i="4" s="1"/>
  <c r="K211" i="5" s="1"/>
  <c r="AF212" i="4"/>
  <c r="AP212" i="4" s="1"/>
  <c r="K212" i="5" s="1"/>
  <c r="AF214" i="4"/>
  <c r="AP214" i="4" s="1"/>
  <c r="K214" i="5" s="1"/>
  <c r="AF215" i="4"/>
  <c r="AP215" i="4" s="1"/>
  <c r="K215" i="5" s="1"/>
  <c r="AF3" i="4"/>
  <c r="AP14" i="4"/>
  <c r="K14" i="5" s="1"/>
  <c r="AP22" i="4"/>
  <c r="K22" i="5" s="1"/>
  <c r="AP33" i="4"/>
  <c r="K33" i="5" s="1"/>
  <c r="AP38" i="4"/>
  <c r="K38" i="5" s="1"/>
  <c r="AP57" i="4"/>
  <c r="K57" i="5" s="1"/>
  <c r="AP58" i="4"/>
  <c r="K58" i="5" s="1"/>
  <c r="AP82" i="4"/>
  <c r="K82" i="5" s="1"/>
  <c r="AP97" i="4"/>
  <c r="K97" i="5" s="1"/>
  <c r="AP100" i="4"/>
  <c r="AP109" i="4"/>
  <c r="K109" i="5" s="1"/>
  <c r="AP122" i="4"/>
  <c r="K122" i="5" s="1"/>
  <c r="AP137" i="4"/>
  <c r="K137" i="5" s="1"/>
  <c r="AP165" i="4"/>
  <c r="K165" i="5" s="1"/>
  <c r="AP166" i="4"/>
  <c r="K166" i="5" s="1"/>
  <c r="AP206" i="4"/>
  <c r="K206" i="5" s="1"/>
  <c r="V4" i="4"/>
  <c r="AH4" i="4" s="1"/>
  <c r="W4" i="4"/>
  <c r="AI4" i="4" s="1"/>
  <c r="D4" i="5" s="1"/>
  <c r="X4" i="4"/>
  <c r="AJ4" i="4" s="1"/>
  <c r="E4" i="5" s="1"/>
  <c r="Y4" i="4"/>
  <c r="AK4" i="4" s="1"/>
  <c r="F4" i="5" s="1"/>
  <c r="Z4" i="4"/>
  <c r="AL4" i="4" s="1"/>
  <c r="AA4" i="4"/>
  <c r="AB4" i="4"/>
  <c r="AC4" i="4"/>
  <c r="AD4" i="4"/>
  <c r="AE4" i="4"/>
  <c r="AO4" i="4" s="1"/>
  <c r="J4" i="5" s="1"/>
  <c r="V5" i="4"/>
  <c r="AH5" i="4" s="1"/>
  <c r="C5" i="5" s="1"/>
  <c r="W5" i="4"/>
  <c r="AI5" i="4" s="1"/>
  <c r="D5" i="5" s="1"/>
  <c r="X5" i="4"/>
  <c r="AJ5" i="4" s="1"/>
  <c r="E5" i="5" s="1"/>
  <c r="Y5" i="4"/>
  <c r="AK5" i="4" s="1"/>
  <c r="F5" i="5" s="1"/>
  <c r="Z5" i="4"/>
  <c r="AL5" i="4" s="1"/>
  <c r="G5" i="5" s="1"/>
  <c r="AA5" i="4"/>
  <c r="AB5" i="4"/>
  <c r="AC5" i="4"/>
  <c r="AD5" i="4"/>
  <c r="AE5" i="4"/>
  <c r="AO5" i="4" s="1"/>
  <c r="J5" i="5" s="1"/>
  <c r="V6" i="4"/>
  <c r="AH6" i="4" s="1"/>
  <c r="C6" i="5" s="1"/>
  <c r="W6" i="4"/>
  <c r="AI6" i="4" s="1"/>
  <c r="D6" i="5" s="1"/>
  <c r="X6" i="4"/>
  <c r="AJ6" i="4" s="1"/>
  <c r="E6" i="5" s="1"/>
  <c r="Y6" i="4"/>
  <c r="AK6" i="4" s="1"/>
  <c r="F6" i="5" s="1"/>
  <c r="Z6" i="4"/>
  <c r="AL6" i="4" s="1"/>
  <c r="G6" i="5" s="1"/>
  <c r="AA6" i="4"/>
  <c r="AB6" i="4"/>
  <c r="AC6" i="4"/>
  <c r="AD6" i="4"/>
  <c r="AE6" i="4"/>
  <c r="AO6" i="4" s="1"/>
  <c r="J6" i="5" s="1"/>
  <c r="V7" i="4"/>
  <c r="AH7" i="4" s="1"/>
  <c r="C7" i="5" s="1"/>
  <c r="W7" i="4"/>
  <c r="AI7" i="4" s="1"/>
  <c r="D7" i="5" s="1"/>
  <c r="X7" i="4"/>
  <c r="AJ7" i="4" s="1"/>
  <c r="E7" i="5" s="1"/>
  <c r="Y7" i="4"/>
  <c r="AK7" i="4" s="1"/>
  <c r="F7" i="5" s="1"/>
  <c r="Z7" i="4"/>
  <c r="AL7" i="4" s="1"/>
  <c r="G7" i="5" s="1"/>
  <c r="AA7" i="4"/>
  <c r="AB7" i="4"/>
  <c r="AC7" i="4"/>
  <c r="AD7" i="4"/>
  <c r="AE7" i="4"/>
  <c r="AO7" i="4" s="1"/>
  <c r="J7" i="5" s="1"/>
  <c r="V8" i="4"/>
  <c r="AH8" i="4" s="1"/>
  <c r="C8" i="5" s="1"/>
  <c r="W8" i="4"/>
  <c r="AI8" i="4" s="1"/>
  <c r="D8" i="5" s="1"/>
  <c r="X8" i="4"/>
  <c r="AJ8" i="4" s="1"/>
  <c r="E8" i="5" s="1"/>
  <c r="Y8" i="4"/>
  <c r="AK8" i="4" s="1"/>
  <c r="F8" i="5" s="1"/>
  <c r="Z8" i="4"/>
  <c r="AL8" i="4" s="1"/>
  <c r="G8" i="5" s="1"/>
  <c r="AA8" i="4"/>
  <c r="AB8" i="4"/>
  <c r="AC8" i="4"/>
  <c r="AD8" i="4"/>
  <c r="AE8" i="4"/>
  <c r="AO8" i="4" s="1"/>
  <c r="J8" i="5" s="1"/>
  <c r="V9" i="4"/>
  <c r="AH9" i="4" s="1"/>
  <c r="C9" i="5" s="1"/>
  <c r="W9" i="4"/>
  <c r="AI9" i="4" s="1"/>
  <c r="D9" i="5" s="1"/>
  <c r="X9" i="4"/>
  <c r="AJ9" i="4" s="1"/>
  <c r="E9" i="5" s="1"/>
  <c r="Y9" i="4"/>
  <c r="AK9" i="4" s="1"/>
  <c r="F9" i="5" s="1"/>
  <c r="Z9" i="4"/>
  <c r="AL9" i="4" s="1"/>
  <c r="G9" i="5" s="1"/>
  <c r="AA9" i="4"/>
  <c r="AB9" i="4"/>
  <c r="AC9" i="4"/>
  <c r="AD9" i="4"/>
  <c r="AE9" i="4"/>
  <c r="AO9" i="4" s="1"/>
  <c r="J9" i="5" s="1"/>
  <c r="V10" i="4"/>
  <c r="AH10" i="4" s="1"/>
  <c r="C10" i="5" s="1"/>
  <c r="W10" i="4"/>
  <c r="AI10" i="4" s="1"/>
  <c r="D10" i="5" s="1"/>
  <c r="X10" i="4"/>
  <c r="AJ10" i="4" s="1"/>
  <c r="E10" i="5" s="1"/>
  <c r="Y10" i="4"/>
  <c r="AK10" i="4" s="1"/>
  <c r="F10" i="5" s="1"/>
  <c r="Z10" i="4"/>
  <c r="AL10" i="4" s="1"/>
  <c r="G10" i="5" s="1"/>
  <c r="AA10" i="4"/>
  <c r="AB10" i="4"/>
  <c r="AC10" i="4"/>
  <c r="AD10" i="4"/>
  <c r="AE10" i="4"/>
  <c r="AO10" i="4" s="1"/>
  <c r="J10" i="5" s="1"/>
  <c r="V11" i="4"/>
  <c r="AH11" i="4" s="1"/>
  <c r="C11" i="5" s="1"/>
  <c r="W11" i="4"/>
  <c r="AI11" i="4" s="1"/>
  <c r="D11" i="5" s="1"/>
  <c r="X11" i="4"/>
  <c r="AJ11" i="4" s="1"/>
  <c r="E11" i="5" s="1"/>
  <c r="Y11" i="4"/>
  <c r="AK11" i="4" s="1"/>
  <c r="F11" i="5" s="1"/>
  <c r="Z11" i="4"/>
  <c r="AL11" i="4" s="1"/>
  <c r="G11" i="5" s="1"/>
  <c r="AA11" i="4"/>
  <c r="AB11" i="4"/>
  <c r="AC11" i="4"/>
  <c r="AD11" i="4"/>
  <c r="AE11" i="4"/>
  <c r="AO11" i="4" s="1"/>
  <c r="J11" i="5" s="1"/>
  <c r="V12" i="4"/>
  <c r="AH12" i="4" s="1"/>
  <c r="C12" i="5" s="1"/>
  <c r="W12" i="4"/>
  <c r="AI12" i="4" s="1"/>
  <c r="D12" i="5" s="1"/>
  <c r="X12" i="4"/>
  <c r="AJ12" i="4" s="1"/>
  <c r="E12" i="5" s="1"/>
  <c r="Y12" i="4"/>
  <c r="AK12" i="4" s="1"/>
  <c r="F12" i="5" s="1"/>
  <c r="Z12" i="4"/>
  <c r="AL12" i="4" s="1"/>
  <c r="G12" i="5" s="1"/>
  <c r="AA12" i="4"/>
  <c r="AB12" i="4"/>
  <c r="AC12" i="4"/>
  <c r="AD12" i="4"/>
  <c r="AE12" i="4"/>
  <c r="AO12" i="4" s="1"/>
  <c r="J12" i="5" s="1"/>
  <c r="V13" i="4"/>
  <c r="W13" i="4"/>
  <c r="AI13" i="4" s="1"/>
  <c r="D13" i="5" s="1"/>
  <c r="X13" i="4"/>
  <c r="AJ13" i="4" s="1"/>
  <c r="Y13" i="4"/>
  <c r="AK13" i="4" s="1"/>
  <c r="F13" i="5" s="1"/>
  <c r="Z13" i="4"/>
  <c r="AA13" i="4"/>
  <c r="AB13" i="4"/>
  <c r="AC13" i="4"/>
  <c r="AD13" i="4"/>
  <c r="AE13" i="4"/>
  <c r="AO13" i="4" s="1"/>
  <c r="J13" i="5" s="1"/>
  <c r="V14" i="4"/>
  <c r="AH14" i="4" s="1"/>
  <c r="C14" i="5" s="1"/>
  <c r="W14" i="4"/>
  <c r="AI14" i="4" s="1"/>
  <c r="D14" i="5" s="1"/>
  <c r="X14" i="4"/>
  <c r="AJ14" i="4" s="1"/>
  <c r="E14" i="5" s="1"/>
  <c r="Y14" i="4"/>
  <c r="AK14" i="4" s="1"/>
  <c r="F14" i="5" s="1"/>
  <c r="Z14" i="4"/>
  <c r="AL14" i="4" s="1"/>
  <c r="G14" i="5" s="1"/>
  <c r="AA14" i="4"/>
  <c r="AB14" i="4"/>
  <c r="AC14" i="4"/>
  <c r="AD14" i="4"/>
  <c r="AE14" i="4"/>
  <c r="V17" i="4"/>
  <c r="AH17" i="4" s="1"/>
  <c r="C17" i="5" s="1"/>
  <c r="W17" i="4"/>
  <c r="AI17" i="4" s="1"/>
  <c r="D17" i="5" s="1"/>
  <c r="X17" i="4"/>
  <c r="AJ17" i="4" s="1"/>
  <c r="E17" i="5" s="1"/>
  <c r="Y17" i="4"/>
  <c r="AK17" i="4" s="1"/>
  <c r="F17" i="5" s="1"/>
  <c r="Z17" i="4"/>
  <c r="AL17" i="4" s="1"/>
  <c r="G17" i="5" s="1"/>
  <c r="AA17" i="4"/>
  <c r="AB17" i="4"/>
  <c r="AC17" i="4"/>
  <c r="AD17" i="4"/>
  <c r="AE17" i="4"/>
  <c r="AO17" i="4" s="1"/>
  <c r="J17" i="5" s="1"/>
  <c r="V18" i="4"/>
  <c r="AH18" i="4" s="1"/>
  <c r="C18" i="5" s="1"/>
  <c r="W18" i="4"/>
  <c r="AI18" i="4" s="1"/>
  <c r="D18" i="5" s="1"/>
  <c r="X18" i="4"/>
  <c r="AJ18" i="4" s="1"/>
  <c r="E18" i="5" s="1"/>
  <c r="Y18" i="4"/>
  <c r="AK18" i="4" s="1"/>
  <c r="F18" i="5" s="1"/>
  <c r="Z18" i="4"/>
  <c r="AL18" i="4" s="1"/>
  <c r="G18" i="5" s="1"/>
  <c r="AA18" i="4"/>
  <c r="AB18" i="4"/>
  <c r="AC18" i="4"/>
  <c r="AD18" i="4"/>
  <c r="AE18" i="4"/>
  <c r="AO18" i="4" s="1"/>
  <c r="J18" i="5" s="1"/>
  <c r="V19" i="4"/>
  <c r="AH19" i="4" s="1"/>
  <c r="C19" i="5" s="1"/>
  <c r="W19" i="4"/>
  <c r="AI19" i="4" s="1"/>
  <c r="D19" i="5" s="1"/>
  <c r="X19" i="4"/>
  <c r="AJ19" i="4" s="1"/>
  <c r="E19" i="5" s="1"/>
  <c r="Y19" i="4"/>
  <c r="AK19" i="4" s="1"/>
  <c r="F19" i="5" s="1"/>
  <c r="Z19" i="4"/>
  <c r="AL19" i="4" s="1"/>
  <c r="G19" i="5" s="1"/>
  <c r="AA19" i="4"/>
  <c r="AB19" i="4"/>
  <c r="AC19" i="4"/>
  <c r="AD19" i="4"/>
  <c r="AE19" i="4"/>
  <c r="AO19" i="4" s="1"/>
  <c r="J19" i="5" s="1"/>
  <c r="V20" i="4"/>
  <c r="AH20" i="4" s="1"/>
  <c r="C20" i="5" s="1"/>
  <c r="W20" i="4"/>
  <c r="AI20" i="4" s="1"/>
  <c r="D20" i="5" s="1"/>
  <c r="X20" i="4"/>
  <c r="AJ20" i="4" s="1"/>
  <c r="E20" i="5" s="1"/>
  <c r="Y20" i="4"/>
  <c r="AK20" i="4" s="1"/>
  <c r="F20" i="5" s="1"/>
  <c r="Z20" i="4"/>
  <c r="AL20" i="4" s="1"/>
  <c r="G20" i="5" s="1"/>
  <c r="AA20" i="4"/>
  <c r="AB20" i="4"/>
  <c r="AC20" i="4"/>
  <c r="AD20" i="4"/>
  <c r="AE20" i="4"/>
  <c r="AO20" i="4" s="1"/>
  <c r="J20" i="5" s="1"/>
  <c r="V21" i="4"/>
  <c r="W21" i="4"/>
  <c r="AI21" i="4" s="1"/>
  <c r="D21" i="5" s="1"/>
  <c r="X21" i="4"/>
  <c r="AJ21" i="4" s="1"/>
  <c r="E21" i="5" s="1"/>
  <c r="Y21" i="4"/>
  <c r="AK21" i="4" s="1"/>
  <c r="F21" i="5" s="1"/>
  <c r="Z21" i="4"/>
  <c r="AL21" i="4" s="1"/>
  <c r="G21" i="5" s="1"/>
  <c r="AA21" i="4"/>
  <c r="AB21" i="4"/>
  <c r="AC21" i="4"/>
  <c r="AD21" i="4"/>
  <c r="AE21" i="4"/>
  <c r="AO21" i="4" s="1"/>
  <c r="J21" i="5" s="1"/>
  <c r="V22" i="4"/>
  <c r="AH22" i="4" s="1"/>
  <c r="C22" i="5" s="1"/>
  <c r="W22" i="4"/>
  <c r="AI22" i="4" s="1"/>
  <c r="D22" i="5" s="1"/>
  <c r="X22" i="4"/>
  <c r="AJ22" i="4" s="1"/>
  <c r="E22" i="5" s="1"/>
  <c r="Y22" i="4"/>
  <c r="AK22" i="4" s="1"/>
  <c r="F22" i="5" s="1"/>
  <c r="Z22" i="4"/>
  <c r="AL22" i="4" s="1"/>
  <c r="G22" i="5" s="1"/>
  <c r="AA22" i="4"/>
  <c r="AB22" i="4"/>
  <c r="AC22" i="4"/>
  <c r="AD22" i="4"/>
  <c r="AE22" i="4"/>
  <c r="AO22" i="4" s="1"/>
  <c r="J22" i="5" s="1"/>
  <c r="V23" i="4"/>
  <c r="AH23" i="4" s="1"/>
  <c r="W23" i="4"/>
  <c r="AI23" i="4" s="1"/>
  <c r="D23" i="5" s="1"/>
  <c r="X23" i="4"/>
  <c r="AJ23" i="4" s="1"/>
  <c r="Y23" i="4"/>
  <c r="AK23" i="4" s="1"/>
  <c r="F23" i="5" s="1"/>
  <c r="Z23" i="4"/>
  <c r="AL23" i="4" s="1"/>
  <c r="AA23" i="4"/>
  <c r="AB23" i="4"/>
  <c r="AC23" i="4"/>
  <c r="AD23" i="4"/>
  <c r="AE23" i="4"/>
  <c r="AO23" i="4" s="1"/>
  <c r="J23" i="5" s="1"/>
  <c r="V24" i="4"/>
  <c r="AH24" i="4" s="1"/>
  <c r="C24" i="5" s="1"/>
  <c r="W24" i="4"/>
  <c r="AI24" i="4" s="1"/>
  <c r="D24" i="5" s="1"/>
  <c r="X24" i="4"/>
  <c r="AJ24" i="4" s="1"/>
  <c r="E24" i="5" s="1"/>
  <c r="Y24" i="4"/>
  <c r="AK24" i="4" s="1"/>
  <c r="F24" i="5" s="1"/>
  <c r="Z24" i="4"/>
  <c r="AL24" i="4" s="1"/>
  <c r="G24" i="5" s="1"/>
  <c r="AA24" i="4"/>
  <c r="AB24" i="4"/>
  <c r="AC24" i="4"/>
  <c r="AD24" i="4"/>
  <c r="AE24" i="4"/>
  <c r="AO24" i="4" s="1"/>
  <c r="J24" i="5" s="1"/>
  <c r="V25" i="4"/>
  <c r="AH25" i="4" s="1"/>
  <c r="C25" i="5" s="1"/>
  <c r="W25" i="4"/>
  <c r="AI25" i="4" s="1"/>
  <c r="D25" i="5" s="1"/>
  <c r="X25" i="4"/>
  <c r="AJ25" i="4" s="1"/>
  <c r="E25" i="5" s="1"/>
  <c r="Y25" i="4"/>
  <c r="AK25" i="4" s="1"/>
  <c r="F25" i="5" s="1"/>
  <c r="Z25" i="4"/>
  <c r="AL25" i="4" s="1"/>
  <c r="G25" i="5" s="1"/>
  <c r="AA25" i="4"/>
  <c r="AB25" i="4"/>
  <c r="AC25" i="4"/>
  <c r="AD25" i="4"/>
  <c r="AE25" i="4"/>
  <c r="AO25" i="4" s="1"/>
  <c r="J25" i="5" s="1"/>
  <c r="V26" i="4"/>
  <c r="AH26" i="4" s="1"/>
  <c r="C26" i="5" s="1"/>
  <c r="W26" i="4"/>
  <c r="AI26" i="4" s="1"/>
  <c r="D26" i="5" s="1"/>
  <c r="X26" i="4"/>
  <c r="AJ26" i="4" s="1"/>
  <c r="E26" i="5" s="1"/>
  <c r="Y26" i="4"/>
  <c r="AK26" i="4" s="1"/>
  <c r="F26" i="5" s="1"/>
  <c r="Z26" i="4"/>
  <c r="AL26" i="4" s="1"/>
  <c r="G26" i="5" s="1"/>
  <c r="AA26" i="4"/>
  <c r="AB26" i="4"/>
  <c r="AC26" i="4"/>
  <c r="AD26" i="4"/>
  <c r="AE26" i="4"/>
  <c r="AO26" i="4" s="1"/>
  <c r="J26" i="5" s="1"/>
  <c r="V27" i="4"/>
  <c r="AH27" i="4" s="1"/>
  <c r="C27" i="5" s="1"/>
  <c r="W27" i="4"/>
  <c r="AI27" i="4" s="1"/>
  <c r="D27" i="5" s="1"/>
  <c r="X27" i="4"/>
  <c r="AJ27" i="4" s="1"/>
  <c r="E27" i="5" s="1"/>
  <c r="Y27" i="4"/>
  <c r="AK27" i="4" s="1"/>
  <c r="F27" i="5" s="1"/>
  <c r="Z27" i="4"/>
  <c r="AL27" i="4" s="1"/>
  <c r="G27" i="5" s="1"/>
  <c r="AA27" i="4"/>
  <c r="AB27" i="4"/>
  <c r="AC27" i="4"/>
  <c r="AD27" i="4"/>
  <c r="AE27" i="4"/>
  <c r="AO27" i="4" s="1"/>
  <c r="J27" i="5" s="1"/>
  <c r="V28" i="4"/>
  <c r="AH28" i="4" s="1"/>
  <c r="W28" i="4"/>
  <c r="AI28" i="4" s="1"/>
  <c r="D28" i="5" s="1"/>
  <c r="X28" i="4"/>
  <c r="AJ28" i="4" s="1"/>
  <c r="E28" i="5" s="1"/>
  <c r="Y28" i="4"/>
  <c r="AK28" i="4" s="1"/>
  <c r="F28" i="5" s="1"/>
  <c r="Z28" i="4"/>
  <c r="AL28" i="4" s="1"/>
  <c r="G28" i="5" s="1"/>
  <c r="AA28" i="4"/>
  <c r="AB28" i="4"/>
  <c r="AC28" i="4"/>
  <c r="AD28" i="4"/>
  <c r="AE28" i="4"/>
  <c r="AO28" i="4" s="1"/>
  <c r="J28" i="5" s="1"/>
  <c r="V29" i="4"/>
  <c r="AH29" i="4" s="1"/>
  <c r="C29" i="5" s="1"/>
  <c r="W29" i="4"/>
  <c r="AI29" i="4" s="1"/>
  <c r="D29" i="5" s="1"/>
  <c r="X29" i="4"/>
  <c r="AJ29" i="4" s="1"/>
  <c r="E29" i="5" s="1"/>
  <c r="Y29" i="4"/>
  <c r="AK29" i="4" s="1"/>
  <c r="F29" i="5" s="1"/>
  <c r="Z29" i="4"/>
  <c r="AL29" i="4" s="1"/>
  <c r="G29" i="5" s="1"/>
  <c r="AA29" i="4"/>
  <c r="AB29" i="4"/>
  <c r="AC29" i="4"/>
  <c r="AD29" i="4"/>
  <c r="AE29" i="4"/>
  <c r="AO29" i="4" s="1"/>
  <c r="J29" i="5" s="1"/>
  <c r="V30" i="4"/>
  <c r="AH30" i="4" s="1"/>
  <c r="C30" i="5" s="1"/>
  <c r="W30" i="4"/>
  <c r="AI30" i="4" s="1"/>
  <c r="D30" i="5" s="1"/>
  <c r="X30" i="4"/>
  <c r="AJ30" i="4" s="1"/>
  <c r="E30" i="5" s="1"/>
  <c r="Y30" i="4"/>
  <c r="AK30" i="4" s="1"/>
  <c r="F30" i="5" s="1"/>
  <c r="Z30" i="4"/>
  <c r="AL30" i="4" s="1"/>
  <c r="G30" i="5" s="1"/>
  <c r="AA30" i="4"/>
  <c r="AB30" i="4"/>
  <c r="AC30" i="4"/>
  <c r="AD30" i="4"/>
  <c r="AE30" i="4"/>
  <c r="AO30" i="4" s="1"/>
  <c r="J30" i="5" s="1"/>
  <c r="V31" i="4"/>
  <c r="AH31" i="4" s="1"/>
  <c r="W31" i="4"/>
  <c r="AI31" i="4" s="1"/>
  <c r="X31" i="4"/>
  <c r="Y31" i="4"/>
  <c r="AK31" i="4" s="1"/>
  <c r="F31" i="5" s="1"/>
  <c r="Z31" i="4"/>
  <c r="AL31" i="4" s="1"/>
  <c r="AA31" i="4"/>
  <c r="AB31" i="4"/>
  <c r="AC31" i="4"/>
  <c r="AD31" i="4"/>
  <c r="AE31" i="4"/>
  <c r="AO31" i="4" s="1"/>
  <c r="J31" i="5" s="1"/>
  <c r="V32" i="4"/>
  <c r="AH32" i="4" s="1"/>
  <c r="C32" i="5" s="1"/>
  <c r="W32" i="4"/>
  <c r="AI32" i="4" s="1"/>
  <c r="D32" i="5" s="1"/>
  <c r="X32" i="4"/>
  <c r="AJ32" i="4" s="1"/>
  <c r="E32" i="5" s="1"/>
  <c r="Y32" i="4"/>
  <c r="AK32" i="4" s="1"/>
  <c r="F32" i="5" s="1"/>
  <c r="Z32" i="4"/>
  <c r="AL32" i="4" s="1"/>
  <c r="G32" i="5" s="1"/>
  <c r="AA32" i="4"/>
  <c r="AB32" i="4"/>
  <c r="AC32" i="4"/>
  <c r="AD32" i="4"/>
  <c r="AE32" i="4"/>
  <c r="AO32" i="4" s="1"/>
  <c r="J32" i="5" s="1"/>
  <c r="V33" i="4"/>
  <c r="AH33" i="4" s="1"/>
  <c r="C33" i="5" s="1"/>
  <c r="W33" i="4"/>
  <c r="AI33" i="4" s="1"/>
  <c r="D33" i="5" s="1"/>
  <c r="X33" i="4"/>
  <c r="AJ33" i="4" s="1"/>
  <c r="E33" i="5" s="1"/>
  <c r="Y33" i="4"/>
  <c r="AK33" i="4" s="1"/>
  <c r="F33" i="5" s="1"/>
  <c r="Z33" i="4"/>
  <c r="AL33" i="4" s="1"/>
  <c r="G33" i="5" s="1"/>
  <c r="AA33" i="4"/>
  <c r="AB33" i="4"/>
  <c r="AC33" i="4"/>
  <c r="AD33" i="4"/>
  <c r="AE33" i="4"/>
  <c r="AO33" i="4" s="1"/>
  <c r="J33" i="5" s="1"/>
  <c r="V34" i="4"/>
  <c r="AH34" i="4" s="1"/>
  <c r="C34" i="5" s="1"/>
  <c r="W34" i="4"/>
  <c r="AI34" i="4" s="1"/>
  <c r="D34" i="5" s="1"/>
  <c r="X34" i="4"/>
  <c r="AJ34" i="4" s="1"/>
  <c r="E34" i="5" s="1"/>
  <c r="Y34" i="4"/>
  <c r="AK34" i="4" s="1"/>
  <c r="F34" i="5" s="1"/>
  <c r="Z34" i="4"/>
  <c r="AL34" i="4" s="1"/>
  <c r="G34" i="5" s="1"/>
  <c r="AA34" i="4"/>
  <c r="AB34" i="4"/>
  <c r="AC34" i="4"/>
  <c r="AD34" i="4"/>
  <c r="AE34" i="4"/>
  <c r="AO34" i="4" s="1"/>
  <c r="J34" i="5" s="1"/>
  <c r="V35" i="4"/>
  <c r="AH35" i="4" s="1"/>
  <c r="C35" i="5" s="1"/>
  <c r="W35" i="4"/>
  <c r="AI35" i="4" s="1"/>
  <c r="X35" i="4"/>
  <c r="Y35" i="4"/>
  <c r="AK35" i="4" s="1"/>
  <c r="Z35" i="4"/>
  <c r="AL35" i="4" s="1"/>
  <c r="G35" i="5" s="1"/>
  <c r="AA35" i="4"/>
  <c r="AB35" i="4"/>
  <c r="AC35" i="4"/>
  <c r="AD35" i="4"/>
  <c r="AE35" i="4"/>
  <c r="AO35" i="4" s="1"/>
  <c r="J35" i="5" s="1"/>
  <c r="V36" i="4"/>
  <c r="AH36" i="4" s="1"/>
  <c r="C36" i="5" s="1"/>
  <c r="W36" i="4"/>
  <c r="AI36" i="4" s="1"/>
  <c r="D36" i="5" s="1"/>
  <c r="X36" i="4"/>
  <c r="AJ36" i="4" s="1"/>
  <c r="E36" i="5" s="1"/>
  <c r="Y36" i="4"/>
  <c r="AK36" i="4" s="1"/>
  <c r="F36" i="5" s="1"/>
  <c r="Z36" i="4"/>
  <c r="AL36" i="4" s="1"/>
  <c r="G36" i="5" s="1"/>
  <c r="AA36" i="4"/>
  <c r="AB36" i="4"/>
  <c r="AC36" i="4"/>
  <c r="AD36" i="4"/>
  <c r="AE36" i="4"/>
  <c r="AO36" i="4" s="1"/>
  <c r="J36" i="5" s="1"/>
  <c r="V37" i="4"/>
  <c r="AH37" i="4" s="1"/>
  <c r="C37" i="5" s="1"/>
  <c r="W37" i="4"/>
  <c r="AI37" i="4" s="1"/>
  <c r="D37" i="5" s="1"/>
  <c r="X37" i="4"/>
  <c r="AJ37" i="4" s="1"/>
  <c r="E37" i="5" s="1"/>
  <c r="Y37" i="4"/>
  <c r="AK37" i="4" s="1"/>
  <c r="F37" i="5" s="1"/>
  <c r="Z37" i="4"/>
  <c r="AA37" i="4"/>
  <c r="AB37" i="4"/>
  <c r="AC37" i="4"/>
  <c r="AD37" i="4"/>
  <c r="AE37" i="4"/>
  <c r="AO37" i="4" s="1"/>
  <c r="J37" i="5" s="1"/>
  <c r="V38" i="4"/>
  <c r="AH38" i="4" s="1"/>
  <c r="C38" i="5" s="1"/>
  <c r="W38" i="4"/>
  <c r="AI38" i="4" s="1"/>
  <c r="D38" i="5" s="1"/>
  <c r="X38" i="4"/>
  <c r="AJ38" i="4" s="1"/>
  <c r="E38" i="5" s="1"/>
  <c r="Y38" i="4"/>
  <c r="AK38" i="4" s="1"/>
  <c r="F38" i="5" s="1"/>
  <c r="Z38" i="4"/>
  <c r="AL38" i="4" s="1"/>
  <c r="G38" i="5" s="1"/>
  <c r="AA38" i="4"/>
  <c r="AB38" i="4"/>
  <c r="AC38" i="4"/>
  <c r="AD38" i="4"/>
  <c r="AE38" i="4"/>
  <c r="AO38" i="4" s="1"/>
  <c r="J38" i="5" s="1"/>
  <c r="V39" i="4"/>
  <c r="AH39" i="4" s="1"/>
  <c r="C39" i="5" s="1"/>
  <c r="W39" i="4"/>
  <c r="AI39" i="4" s="1"/>
  <c r="D39" i="5" s="1"/>
  <c r="X39" i="4"/>
  <c r="Y39" i="4"/>
  <c r="AK39" i="4" s="1"/>
  <c r="F39" i="5" s="1"/>
  <c r="Z39" i="4"/>
  <c r="AL39" i="4" s="1"/>
  <c r="G39" i="5" s="1"/>
  <c r="AA39" i="4"/>
  <c r="AB39" i="4"/>
  <c r="AC39" i="4"/>
  <c r="AD39" i="4"/>
  <c r="AE39" i="4"/>
  <c r="AO39" i="4" s="1"/>
  <c r="J39" i="5" s="1"/>
  <c r="V40" i="4"/>
  <c r="AH40" i="4" s="1"/>
  <c r="C40" i="5" s="1"/>
  <c r="W40" i="4"/>
  <c r="AI40" i="4" s="1"/>
  <c r="D40" i="5" s="1"/>
  <c r="X40" i="4"/>
  <c r="AJ40" i="4" s="1"/>
  <c r="E40" i="5" s="1"/>
  <c r="Y40" i="4"/>
  <c r="AK40" i="4" s="1"/>
  <c r="F40" i="5" s="1"/>
  <c r="Z40" i="4"/>
  <c r="AL40" i="4" s="1"/>
  <c r="G40" i="5" s="1"/>
  <c r="AA40" i="4"/>
  <c r="AB40" i="4"/>
  <c r="AC40" i="4"/>
  <c r="AD40" i="4"/>
  <c r="AE40" i="4"/>
  <c r="AO40" i="4" s="1"/>
  <c r="V41" i="4"/>
  <c r="AH41" i="4" s="1"/>
  <c r="C41" i="5" s="1"/>
  <c r="W41" i="4"/>
  <c r="AI41" i="4" s="1"/>
  <c r="D41" i="5" s="1"/>
  <c r="X41" i="4"/>
  <c r="AJ41" i="4" s="1"/>
  <c r="E41" i="5" s="1"/>
  <c r="Y41" i="4"/>
  <c r="AK41" i="4" s="1"/>
  <c r="F41" i="5" s="1"/>
  <c r="Z41" i="4"/>
  <c r="AL41" i="4" s="1"/>
  <c r="G41" i="5" s="1"/>
  <c r="AA41" i="4"/>
  <c r="AB41" i="4"/>
  <c r="AC41" i="4"/>
  <c r="AD41" i="4"/>
  <c r="AE41" i="4"/>
  <c r="AO41" i="4" s="1"/>
  <c r="J41" i="5" s="1"/>
  <c r="V43" i="4"/>
  <c r="AH43" i="4" s="1"/>
  <c r="C43" i="5" s="1"/>
  <c r="W43" i="4"/>
  <c r="AI43" i="4" s="1"/>
  <c r="D43" i="5" s="1"/>
  <c r="X43" i="4"/>
  <c r="AJ43" i="4" s="1"/>
  <c r="E43" i="5" s="1"/>
  <c r="Y43" i="4"/>
  <c r="AK43" i="4" s="1"/>
  <c r="F43" i="5" s="1"/>
  <c r="Z43" i="4"/>
  <c r="AL43" i="4" s="1"/>
  <c r="G43" i="5" s="1"/>
  <c r="AA43" i="4"/>
  <c r="AB43" i="4"/>
  <c r="AC43" i="4"/>
  <c r="AD43" i="4"/>
  <c r="AE43" i="4"/>
  <c r="AO43" i="4" s="1"/>
  <c r="J43" i="5" s="1"/>
  <c r="V44" i="4"/>
  <c r="AH44" i="4" s="1"/>
  <c r="C44" i="5" s="1"/>
  <c r="W44" i="4"/>
  <c r="AI44" i="4" s="1"/>
  <c r="D44" i="5" s="1"/>
  <c r="X44" i="4"/>
  <c r="AJ44" i="4" s="1"/>
  <c r="E44" i="5" s="1"/>
  <c r="Y44" i="4"/>
  <c r="AK44" i="4" s="1"/>
  <c r="F44" i="5" s="1"/>
  <c r="Z44" i="4"/>
  <c r="AL44" i="4" s="1"/>
  <c r="G44" i="5" s="1"/>
  <c r="AA44" i="4"/>
  <c r="AB44" i="4"/>
  <c r="AC44" i="4"/>
  <c r="AD44" i="4"/>
  <c r="AE44" i="4"/>
  <c r="AO44" i="4" s="1"/>
  <c r="J44" i="5" s="1"/>
  <c r="V45" i="4"/>
  <c r="AH45" i="4" s="1"/>
  <c r="C45" i="5" s="1"/>
  <c r="W45" i="4"/>
  <c r="AI45" i="4" s="1"/>
  <c r="D45" i="5" s="1"/>
  <c r="X45" i="4"/>
  <c r="AJ45" i="4" s="1"/>
  <c r="E45" i="5" s="1"/>
  <c r="Y45" i="4"/>
  <c r="AK45" i="4" s="1"/>
  <c r="F45" i="5" s="1"/>
  <c r="Z45" i="4"/>
  <c r="AL45" i="4" s="1"/>
  <c r="G45" i="5" s="1"/>
  <c r="AA45" i="4"/>
  <c r="AB45" i="4"/>
  <c r="AC45" i="4"/>
  <c r="AD45" i="4"/>
  <c r="AE45" i="4"/>
  <c r="AO45" i="4" s="1"/>
  <c r="J45" i="5" s="1"/>
  <c r="V46" i="4"/>
  <c r="AH46" i="4" s="1"/>
  <c r="C46" i="5" s="1"/>
  <c r="W46" i="4"/>
  <c r="AI46" i="4" s="1"/>
  <c r="D46" i="5" s="1"/>
  <c r="X46" i="4"/>
  <c r="AJ46" i="4" s="1"/>
  <c r="E46" i="5" s="1"/>
  <c r="Y46" i="4"/>
  <c r="AK46" i="4" s="1"/>
  <c r="F46" i="5" s="1"/>
  <c r="Z46" i="4"/>
  <c r="AL46" i="4" s="1"/>
  <c r="G46" i="5" s="1"/>
  <c r="AA46" i="4"/>
  <c r="AB46" i="4"/>
  <c r="AC46" i="4"/>
  <c r="AD46" i="4"/>
  <c r="AE46" i="4"/>
  <c r="AO46" i="4" s="1"/>
  <c r="J46" i="5" s="1"/>
  <c r="V47" i="4"/>
  <c r="AH47" i="4" s="1"/>
  <c r="C47" i="5" s="1"/>
  <c r="W47" i="4"/>
  <c r="AI47" i="4" s="1"/>
  <c r="D47" i="5" s="1"/>
  <c r="X47" i="4"/>
  <c r="AJ47" i="4" s="1"/>
  <c r="E47" i="5" s="1"/>
  <c r="Y47" i="4"/>
  <c r="AK47" i="4" s="1"/>
  <c r="F47" i="5" s="1"/>
  <c r="Z47" i="4"/>
  <c r="AL47" i="4" s="1"/>
  <c r="G47" i="5" s="1"/>
  <c r="AA47" i="4"/>
  <c r="AB47" i="4"/>
  <c r="AC47" i="4"/>
  <c r="AD47" i="4"/>
  <c r="AE47" i="4"/>
  <c r="AO47" i="4" s="1"/>
  <c r="J47" i="5" s="1"/>
  <c r="V48" i="4"/>
  <c r="AH48" i="4" s="1"/>
  <c r="C48" i="5" s="1"/>
  <c r="W48" i="4"/>
  <c r="AI48" i="4" s="1"/>
  <c r="D48" i="5" s="1"/>
  <c r="X48" i="4"/>
  <c r="AJ48" i="4" s="1"/>
  <c r="E48" i="5" s="1"/>
  <c r="Y48" i="4"/>
  <c r="AK48" i="4" s="1"/>
  <c r="F48" i="5" s="1"/>
  <c r="Z48" i="4"/>
  <c r="AL48" i="4" s="1"/>
  <c r="G48" i="5" s="1"/>
  <c r="AA48" i="4"/>
  <c r="AB48" i="4"/>
  <c r="AC48" i="4"/>
  <c r="AD48" i="4"/>
  <c r="AE48" i="4"/>
  <c r="AO48" i="4" s="1"/>
  <c r="J48" i="5" s="1"/>
  <c r="V49" i="4"/>
  <c r="AH49" i="4" s="1"/>
  <c r="C49" i="5" s="1"/>
  <c r="W49" i="4"/>
  <c r="AI49" i="4" s="1"/>
  <c r="D49" i="5" s="1"/>
  <c r="X49" i="4"/>
  <c r="AJ49" i="4" s="1"/>
  <c r="E49" i="5" s="1"/>
  <c r="Y49" i="4"/>
  <c r="AK49" i="4" s="1"/>
  <c r="F49" i="5" s="1"/>
  <c r="Z49" i="4"/>
  <c r="AL49" i="4" s="1"/>
  <c r="G49" i="5" s="1"/>
  <c r="AA49" i="4"/>
  <c r="AB49" i="4"/>
  <c r="AC49" i="4"/>
  <c r="AD49" i="4"/>
  <c r="AE49" i="4"/>
  <c r="AO49" i="4" s="1"/>
  <c r="J49" i="5" s="1"/>
  <c r="V50" i="4"/>
  <c r="AH50" i="4" s="1"/>
  <c r="C50" i="5" s="1"/>
  <c r="W50" i="4"/>
  <c r="AI50" i="4" s="1"/>
  <c r="D50" i="5" s="1"/>
  <c r="X50" i="4"/>
  <c r="AJ50" i="4" s="1"/>
  <c r="E50" i="5" s="1"/>
  <c r="Y50" i="4"/>
  <c r="AK50" i="4" s="1"/>
  <c r="F50" i="5" s="1"/>
  <c r="Z50" i="4"/>
  <c r="AL50" i="4" s="1"/>
  <c r="G50" i="5" s="1"/>
  <c r="AA50" i="4"/>
  <c r="AB50" i="4"/>
  <c r="AC50" i="4"/>
  <c r="AD50" i="4"/>
  <c r="AE50" i="4"/>
  <c r="AO50" i="4" s="1"/>
  <c r="J50" i="5" s="1"/>
  <c r="V51" i="4"/>
  <c r="AH51" i="4" s="1"/>
  <c r="C51" i="5" s="1"/>
  <c r="W51" i="4"/>
  <c r="AI51" i="4" s="1"/>
  <c r="D51" i="5" s="1"/>
  <c r="X51" i="4"/>
  <c r="AJ51" i="4" s="1"/>
  <c r="E51" i="5" s="1"/>
  <c r="Y51" i="4"/>
  <c r="AK51" i="4" s="1"/>
  <c r="F51" i="5" s="1"/>
  <c r="Z51" i="4"/>
  <c r="AL51" i="4" s="1"/>
  <c r="G51" i="5" s="1"/>
  <c r="AA51" i="4"/>
  <c r="AB51" i="4"/>
  <c r="AC51" i="4"/>
  <c r="AD51" i="4"/>
  <c r="AE51" i="4"/>
  <c r="AO51" i="4" s="1"/>
  <c r="J51" i="5" s="1"/>
  <c r="V52" i="4"/>
  <c r="AH52" i="4" s="1"/>
  <c r="C52" i="5" s="1"/>
  <c r="W52" i="4"/>
  <c r="AI52" i="4" s="1"/>
  <c r="D52" i="5" s="1"/>
  <c r="X52" i="4"/>
  <c r="AJ52" i="4" s="1"/>
  <c r="E52" i="5" s="1"/>
  <c r="Y52" i="4"/>
  <c r="AK52" i="4" s="1"/>
  <c r="F52" i="5" s="1"/>
  <c r="Z52" i="4"/>
  <c r="AL52" i="4" s="1"/>
  <c r="G52" i="5" s="1"/>
  <c r="AA52" i="4"/>
  <c r="AB52" i="4"/>
  <c r="AC52" i="4"/>
  <c r="AD52" i="4"/>
  <c r="AE52" i="4"/>
  <c r="AO52" i="4" s="1"/>
  <c r="J52" i="5" s="1"/>
  <c r="V53" i="4"/>
  <c r="AH53" i="4" s="1"/>
  <c r="C53" i="5" s="1"/>
  <c r="W53" i="4"/>
  <c r="AI53" i="4" s="1"/>
  <c r="D53" i="5" s="1"/>
  <c r="X53" i="4"/>
  <c r="AJ53" i="4" s="1"/>
  <c r="E53" i="5" s="1"/>
  <c r="Y53" i="4"/>
  <c r="AK53" i="4" s="1"/>
  <c r="F53" i="5" s="1"/>
  <c r="Z53" i="4"/>
  <c r="AL53" i="4" s="1"/>
  <c r="G53" i="5" s="1"/>
  <c r="AA53" i="4"/>
  <c r="AB53" i="4"/>
  <c r="AC53" i="4"/>
  <c r="AD53" i="4"/>
  <c r="AE53" i="4"/>
  <c r="AO53" i="4" s="1"/>
  <c r="J53" i="5" s="1"/>
  <c r="V54" i="4"/>
  <c r="AH54" i="4" s="1"/>
  <c r="C54" i="5" s="1"/>
  <c r="W54" i="4"/>
  <c r="AI54" i="4" s="1"/>
  <c r="D54" i="5" s="1"/>
  <c r="X54" i="4"/>
  <c r="AJ54" i="4" s="1"/>
  <c r="E54" i="5" s="1"/>
  <c r="Y54" i="4"/>
  <c r="AK54" i="4" s="1"/>
  <c r="F54" i="5" s="1"/>
  <c r="Z54" i="4"/>
  <c r="AL54" i="4" s="1"/>
  <c r="G54" i="5" s="1"/>
  <c r="AA54" i="4"/>
  <c r="AB54" i="4"/>
  <c r="AC54" i="4"/>
  <c r="AD54" i="4"/>
  <c r="AE54" i="4"/>
  <c r="AO54" i="4" s="1"/>
  <c r="J54" i="5" s="1"/>
  <c r="V55" i="4"/>
  <c r="AH55" i="4" s="1"/>
  <c r="C55" i="5" s="1"/>
  <c r="W55" i="4"/>
  <c r="AI55" i="4" s="1"/>
  <c r="D55" i="5" s="1"/>
  <c r="X55" i="4"/>
  <c r="AJ55" i="4" s="1"/>
  <c r="E55" i="5" s="1"/>
  <c r="Y55" i="4"/>
  <c r="AK55" i="4" s="1"/>
  <c r="F55" i="5" s="1"/>
  <c r="Z55" i="4"/>
  <c r="AL55" i="4" s="1"/>
  <c r="G55" i="5" s="1"/>
  <c r="AA55" i="4"/>
  <c r="AB55" i="4"/>
  <c r="AC55" i="4"/>
  <c r="AD55" i="4"/>
  <c r="AE55" i="4"/>
  <c r="AO55" i="4" s="1"/>
  <c r="J55" i="5" s="1"/>
  <c r="V56" i="4"/>
  <c r="AH56" i="4" s="1"/>
  <c r="C56" i="5" s="1"/>
  <c r="W56" i="4"/>
  <c r="AI56" i="4" s="1"/>
  <c r="D56" i="5" s="1"/>
  <c r="X56" i="4"/>
  <c r="AJ56" i="4" s="1"/>
  <c r="E56" i="5" s="1"/>
  <c r="Y56" i="4"/>
  <c r="AK56" i="4" s="1"/>
  <c r="F56" i="5" s="1"/>
  <c r="Z56" i="4"/>
  <c r="AL56" i="4" s="1"/>
  <c r="G56" i="5" s="1"/>
  <c r="AA56" i="4"/>
  <c r="AB56" i="4"/>
  <c r="AC56" i="4"/>
  <c r="AD56" i="4"/>
  <c r="AE56" i="4"/>
  <c r="AO56" i="4" s="1"/>
  <c r="J56" i="5" s="1"/>
  <c r="V57" i="4"/>
  <c r="AH57" i="4" s="1"/>
  <c r="C57" i="5" s="1"/>
  <c r="W57" i="4"/>
  <c r="AI57" i="4" s="1"/>
  <c r="D57" i="5" s="1"/>
  <c r="X57" i="4"/>
  <c r="AJ57" i="4" s="1"/>
  <c r="E57" i="5" s="1"/>
  <c r="Y57" i="4"/>
  <c r="AK57" i="4" s="1"/>
  <c r="F57" i="5" s="1"/>
  <c r="Z57" i="4"/>
  <c r="AL57" i="4" s="1"/>
  <c r="G57" i="5" s="1"/>
  <c r="AA57" i="4"/>
  <c r="AB57" i="4"/>
  <c r="AC57" i="4"/>
  <c r="AD57" i="4"/>
  <c r="AE57" i="4"/>
  <c r="AO57" i="4" s="1"/>
  <c r="J57" i="5" s="1"/>
  <c r="V58" i="4"/>
  <c r="AH58" i="4" s="1"/>
  <c r="C58" i="5" s="1"/>
  <c r="W58" i="4"/>
  <c r="AI58" i="4" s="1"/>
  <c r="D58" i="5" s="1"/>
  <c r="X58" i="4"/>
  <c r="AJ58" i="4" s="1"/>
  <c r="E58" i="5" s="1"/>
  <c r="Y58" i="4"/>
  <c r="AK58" i="4" s="1"/>
  <c r="F58" i="5" s="1"/>
  <c r="Z58" i="4"/>
  <c r="AL58" i="4" s="1"/>
  <c r="G58" i="5" s="1"/>
  <c r="AA58" i="4"/>
  <c r="AB58" i="4"/>
  <c r="AC58" i="4"/>
  <c r="AD58" i="4"/>
  <c r="AE58" i="4"/>
  <c r="AO58" i="4" s="1"/>
  <c r="J58" i="5" s="1"/>
  <c r="V59" i="4"/>
  <c r="AH59" i="4" s="1"/>
  <c r="C59" i="5" s="1"/>
  <c r="W59" i="4"/>
  <c r="AI59" i="4" s="1"/>
  <c r="D59" i="5" s="1"/>
  <c r="X59" i="4"/>
  <c r="AJ59" i="4" s="1"/>
  <c r="E59" i="5" s="1"/>
  <c r="Y59" i="4"/>
  <c r="AK59" i="4" s="1"/>
  <c r="F59" i="5" s="1"/>
  <c r="Z59" i="4"/>
  <c r="AL59" i="4" s="1"/>
  <c r="G59" i="5" s="1"/>
  <c r="AA59" i="4"/>
  <c r="AB59" i="4"/>
  <c r="AC59" i="4"/>
  <c r="AD59" i="4"/>
  <c r="AE59" i="4"/>
  <c r="AO59" i="4" s="1"/>
  <c r="J59" i="5" s="1"/>
  <c r="V60" i="4"/>
  <c r="AH60" i="4" s="1"/>
  <c r="C60" i="5" s="1"/>
  <c r="W60" i="4"/>
  <c r="AI60" i="4" s="1"/>
  <c r="D60" i="5" s="1"/>
  <c r="X60" i="4"/>
  <c r="AJ60" i="4" s="1"/>
  <c r="E60" i="5" s="1"/>
  <c r="Y60" i="4"/>
  <c r="AK60" i="4" s="1"/>
  <c r="F60" i="5" s="1"/>
  <c r="Z60" i="4"/>
  <c r="AL60" i="4" s="1"/>
  <c r="G60" i="5" s="1"/>
  <c r="AA60" i="4"/>
  <c r="AB60" i="4"/>
  <c r="AC60" i="4"/>
  <c r="AD60" i="4"/>
  <c r="AE60" i="4"/>
  <c r="AO60" i="4" s="1"/>
  <c r="J60" i="5" s="1"/>
  <c r="V61" i="4"/>
  <c r="AH61" i="4" s="1"/>
  <c r="C61" i="5" s="1"/>
  <c r="W61" i="4"/>
  <c r="AI61" i="4" s="1"/>
  <c r="D61" i="5" s="1"/>
  <c r="X61" i="4"/>
  <c r="AJ61" i="4" s="1"/>
  <c r="E61" i="5" s="1"/>
  <c r="Y61" i="4"/>
  <c r="AK61" i="4" s="1"/>
  <c r="F61" i="5" s="1"/>
  <c r="Z61" i="4"/>
  <c r="AL61" i="4" s="1"/>
  <c r="G61" i="5" s="1"/>
  <c r="AA61" i="4"/>
  <c r="AB61" i="4"/>
  <c r="AC61" i="4"/>
  <c r="AD61" i="4"/>
  <c r="AE61" i="4"/>
  <c r="AO61" i="4" s="1"/>
  <c r="J61" i="5" s="1"/>
  <c r="V62" i="4"/>
  <c r="AH62" i="4" s="1"/>
  <c r="C62" i="5" s="1"/>
  <c r="W62" i="4"/>
  <c r="AI62" i="4" s="1"/>
  <c r="D62" i="5" s="1"/>
  <c r="X62" i="4"/>
  <c r="AJ62" i="4" s="1"/>
  <c r="E62" i="5" s="1"/>
  <c r="Y62" i="4"/>
  <c r="AK62" i="4" s="1"/>
  <c r="F62" i="5" s="1"/>
  <c r="Z62" i="4"/>
  <c r="AL62" i="4" s="1"/>
  <c r="G62" i="5" s="1"/>
  <c r="AA62" i="4"/>
  <c r="AB62" i="4"/>
  <c r="AC62" i="4"/>
  <c r="AD62" i="4"/>
  <c r="AE62" i="4"/>
  <c r="AO62" i="4" s="1"/>
  <c r="J62" i="5" s="1"/>
  <c r="V64" i="4"/>
  <c r="AH64" i="4" s="1"/>
  <c r="C64" i="5" s="1"/>
  <c r="W64" i="4"/>
  <c r="AI64" i="4" s="1"/>
  <c r="D64" i="5" s="1"/>
  <c r="X64" i="4"/>
  <c r="AJ64" i="4" s="1"/>
  <c r="E64" i="5" s="1"/>
  <c r="Y64" i="4"/>
  <c r="AK64" i="4" s="1"/>
  <c r="F64" i="5" s="1"/>
  <c r="Z64" i="4"/>
  <c r="AL64" i="4" s="1"/>
  <c r="G64" i="5" s="1"/>
  <c r="AA64" i="4"/>
  <c r="AM64" i="4" s="1"/>
  <c r="H64" i="5" s="1"/>
  <c r="AB64" i="4"/>
  <c r="AC64" i="4"/>
  <c r="AD64" i="4"/>
  <c r="AE64" i="4"/>
  <c r="AO64" i="4" s="1"/>
  <c r="J64" i="5" s="1"/>
  <c r="V65" i="4"/>
  <c r="AH65" i="4" s="1"/>
  <c r="C65" i="5" s="1"/>
  <c r="W65" i="4"/>
  <c r="AI65" i="4" s="1"/>
  <c r="D65" i="5" s="1"/>
  <c r="X65" i="4"/>
  <c r="AJ65" i="4" s="1"/>
  <c r="E65" i="5" s="1"/>
  <c r="Y65" i="4"/>
  <c r="AK65" i="4" s="1"/>
  <c r="F65" i="5" s="1"/>
  <c r="Z65" i="4"/>
  <c r="AL65" i="4" s="1"/>
  <c r="G65" i="5" s="1"/>
  <c r="AA65" i="4"/>
  <c r="AB65" i="4"/>
  <c r="AC65" i="4"/>
  <c r="AN65" i="4" s="1"/>
  <c r="I65" i="5" s="1"/>
  <c r="AD65" i="4"/>
  <c r="AE65" i="4"/>
  <c r="AO65" i="4" s="1"/>
  <c r="J65" i="5" s="1"/>
  <c r="V66" i="4"/>
  <c r="AH66" i="4" s="1"/>
  <c r="C66" i="5" s="1"/>
  <c r="W66" i="4"/>
  <c r="AI66" i="4" s="1"/>
  <c r="D66" i="5" s="1"/>
  <c r="X66" i="4"/>
  <c r="AJ66" i="4" s="1"/>
  <c r="E66" i="5" s="1"/>
  <c r="Y66" i="4"/>
  <c r="AK66" i="4" s="1"/>
  <c r="F66" i="5" s="1"/>
  <c r="Z66" i="4"/>
  <c r="AL66" i="4" s="1"/>
  <c r="G66" i="5" s="1"/>
  <c r="AA66" i="4"/>
  <c r="AM66" i="4" s="1"/>
  <c r="H66" i="5" s="1"/>
  <c r="AB66" i="4"/>
  <c r="AC66" i="4"/>
  <c r="AD66" i="4"/>
  <c r="AE66" i="4"/>
  <c r="AO66" i="4" s="1"/>
  <c r="J66" i="5" s="1"/>
  <c r="V67" i="4"/>
  <c r="AH67" i="4" s="1"/>
  <c r="C67" i="5" s="1"/>
  <c r="W67" i="4"/>
  <c r="AI67" i="4" s="1"/>
  <c r="D67" i="5" s="1"/>
  <c r="X67" i="4"/>
  <c r="AJ67" i="4" s="1"/>
  <c r="E67" i="5" s="1"/>
  <c r="Y67" i="4"/>
  <c r="AK67" i="4" s="1"/>
  <c r="F67" i="5" s="1"/>
  <c r="Z67" i="4"/>
  <c r="AL67" i="4" s="1"/>
  <c r="G67" i="5" s="1"/>
  <c r="AA67" i="4"/>
  <c r="AB67" i="4"/>
  <c r="AC67" i="4"/>
  <c r="AN67" i="4" s="1"/>
  <c r="I67" i="5" s="1"/>
  <c r="AD67" i="4"/>
  <c r="AE67" i="4"/>
  <c r="AO67" i="4" s="1"/>
  <c r="J67" i="5" s="1"/>
  <c r="V68" i="4"/>
  <c r="AH68" i="4" s="1"/>
  <c r="C68" i="5" s="1"/>
  <c r="W68" i="4"/>
  <c r="AI68" i="4" s="1"/>
  <c r="D68" i="5" s="1"/>
  <c r="X68" i="4"/>
  <c r="AJ68" i="4" s="1"/>
  <c r="E68" i="5" s="1"/>
  <c r="Y68" i="4"/>
  <c r="AK68" i="4" s="1"/>
  <c r="F68" i="5" s="1"/>
  <c r="Z68" i="4"/>
  <c r="AL68" i="4" s="1"/>
  <c r="G68" i="5" s="1"/>
  <c r="AA68" i="4"/>
  <c r="AM68" i="4" s="1"/>
  <c r="H68" i="5" s="1"/>
  <c r="AB68" i="4"/>
  <c r="AC68" i="4"/>
  <c r="AD68" i="4"/>
  <c r="AE68" i="4"/>
  <c r="AO68" i="4" s="1"/>
  <c r="J68" i="5" s="1"/>
  <c r="V69" i="4"/>
  <c r="AH69" i="4" s="1"/>
  <c r="C69" i="5" s="1"/>
  <c r="W69" i="4"/>
  <c r="AI69" i="4" s="1"/>
  <c r="D69" i="5" s="1"/>
  <c r="X69" i="4"/>
  <c r="AJ69" i="4" s="1"/>
  <c r="E69" i="5" s="1"/>
  <c r="Y69" i="4"/>
  <c r="AK69" i="4" s="1"/>
  <c r="F69" i="5" s="1"/>
  <c r="Z69" i="4"/>
  <c r="AL69" i="4" s="1"/>
  <c r="G69" i="5" s="1"/>
  <c r="AA69" i="4"/>
  <c r="AB69" i="4"/>
  <c r="AC69" i="4"/>
  <c r="AN69" i="4" s="1"/>
  <c r="I69" i="5" s="1"/>
  <c r="AD69" i="4"/>
  <c r="AE69" i="4"/>
  <c r="AO69" i="4" s="1"/>
  <c r="J69" i="5" s="1"/>
  <c r="W70" i="4"/>
  <c r="AI70" i="4" s="1"/>
  <c r="D70" i="5" s="1"/>
  <c r="X70" i="4"/>
  <c r="AJ70" i="4" s="1"/>
  <c r="E70" i="5" s="1"/>
  <c r="Y70" i="4"/>
  <c r="AK70" i="4" s="1"/>
  <c r="F70" i="5" s="1"/>
  <c r="Z70" i="4"/>
  <c r="AL70" i="4" s="1"/>
  <c r="G70" i="5" s="1"/>
  <c r="AA70" i="4"/>
  <c r="AM70" i="4" s="1"/>
  <c r="H70" i="5" s="1"/>
  <c r="AC70" i="4"/>
  <c r="AE70" i="4"/>
  <c r="AO70" i="4" s="1"/>
  <c r="J70" i="5" s="1"/>
  <c r="V71" i="4"/>
  <c r="AH71" i="4" s="1"/>
  <c r="W71" i="4"/>
  <c r="AI71" i="4" s="1"/>
  <c r="D71" i="5" s="1"/>
  <c r="X71" i="4"/>
  <c r="AJ71" i="4" s="1"/>
  <c r="Y71" i="4"/>
  <c r="AK71" i="4" s="1"/>
  <c r="F71" i="5" s="1"/>
  <c r="Z71" i="4"/>
  <c r="AL71" i="4" s="1"/>
  <c r="AA71" i="4"/>
  <c r="AB71" i="4"/>
  <c r="AC71" i="4"/>
  <c r="AN71" i="4" s="1"/>
  <c r="AD71" i="4"/>
  <c r="AE71" i="4"/>
  <c r="AO71" i="4" s="1"/>
  <c r="J71" i="5" s="1"/>
  <c r="V73" i="4"/>
  <c r="AH73" i="4" s="1"/>
  <c r="C73" i="5" s="1"/>
  <c r="W73" i="4"/>
  <c r="AI73" i="4" s="1"/>
  <c r="D73" i="5" s="1"/>
  <c r="X73" i="4"/>
  <c r="AJ73" i="4" s="1"/>
  <c r="E73" i="5" s="1"/>
  <c r="Y73" i="4"/>
  <c r="AK73" i="4" s="1"/>
  <c r="F73" i="5" s="1"/>
  <c r="Z73" i="4"/>
  <c r="AL73" i="4" s="1"/>
  <c r="G73" i="5" s="1"/>
  <c r="AA73" i="4"/>
  <c r="AB73" i="4"/>
  <c r="AC73" i="4"/>
  <c r="AN73" i="4" s="1"/>
  <c r="I73" i="5" s="1"/>
  <c r="AD73" i="4"/>
  <c r="AE73" i="4"/>
  <c r="AO73" i="4" s="1"/>
  <c r="J73" i="5" s="1"/>
  <c r="V74" i="4"/>
  <c r="AH74" i="4" s="1"/>
  <c r="C74" i="5" s="1"/>
  <c r="W74" i="4"/>
  <c r="AI74" i="4" s="1"/>
  <c r="D74" i="5" s="1"/>
  <c r="X74" i="4"/>
  <c r="AJ74" i="4" s="1"/>
  <c r="E74" i="5" s="1"/>
  <c r="Y74" i="4"/>
  <c r="AK74" i="4" s="1"/>
  <c r="F74" i="5" s="1"/>
  <c r="Z74" i="4"/>
  <c r="AL74" i="4" s="1"/>
  <c r="G74" i="5" s="1"/>
  <c r="AA74" i="4"/>
  <c r="AB74" i="4"/>
  <c r="AC74" i="4"/>
  <c r="AD74" i="4"/>
  <c r="AE74" i="4"/>
  <c r="AO74" i="4" s="1"/>
  <c r="J74" i="5" s="1"/>
  <c r="V75" i="4"/>
  <c r="AH75" i="4" s="1"/>
  <c r="C75" i="5" s="1"/>
  <c r="W75" i="4"/>
  <c r="AI75" i="4" s="1"/>
  <c r="D75" i="5" s="1"/>
  <c r="X75" i="4"/>
  <c r="AJ75" i="4" s="1"/>
  <c r="E75" i="5" s="1"/>
  <c r="Y75" i="4"/>
  <c r="AK75" i="4" s="1"/>
  <c r="F75" i="5" s="1"/>
  <c r="Z75" i="4"/>
  <c r="AL75" i="4" s="1"/>
  <c r="G75" i="5" s="1"/>
  <c r="AA75" i="4"/>
  <c r="AB75" i="4"/>
  <c r="AC75" i="4"/>
  <c r="AD75" i="4"/>
  <c r="AE75" i="4"/>
  <c r="AO75" i="4" s="1"/>
  <c r="J75" i="5" s="1"/>
  <c r="V76" i="4"/>
  <c r="AH76" i="4" s="1"/>
  <c r="C76" i="5" s="1"/>
  <c r="W76" i="4"/>
  <c r="AI76" i="4" s="1"/>
  <c r="D76" i="5" s="1"/>
  <c r="X76" i="4"/>
  <c r="AJ76" i="4" s="1"/>
  <c r="E76" i="5" s="1"/>
  <c r="Y76" i="4"/>
  <c r="AK76" i="4" s="1"/>
  <c r="F76" i="5" s="1"/>
  <c r="Z76" i="4"/>
  <c r="AL76" i="4" s="1"/>
  <c r="G76" i="5" s="1"/>
  <c r="AA76" i="4"/>
  <c r="AB76" i="4"/>
  <c r="AC76" i="4"/>
  <c r="AD76" i="4"/>
  <c r="AE76" i="4"/>
  <c r="AO76" i="4" s="1"/>
  <c r="J76" i="5" s="1"/>
  <c r="V77" i="4"/>
  <c r="AH77" i="4" s="1"/>
  <c r="C77" i="5" s="1"/>
  <c r="W77" i="4"/>
  <c r="AI77" i="4" s="1"/>
  <c r="D77" i="5" s="1"/>
  <c r="X77" i="4"/>
  <c r="AJ77" i="4" s="1"/>
  <c r="E77" i="5" s="1"/>
  <c r="Y77" i="4"/>
  <c r="AK77" i="4" s="1"/>
  <c r="F77" i="5" s="1"/>
  <c r="Z77" i="4"/>
  <c r="AL77" i="4" s="1"/>
  <c r="G77" i="5" s="1"/>
  <c r="AA77" i="4"/>
  <c r="AB77" i="4"/>
  <c r="AC77" i="4"/>
  <c r="AD77" i="4"/>
  <c r="AE77" i="4"/>
  <c r="AO77" i="4" s="1"/>
  <c r="J77" i="5" s="1"/>
  <c r="V78" i="4"/>
  <c r="AH78" i="4" s="1"/>
  <c r="C78" i="5" s="1"/>
  <c r="W78" i="4"/>
  <c r="AI78" i="4" s="1"/>
  <c r="D78" i="5" s="1"/>
  <c r="X78" i="4"/>
  <c r="AJ78" i="4" s="1"/>
  <c r="E78" i="5" s="1"/>
  <c r="Y78" i="4"/>
  <c r="AK78" i="4" s="1"/>
  <c r="F78" i="5" s="1"/>
  <c r="Z78" i="4"/>
  <c r="AL78" i="4" s="1"/>
  <c r="G78" i="5" s="1"/>
  <c r="AA78" i="4"/>
  <c r="AB78" i="4"/>
  <c r="AC78" i="4"/>
  <c r="AD78" i="4"/>
  <c r="AE78" i="4"/>
  <c r="AO78" i="4" s="1"/>
  <c r="J78" i="5" s="1"/>
  <c r="V79" i="4"/>
  <c r="AH79" i="4" s="1"/>
  <c r="C79" i="5" s="1"/>
  <c r="W79" i="4"/>
  <c r="AI79" i="4" s="1"/>
  <c r="D79" i="5" s="1"/>
  <c r="X79" i="4"/>
  <c r="AJ79" i="4" s="1"/>
  <c r="E79" i="5" s="1"/>
  <c r="Y79" i="4"/>
  <c r="AK79" i="4" s="1"/>
  <c r="F79" i="5" s="1"/>
  <c r="Z79" i="4"/>
  <c r="AL79" i="4" s="1"/>
  <c r="G79" i="5" s="1"/>
  <c r="AA79" i="4"/>
  <c r="AB79" i="4"/>
  <c r="AC79" i="4"/>
  <c r="AD79" i="4"/>
  <c r="AE79" i="4"/>
  <c r="AO79" i="4" s="1"/>
  <c r="J79" i="5" s="1"/>
  <c r="V80" i="4"/>
  <c r="AH80" i="4" s="1"/>
  <c r="C80" i="5" s="1"/>
  <c r="W80" i="4"/>
  <c r="AI80" i="4" s="1"/>
  <c r="D80" i="5" s="1"/>
  <c r="X80" i="4"/>
  <c r="AJ80" i="4" s="1"/>
  <c r="E80" i="5" s="1"/>
  <c r="Y80" i="4"/>
  <c r="AK80" i="4" s="1"/>
  <c r="F80" i="5" s="1"/>
  <c r="Z80" i="4"/>
  <c r="AL80" i="4" s="1"/>
  <c r="G80" i="5" s="1"/>
  <c r="AA80" i="4"/>
  <c r="AB80" i="4"/>
  <c r="AC80" i="4"/>
  <c r="AD80" i="4"/>
  <c r="AE80" i="4"/>
  <c r="AO80" i="4" s="1"/>
  <c r="J80" i="5" s="1"/>
  <c r="V81" i="4"/>
  <c r="AH81" i="4" s="1"/>
  <c r="C81" i="5" s="1"/>
  <c r="W81" i="4"/>
  <c r="AI81" i="4" s="1"/>
  <c r="D81" i="5" s="1"/>
  <c r="X81" i="4"/>
  <c r="AJ81" i="4" s="1"/>
  <c r="E81" i="5" s="1"/>
  <c r="Y81" i="4"/>
  <c r="AK81" i="4" s="1"/>
  <c r="F81" i="5" s="1"/>
  <c r="Z81" i="4"/>
  <c r="AL81" i="4" s="1"/>
  <c r="G81" i="5" s="1"/>
  <c r="AA81" i="4"/>
  <c r="AB81" i="4"/>
  <c r="AC81" i="4"/>
  <c r="AD81" i="4"/>
  <c r="AE81" i="4"/>
  <c r="AO81" i="4" s="1"/>
  <c r="J81" i="5" s="1"/>
  <c r="V82" i="4"/>
  <c r="AH82" i="4" s="1"/>
  <c r="C82" i="5" s="1"/>
  <c r="W82" i="4"/>
  <c r="AI82" i="4" s="1"/>
  <c r="D82" i="5" s="1"/>
  <c r="X82" i="4"/>
  <c r="AJ82" i="4" s="1"/>
  <c r="E82" i="5" s="1"/>
  <c r="Y82" i="4"/>
  <c r="AK82" i="4" s="1"/>
  <c r="F82" i="5" s="1"/>
  <c r="Z82" i="4"/>
  <c r="AL82" i="4" s="1"/>
  <c r="G82" i="5" s="1"/>
  <c r="AA82" i="4"/>
  <c r="AB82" i="4"/>
  <c r="AC82" i="4"/>
  <c r="AD82" i="4"/>
  <c r="AE82" i="4"/>
  <c r="V83" i="4"/>
  <c r="AH83" i="4" s="1"/>
  <c r="C83" i="5" s="1"/>
  <c r="W83" i="4"/>
  <c r="AI83" i="4" s="1"/>
  <c r="D83" i="5" s="1"/>
  <c r="X83" i="4"/>
  <c r="AJ83" i="4" s="1"/>
  <c r="E83" i="5" s="1"/>
  <c r="Y83" i="4"/>
  <c r="AK83" i="4" s="1"/>
  <c r="F83" i="5" s="1"/>
  <c r="Z83" i="4"/>
  <c r="AL83" i="4" s="1"/>
  <c r="G83" i="5" s="1"/>
  <c r="AA83" i="4"/>
  <c r="AB83" i="4"/>
  <c r="AC83" i="4"/>
  <c r="AD83" i="4"/>
  <c r="AE83" i="4"/>
  <c r="AO83" i="4" s="1"/>
  <c r="J83" i="5" s="1"/>
  <c r="V84" i="4"/>
  <c r="AH84" i="4" s="1"/>
  <c r="C84" i="5" s="1"/>
  <c r="W84" i="4"/>
  <c r="AI84" i="4" s="1"/>
  <c r="D84" i="5" s="1"/>
  <c r="X84" i="4"/>
  <c r="AJ84" i="4" s="1"/>
  <c r="E84" i="5" s="1"/>
  <c r="Y84" i="4"/>
  <c r="AK84" i="4" s="1"/>
  <c r="F84" i="5" s="1"/>
  <c r="Z84" i="4"/>
  <c r="AL84" i="4" s="1"/>
  <c r="G84" i="5" s="1"/>
  <c r="AA84" i="4"/>
  <c r="AB84" i="4"/>
  <c r="AC84" i="4"/>
  <c r="AD84" i="4"/>
  <c r="AE84" i="4"/>
  <c r="AO84" i="4" s="1"/>
  <c r="J84" i="5" s="1"/>
  <c r="V85" i="4"/>
  <c r="AH85" i="4" s="1"/>
  <c r="C85" i="5" s="1"/>
  <c r="W85" i="4"/>
  <c r="AI85" i="4" s="1"/>
  <c r="D85" i="5" s="1"/>
  <c r="X85" i="4"/>
  <c r="AJ85" i="4" s="1"/>
  <c r="E85" i="5" s="1"/>
  <c r="Y85" i="4"/>
  <c r="AK85" i="4" s="1"/>
  <c r="F85" i="5" s="1"/>
  <c r="Z85" i="4"/>
  <c r="AL85" i="4" s="1"/>
  <c r="G85" i="5" s="1"/>
  <c r="AA85" i="4"/>
  <c r="AB85" i="4"/>
  <c r="AC85" i="4"/>
  <c r="AD85" i="4"/>
  <c r="AE85" i="4"/>
  <c r="AO85" i="4" s="1"/>
  <c r="J85" i="5" s="1"/>
  <c r="V86" i="4"/>
  <c r="AH86" i="4" s="1"/>
  <c r="C86" i="5" s="1"/>
  <c r="W86" i="4"/>
  <c r="AI86" i="4" s="1"/>
  <c r="D86" i="5" s="1"/>
  <c r="X86" i="4"/>
  <c r="AJ86" i="4" s="1"/>
  <c r="E86" i="5" s="1"/>
  <c r="Y86" i="4"/>
  <c r="AK86" i="4" s="1"/>
  <c r="F86" i="5" s="1"/>
  <c r="Z86" i="4"/>
  <c r="AL86" i="4" s="1"/>
  <c r="G86" i="5" s="1"/>
  <c r="AA86" i="4"/>
  <c r="AB86" i="4"/>
  <c r="AC86" i="4"/>
  <c r="AD86" i="4"/>
  <c r="AE86" i="4"/>
  <c r="AO86" i="4" s="1"/>
  <c r="J86" i="5" s="1"/>
  <c r="V87" i="4"/>
  <c r="AH87" i="4" s="1"/>
  <c r="C87" i="5" s="1"/>
  <c r="W87" i="4"/>
  <c r="AI87" i="4" s="1"/>
  <c r="D87" i="5" s="1"/>
  <c r="X87" i="4"/>
  <c r="AJ87" i="4" s="1"/>
  <c r="E87" i="5" s="1"/>
  <c r="Y87" i="4"/>
  <c r="AK87" i="4" s="1"/>
  <c r="F87" i="5" s="1"/>
  <c r="Z87" i="4"/>
  <c r="AL87" i="4" s="1"/>
  <c r="G87" i="5" s="1"/>
  <c r="AA87" i="4"/>
  <c r="AB87" i="4"/>
  <c r="AC87" i="4"/>
  <c r="AD87" i="4"/>
  <c r="AE87" i="4"/>
  <c r="AO87" i="4" s="1"/>
  <c r="J87" i="5" s="1"/>
  <c r="V88" i="4"/>
  <c r="AH88" i="4" s="1"/>
  <c r="C88" i="5" s="1"/>
  <c r="W88" i="4"/>
  <c r="AI88" i="4" s="1"/>
  <c r="D88" i="5" s="1"/>
  <c r="X88" i="4"/>
  <c r="AJ88" i="4" s="1"/>
  <c r="E88" i="5" s="1"/>
  <c r="Y88" i="4"/>
  <c r="AK88" i="4" s="1"/>
  <c r="F88" i="5" s="1"/>
  <c r="Z88" i="4"/>
  <c r="AL88" i="4" s="1"/>
  <c r="G88" i="5" s="1"/>
  <c r="AA88" i="4"/>
  <c r="AB88" i="4"/>
  <c r="AC88" i="4"/>
  <c r="AD88" i="4"/>
  <c r="AE88" i="4"/>
  <c r="AO88" i="4" s="1"/>
  <c r="J88" i="5" s="1"/>
  <c r="V89" i="4"/>
  <c r="AH89" i="4" s="1"/>
  <c r="C89" i="5" s="1"/>
  <c r="W89" i="4"/>
  <c r="AI89" i="4" s="1"/>
  <c r="D89" i="5" s="1"/>
  <c r="X89" i="4"/>
  <c r="AJ89" i="4" s="1"/>
  <c r="E89" i="5" s="1"/>
  <c r="Y89" i="4"/>
  <c r="AK89" i="4" s="1"/>
  <c r="F89" i="5" s="1"/>
  <c r="Z89" i="4"/>
  <c r="AL89" i="4" s="1"/>
  <c r="G89" i="5" s="1"/>
  <c r="AA89" i="4"/>
  <c r="AB89" i="4"/>
  <c r="AC89" i="4"/>
  <c r="AD89" i="4"/>
  <c r="AE89" i="4"/>
  <c r="AO89" i="4" s="1"/>
  <c r="J89" i="5" s="1"/>
  <c r="V90" i="4"/>
  <c r="AH90" i="4" s="1"/>
  <c r="C90" i="5" s="1"/>
  <c r="W90" i="4"/>
  <c r="AI90" i="4" s="1"/>
  <c r="D90" i="5" s="1"/>
  <c r="X90" i="4"/>
  <c r="AJ90" i="4" s="1"/>
  <c r="E90" i="5" s="1"/>
  <c r="Y90" i="4"/>
  <c r="AK90" i="4" s="1"/>
  <c r="F90" i="5" s="1"/>
  <c r="Z90" i="4"/>
  <c r="AL90" i="4" s="1"/>
  <c r="G90" i="5" s="1"/>
  <c r="AA90" i="4"/>
  <c r="AB90" i="4"/>
  <c r="AC90" i="4"/>
  <c r="AD90" i="4"/>
  <c r="AE90" i="4"/>
  <c r="AO90" i="4" s="1"/>
  <c r="J90" i="5" s="1"/>
  <c r="V91" i="4"/>
  <c r="AH91" i="4" s="1"/>
  <c r="C91" i="5" s="1"/>
  <c r="W91" i="4"/>
  <c r="AI91" i="4" s="1"/>
  <c r="D91" i="5" s="1"/>
  <c r="X91" i="4"/>
  <c r="AJ91" i="4" s="1"/>
  <c r="E91" i="5" s="1"/>
  <c r="Y91" i="4"/>
  <c r="AK91" i="4" s="1"/>
  <c r="F91" i="5" s="1"/>
  <c r="Z91" i="4"/>
  <c r="AL91" i="4" s="1"/>
  <c r="G91" i="5" s="1"/>
  <c r="AA91" i="4"/>
  <c r="AB91" i="4"/>
  <c r="AC91" i="4"/>
  <c r="AD91" i="4"/>
  <c r="AE91" i="4"/>
  <c r="AO91" i="4" s="1"/>
  <c r="J91" i="5" s="1"/>
  <c r="V92" i="4"/>
  <c r="AH92" i="4" s="1"/>
  <c r="W92" i="4"/>
  <c r="AI92" i="4" s="1"/>
  <c r="D92" i="5" s="1"/>
  <c r="X92" i="4"/>
  <c r="AJ92" i="4" s="1"/>
  <c r="E92" i="5" s="1"/>
  <c r="Y92" i="4"/>
  <c r="AK92" i="4" s="1"/>
  <c r="F92" i="5" s="1"/>
  <c r="Z92" i="4"/>
  <c r="AL92" i="4" s="1"/>
  <c r="G92" i="5" s="1"/>
  <c r="AA92" i="4"/>
  <c r="AB92" i="4"/>
  <c r="AC92" i="4"/>
  <c r="AD92" i="4"/>
  <c r="AE92" i="4"/>
  <c r="AO92" i="4" s="1"/>
  <c r="J92" i="5" s="1"/>
  <c r="V93" i="4"/>
  <c r="AH93" i="4" s="1"/>
  <c r="W93" i="4"/>
  <c r="AI93" i="4" s="1"/>
  <c r="D93" i="5" s="1"/>
  <c r="X93" i="4"/>
  <c r="AJ93" i="4" s="1"/>
  <c r="E93" i="5" s="1"/>
  <c r="Y93" i="4"/>
  <c r="AK93" i="4" s="1"/>
  <c r="F93" i="5" s="1"/>
  <c r="Z93" i="4"/>
  <c r="AL93" i="4" s="1"/>
  <c r="G93" i="5" s="1"/>
  <c r="AA93" i="4"/>
  <c r="AB93" i="4"/>
  <c r="AC93" i="4"/>
  <c r="AD93" i="4"/>
  <c r="AE93" i="4"/>
  <c r="AO93" i="4" s="1"/>
  <c r="J93" i="5" s="1"/>
  <c r="V94" i="4"/>
  <c r="AH94" i="4" s="1"/>
  <c r="W94" i="4"/>
  <c r="AI94" i="4" s="1"/>
  <c r="D94" i="5" s="1"/>
  <c r="X94" i="4"/>
  <c r="AJ94" i="4" s="1"/>
  <c r="Y94" i="4"/>
  <c r="AK94" i="4" s="1"/>
  <c r="F94" i="5" s="1"/>
  <c r="Z94" i="4"/>
  <c r="AL94" i="4" s="1"/>
  <c r="G94" i="5" s="1"/>
  <c r="AA94" i="4"/>
  <c r="AB94" i="4"/>
  <c r="AC94" i="4"/>
  <c r="AD94" i="4"/>
  <c r="AE94" i="4"/>
  <c r="AO94" i="4" s="1"/>
  <c r="J94" i="5" s="1"/>
  <c r="V95" i="4"/>
  <c r="AH95" i="4" s="1"/>
  <c r="C95" i="5" s="1"/>
  <c r="W95" i="4"/>
  <c r="AI95" i="4" s="1"/>
  <c r="D95" i="5" s="1"/>
  <c r="X95" i="4"/>
  <c r="AJ95" i="4" s="1"/>
  <c r="E95" i="5" s="1"/>
  <c r="Y95" i="4"/>
  <c r="AK95" i="4" s="1"/>
  <c r="F95" i="5" s="1"/>
  <c r="Z95" i="4"/>
  <c r="AL95" i="4" s="1"/>
  <c r="G95" i="5" s="1"/>
  <c r="AA95" i="4"/>
  <c r="AB95" i="4"/>
  <c r="AC95" i="4"/>
  <c r="AD95" i="4"/>
  <c r="AE95" i="4"/>
  <c r="AO95" i="4" s="1"/>
  <c r="J95" i="5" s="1"/>
  <c r="V96" i="4"/>
  <c r="AH96" i="4" s="1"/>
  <c r="C96" i="5" s="1"/>
  <c r="W96" i="4"/>
  <c r="AI96" i="4" s="1"/>
  <c r="D96" i="5" s="1"/>
  <c r="X96" i="4"/>
  <c r="AJ96" i="4" s="1"/>
  <c r="E96" i="5" s="1"/>
  <c r="Y96" i="4"/>
  <c r="AK96" i="4" s="1"/>
  <c r="F96" i="5" s="1"/>
  <c r="Z96" i="4"/>
  <c r="AL96" i="4" s="1"/>
  <c r="G96" i="5" s="1"/>
  <c r="AA96" i="4"/>
  <c r="AB96" i="4"/>
  <c r="AC96" i="4"/>
  <c r="AD96" i="4"/>
  <c r="AE96" i="4"/>
  <c r="AO96" i="4" s="1"/>
  <c r="J96" i="5" s="1"/>
  <c r="V97" i="4"/>
  <c r="AH97" i="4" s="1"/>
  <c r="C97" i="5" s="1"/>
  <c r="W97" i="4"/>
  <c r="AI97" i="4" s="1"/>
  <c r="D97" i="5" s="1"/>
  <c r="X97" i="4"/>
  <c r="AJ97" i="4" s="1"/>
  <c r="E97" i="5" s="1"/>
  <c r="Y97" i="4"/>
  <c r="AK97" i="4" s="1"/>
  <c r="F97" i="5" s="1"/>
  <c r="Z97" i="4"/>
  <c r="AL97" i="4" s="1"/>
  <c r="G97" i="5" s="1"/>
  <c r="AA97" i="4"/>
  <c r="AB97" i="4"/>
  <c r="AC97" i="4"/>
  <c r="AD97" i="4"/>
  <c r="AE97" i="4"/>
  <c r="AO97" i="4" s="1"/>
  <c r="J97" i="5" s="1"/>
  <c r="V98" i="4"/>
  <c r="AH98" i="4" s="1"/>
  <c r="C98" i="5" s="1"/>
  <c r="W98" i="4"/>
  <c r="AI98" i="4" s="1"/>
  <c r="D98" i="5" s="1"/>
  <c r="X98" i="4"/>
  <c r="AJ98" i="4" s="1"/>
  <c r="E98" i="5" s="1"/>
  <c r="Y98" i="4"/>
  <c r="AK98" i="4" s="1"/>
  <c r="F98" i="5" s="1"/>
  <c r="Z98" i="4"/>
  <c r="AL98" i="4" s="1"/>
  <c r="G98" i="5" s="1"/>
  <c r="AA98" i="4"/>
  <c r="AB98" i="4"/>
  <c r="AC98" i="4"/>
  <c r="AD98" i="4"/>
  <c r="AE98" i="4"/>
  <c r="AO98" i="4" s="1"/>
  <c r="J98" i="5" s="1"/>
  <c r="V99" i="4"/>
  <c r="AH99" i="4" s="1"/>
  <c r="C99" i="5" s="1"/>
  <c r="W99" i="4"/>
  <c r="AI99" i="4" s="1"/>
  <c r="D99" i="5" s="1"/>
  <c r="X99" i="4"/>
  <c r="AJ99" i="4" s="1"/>
  <c r="E99" i="5" s="1"/>
  <c r="Y99" i="4"/>
  <c r="AK99" i="4" s="1"/>
  <c r="F99" i="5" s="1"/>
  <c r="Z99" i="4"/>
  <c r="AL99" i="4" s="1"/>
  <c r="G99" i="5" s="1"/>
  <c r="AA99" i="4"/>
  <c r="AB99" i="4"/>
  <c r="AC99" i="4"/>
  <c r="AD99" i="4"/>
  <c r="AE99" i="4"/>
  <c r="AO99" i="4" s="1"/>
  <c r="J99" i="5" s="1"/>
  <c r="V100" i="4"/>
  <c r="AH100" i="4" s="1"/>
  <c r="W100" i="4"/>
  <c r="AI100" i="4" s="1"/>
  <c r="D100" i="5" s="1"/>
  <c r="X100" i="4"/>
  <c r="AJ100" i="4" s="1"/>
  <c r="E100" i="5" s="1"/>
  <c r="Y100" i="4"/>
  <c r="AK100" i="4" s="1"/>
  <c r="F100" i="5" s="1"/>
  <c r="Z100" i="4"/>
  <c r="AL100" i="4" s="1"/>
  <c r="G100" i="5" s="1"/>
  <c r="AA100" i="4"/>
  <c r="AB100" i="4"/>
  <c r="AC100" i="4"/>
  <c r="AD100" i="4"/>
  <c r="AE100" i="4"/>
  <c r="AO100" i="4" s="1"/>
  <c r="J100" i="5" s="1"/>
  <c r="V101" i="4"/>
  <c r="AH101" i="4" s="1"/>
  <c r="W101" i="4"/>
  <c r="AI101" i="4" s="1"/>
  <c r="D101" i="5" s="1"/>
  <c r="X101" i="4"/>
  <c r="AJ101" i="4" s="1"/>
  <c r="E101" i="5" s="1"/>
  <c r="Y101" i="4"/>
  <c r="AK101" i="4" s="1"/>
  <c r="F101" i="5" s="1"/>
  <c r="Z101" i="4"/>
  <c r="AL101" i="4" s="1"/>
  <c r="G101" i="5" s="1"/>
  <c r="AA101" i="4"/>
  <c r="AB101" i="4"/>
  <c r="AC101" i="4"/>
  <c r="AD101" i="4"/>
  <c r="AE101" i="4"/>
  <c r="AO101" i="4" s="1"/>
  <c r="J101" i="5" s="1"/>
  <c r="V102" i="4"/>
  <c r="AH102" i="4" s="1"/>
  <c r="C102" i="5" s="1"/>
  <c r="W102" i="4"/>
  <c r="AI102" i="4" s="1"/>
  <c r="D102" i="5" s="1"/>
  <c r="X102" i="4"/>
  <c r="AJ102" i="4" s="1"/>
  <c r="E102" i="5" s="1"/>
  <c r="Y102" i="4"/>
  <c r="AK102" i="4" s="1"/>
  <c r="F102" i="5" s="1"/>
  <c r="Z102" i="4"/>
  <c r="AL102" i="4" s="1"/>
  <c r="G102" i="5" s="1"/>
  <c r="AA102" i="4"/>
  <c r="AB102" i="4"/>
  <c r="AC102" i="4"/>
  <c r="AD102" i="4"/>
  <c r="AE102" i="4"/>
  <c r="V103" i="4"/>
  <c r="AH103" i="4" s="1"/>
  <c r="W103" i="4"/>
  <c r="AI103" i="4" s="1"/>
  <c r="D103" i="5" s="1"/>
  <c r="X103" i="4"/>
  <c r="Y103" i="4"/>
  <c r="AK103" i="4" s="1"/>
  <c r="F103" i="5" s="1"/>
  <c r="Z103" i="4"/>
  <c r="AL103" i="4" s="1"/>
  <c r="AA103" i="4"/>
  <c r="AB103" i="4"/>
  <c r="AC103" i="4"/>
  <c r="AD103" i="4"/>
  <c r="AE103" i="4"/>
  <c r="AO103" i="4" s="1"/>
  <c r="J103" i="5" s="1"/>
  <c r="V104" i="4"/>
  <c r="AH104" i="4" s="1"/>
  <c r="C104" i="5" s="1"/>
  <c r="W104" i="4"/>
  <c r="AI104" i="4" s="1"/>
  <c r="D104" i="5" s="1"/>
  <c r="X104" i="4"/>
  <c r="AJ104" i="4" s="1"/>
  <c r="E104" i="5" s="1"/>
  <c r="Y104" i="4"/>
  <c r="AK104" i="4" s="1"/>
  <c r="F104" i="5" s="1"/>
  <c r="Z104" i="4"/>
  <c r="AL104" i="4" s="1"/>
  <c r="G104" i="5" s="1"/>
  <c r="AA104" i="4"/>
  <c r="AB104" i="4"/>
  <c r="AC104" i="4"/>
  <c r="AD104" i="4"/>
  <c r="AE104" i="4"/>
  <c r="AO104" i="4" s="1"/>
  <c r="J104" i="5" s="1"/>
  <c r="V105" i="4"/>
  <c r="AH105" i="4" s="1"/>
  <c r="C105" i="5" s="1"/>
  <c r="W105" i="4"/>
  <c r="AI105" i="4" s="1"/>
  <c r="D105" i="5" s="1"/>
  <c r="X105" i="4"/>
  <c r="AJ105" i="4" s="1"/>
  <c r="E105" i="5" s="1"/>
  <c r="Y105" i="4"/>
  <c r="AK105" i="4" s="1"/>
  <c r="F105" i="5" s="1"/>
  <c r="Z105" i="4"/>
  <c r="AL105" i="4" s="1"/>
  <c r="G105" i="5" s="1"/>
  <c r="AA105" i="4"/>
  <c r="AB105" i="4"/>
  <c r="AC105" i="4"/>
  <c r="AD105" i="4"/>
  <c r="AE105" i="4"/>
  <c r="AO105" i="4" s="1"/>
  <c r="J105" i="5" s="1"/>
  <c r="V106" i="4"/>
  <c r="AH106" i="4" s="1"/>
  <c r="C106" i="5" s="1"/>
  <c r="W106" i="4"/>
  <c r="AI106" i="4" s="1"/>
  <c r="D106" i="5" s="1"/>
  <c r="X106" i="4"/>
  <c r="AJ106" i="4" s="1"/>
  <c r="E106" i="5" s="1"/>
  <c r="Y106" i="4"/>
  <c r="AK106" i="4" s="1"/>
  <c r="F106" i="5" s="1"/>
  <c r="Z106" i="4"/>
  <c r="AL106" i="4" s="1"/>
  <c r="G106" i="5" s="1"/>
  <c r="AA106" i="4"/>
  <c r="AB106" i="4"/>
  <c r="AC106" i="4"/>
  <c r="AD106" i="4"/>
  <c r="AE106" i="4"/>
  <c r="AO106" i="4" s="1"/>
  <c r="J106" i="5" s="1"/>
  <c r="V107" i="4"/>
  <c r="AH107" i="4" s="1"/>
  <c r="C107" i="5" s="1"/>
  <c r="W107" i="4"/>
  <c r="AI107" i="4" s="1"/>
  <c r="D107" i="5" s="1"/>
  <c r="X107" i="4"/>
  <c r="AJ107" i="4" s="1"/>
  <c r="E107" i="5" s="1"/>
  <c r="Y107" i="4"/>
  <c r="AK107" i="4" s="1"/>
  <c r="F107" i="5" s="1"/>
  <c r="Z107" i="4"/>
  <c r="AL107" i="4" s="1"/>
  <c r="G107" i="5" s="1"/>
  <c r="AA107" i="4"/>
  <c r="AB107" i="4"/>
  <c r="AC107" i="4"/>
  <c r="AD107" i="4"/>
  <c r="AE107" i="4"/>
  <c r="AO107" i="4" s="1"/>
  <c r="J107" i="5" s="1"/>
  <c r="V108" i="4"/>
  <c r="AH108" i="4" s="1"/>
  <c r="C108" i="5" s="1"/>
  <c r="W108" i="4"/>
  <c r="AI108" i="4" s="1"/>
  <c r="D108" i="5" s="1"/>
  <c r="X108" i="4"/>
  <c r="AJ108" i="4" s="1"/>
  <c r="E108" i="5" s="1"/>
  <c r="Y108" i="4"/>
  <c r="AK108" i="4" s="1"/>
  <c r="F108" i="5" s="1"/>
  <c r="Z108" i="4"/>
  <c r="AL108" i="4" s="1"/>
  <c r="G108" i="5" s="1"/>
  <c r="AA108" i="4"/>
  <c r="AB108" i="4"/>
  <c r="AC108" i="4"/>
  <c r="AD108" i="4"/>
  <c r="AE108" i="4"/>
  <c r="AO108" i="4" s="1"/>
  <c r="J108" i="5" s="1"/>
  <c r="V109" i="4"/>
  <c r="AH109" i="4" s="1"/>
  <c r="C109" i="5" s="1"/>
  <c r="W109" i="4"/>
  <c r="AI109" i="4" s="1"/>
  <c r="D109" i="5" s="1"/>
  <c r="X109" i="4"/>
  <c r="AJ109" i="4" s="1"/>
  <c r="E109" i="5" s="1"/>
  <c r="Y109" i="4"/>
  <c r="AK109" i="4" s="1"/>
  <c r="F109" i="5" s="1"/>
  <c r="Z109" i="4"/>
  <c r="AL109" i="4" s="1"/>
  <c r="G109" i="5" s="1"/>
  <c r="AA109" i="4"/>
  <c r="AB109" i="4"/>
  <c r="AC109" i="4"/>
  <c r="AD109" i="4"/>
  <c r="AE109" i="4"/>
  <c r="AO109" i="4" s="1"/>
  <c r="J109" i="5" s="1"/>
  <c r="V110" i="4"/>
  <c r="AH110" i="4" s="1"/>
  <c r="C110" i="5" s="1"/>
  <c r="W110" i="4"/>
  <c r="AI110" i="4" s="1"/>
  <c r="D110" i="5" s="1"/>
  <c r="X110" i="4"/>
  <c r="AJ110" i="4" s="1"/>
  <c r="E110" i="5" s="1"/>
  <c r="Y110" i="4"/>
  <c r="AK110" i="4" s="1"/>
  <c r="F110" i="5" s="1"/>
  <c r="Z110" i="4"/>
  <c r="AL110" i="4" s="1"/>
  <c r="G110" i="5" s="1"/>
  <c r="AA110" i="4"/>
  <c r="AB110" i="4"/>
  <c r="AC110" i="4"/>
  <c r="AD110" i="4"/>
  <c r="AE110" i="4"/>
  <c r="AO110" i="4" s="1"/>
  <c r="J110" i="5" s="1"/>
  <c r="V111" i="4"/>
  <c r="AH111" i="4" s="1"/>
  <c r="C111" i="5" s="1"/>
  <c r="W111" i="4"/>
  <c r="AI111" i="4" s="1"/>
  <c r="D111" i="5" s="1"/>
  <c r="X111" i="4"/>
  <c r="AJ111" i="4" s="1"/>
  <c r="E111" i="5" s="1"/>
  <c r="Y111" i="4"/>
  <c r="AK111" i="4" s="1"/>
  <c r="F111" i="5" s="1"/>
  <c r="Z111" i="4"/>
  <c r="AL111" i="4" s="1"/>
  <c r="G111" i="5" s="1"/>
  <c r="AA111" i="4"/>
  <c r="AB111" i="4"/>
  <c r="AC111" i="4"/>
  <c r="AD111" i="4"/>
  <c r="AE111" i="4"/>
  <c r="AO111" i="4" s="1"/>
  <c r="J111" i="5" s="1"/>
  <c r="V112" i="4"/>
  <c r="AH112" i="4" s="1"/>
  <c r="C112" i="5" s="1"/>
  <c r="W112" i="4"/>
  <c r="AI112" i="4" s="1"/>
  <c r="D112" i="5" s="1"/>
  <c r="X112" i="4"/>
  <c r="AJ112" i="4" s="1"/>
  <c r="E112" i="5" s="1"/>
  <c r="Y112" i="4"/>
  <c r="AK112" i="4" s="1"/>
  <c r="F112" i="5" s="1"/>
  <c r="Z112" i="4"/>
  <c r="AL112" i="4" s="1"/>
  <c r="G112" i="5" s="1"/>
  <c r="AA112" i="4"/>
  <c r="AB112" i="4"/>
  <c r="AC112" i="4"/>
  <c r="AD112" i="4"/>
  <c r="AE112" i="4"/>
  <c r="AO112" i="4" s="1"/>
  <c r="J112" i="5" s="1"/>
  <c r="V113" i="4"/>
  <c r="AH113" i="4" s="1"/>
  <c r="C113" i="5" s="1"/>
  <c r="W113" i="4"/>
  <c r="AI113" i="4" s="1"/>
  <c r="D113" i="5" s="1"/>
  <c r="X113" i="4"/>
  <c r="AJ113" i="4" s="1"/>
  <c r="E113" i="5" s="1"/>
  <c r="Y113" i="4"/>
  <c r="AK113" i="4" s="1"/>
  <c r="F113" i="5" s="1"/>
  <c r="Z113" i="4"/>
  <c r="AL113" i="4" s="1"/>
  <c r="G113" i="5" s="1"/>
  <c r="AA113" i="4"/>
  <c r="AB113" i="4"/>
  <c r="AC113" i="4"/>
  <c r="AD113" i="4"/>
  <c r="AE113" i="4"/>
  <c r="AO113" i="4" s="1"/>
  <c r="J113" i="5" s="1"/>
  <c r="V114" i="4"/>
  <c r="AH114" i="4" s="1"/>
  <c r="C114" i="5" s="1"/>
  <c r="W114" i="4"/>
  <c r="AI114" i="4" s="1"/>
  <c r="D114" i="5" s="1"/>
  <c r="X114" i="4"/>
  <c r="AJ114" i="4" s="1"/>
  <c r="E114" i="5" s="1"/>
  <c r="Y114" i="4"/>
  <c r="AK114" i="4" s="1"/>
  <c r="F114" i="5" s="1"/>
  <c r="Z114" i="4"/>
  <c r="AL114" i="4" s="1"/>
  <c r="G114" i="5" s="1"/>
  <c r="AA114" i="4"/>
  <c r="AB114" i="4"/>
  <c r="AC114" i="4"/>
  <c r="AD114" i="4"/>
  <c r="AE114" i="4"/>
  <c r="AO114" i="4" s="1"/>
  <c r="J114" i="5" s="1"/>
  <c r="V115" i="4"/>
  <c r="AH115" i="4" s="1"/>
  <c r="C115" i="5" s="1"/>
  <c r="W115" i="4"/>
  <c r="AI115" i="4" s="1"/>
  <c r="D115" i="5" s="1"/>
  <c r="X115" i="4"/>
  <c r="AJ115" i="4" s="1"/>
  <c r="E115" i="5" s="1"/>
  <c r="Y115" i="4"/>
  <c r="AK115" i="4" s="1"/>
  <c r="F115" i="5" s="1"/>
  <c r="Z115" i="4"/>
  <c r="AL115" i="4" s="1"/>
  <c r="G115" i="5" s="1"/>
  <c r="AA115" i="4"/>
  <c r="AB115" i="4"/>
  <c r="AC115" i="4"/>
  <c r="AD115" i="4"/>
  <c r="AE115" i="4"/>
  <c r="AO115" i="4" s="1"/>
  <c r="J115" i="5" s="1"/>
  <c r="V116" i="4"/>
  <c r="AH116" i="4" s="1"/>
  <c r="C116" i="5" s="1"/>
  <c r="W116" i="4"/>
  <c r="AI116" i="4" s="1"/>
  <c r="D116" i="5" s="1"/>
  <c r="X116" i="4"/>
  <c r="AJ116" i="4" s="1"/>
  <c r="E116" i="5" s="1"/>
  <c r="Y116" i="4"/>
  <c r="AK116" i="4" s="1"/>
  <c r="F116" i="5" s="1"/>
  <c r="Z116" i="4"/>
  <c r="AL116" i="4" s="1"/>
  <c r="G116" i="5" s="1"/>
  <c r="AA116" i="4"/>
  <c r="AB116" i="4"/>
  <c r="AC116" i="4"/>
  <c r="AD116" i="4"/>
  <c r="AE116" i="4"/>
  <c r="AO116" i="4" s="1"/>
  <c r="J116" i="5" s="1"/>
  <c r="V118" i="4"/>
  <c r="AH118" i="4" s="1"/>
  <c r="C118" i="5" s="1"/>
  <c r="W118" i="4"/>
  <c r="AI118" i="4" s="1"/>
  <c r="D118" i="5" s="1"/>
  <c r="X118" i="4"/>
  <c r="AJ118" i="4" s="1"/>
  <c r="E118" i="5" s="1"/>
  <c r="Y118" i="4"/>
  <c r="AK118" i="4" s="1"/>
  <c r="F118" i="5" s="1"/>
  <c r="Z118" i="4"/>
  <c r="AL118" i="4" s="1"/>
  <c r="G118" i="5" s="1"/>
  <c r="AA118" i="4"/>
  <c r="AB118" i="4"/>
  <c r="AC118" i="4"/>
  <c r="AD118" i="4"/>
  <c r="AE118" i="4"/>
  <c r="AO118" i="4" s="1"/>
  <c r="J118" i="5" s="1"/>
  <c r="V119" i="4"/>
  <c r="AH119" i="4" s="1"/>
  <c r="C119" i="5" s="1"/>
  <c r="W119" i="4"/>
  <c r="AI119" i="4" s="1"/>
  <c r="D119" i="5" s="1"/>
  <c r="X119" i="4"/>
  <c r="AJ119" i="4" s="1"/>
  <c r="E119" i="5" s="1"/>
  <c r="Y119" i="4"/>
  <c r="AK119" i="4" s="1"/>
  <c r="F119" i="5" s="1"/>
  <c r="Z119" i="4"/>
  <c r="AL119" i="4" s="1"/>
  <c r="G119" i="5" s="1"/>
  <c r="AA119" i="4"/>
  <c r="AB119" i="4"/>
  <c r="AC119" i="4"/>
  <c r="AD119" i="4"/>
  <c r="AE119" i="4"/>
  <c r="AO119" i="4" s="1"/>
  <c r="J119" i="5" s="1"/>
  <c r="V120" i="4"/>
  <c r="AH120" i="4" s="1"/>
  <c r="C120" i="5" s="1"/>
  <c r="W120" i="4"/>
  <c r="AI120" i="4" s="1"/>
  <c r="D120" i="5" s="1"/>
  <c r="X120" i="4"/>
  <c r="AJ120" i="4" s="1"/>
  <c r="E120" i="5" s="1"/>
  <c r="Y120" i="4"/>
  <c r="AK120" i="4" s="1"/>
  <c r="F120" i="5" s="1"/>
  <c r="Z120" i="4"/>
  <c r="AL120" i="4" s="1"/>
  <c r="G120" i="5" s="1"/>
  <c r="AA120" i="4"/>
  <c r="AB120" i="4"/>
  <c r="AC120" i="4"/>
  <c r="AD120" i="4"/>
  <c r="AE120" i="4"/>
  <c r="AO120" i="4" s="1"/>
  <c r="J120" i="5" s="1"/>
  <c r="V121" i="4"/>
  <c r="AH121" i="4" s="1"/>
  <c r="C121" i="5" s="1"/>
  <c r="W121" i="4"/>
  <c r="AI121" i="4" s="1"/>
  <c r="D121" i="5" s="1"/>
  <c r="X121" i="4"/>
  <c r="AJ121" i="4" s="1"/>
  <c r="E121" i="5" s="1"/>
  <c r="Y121" i="4"/>
  <c r="AK121" i="4" s="1"/>
  <c r="F121" i="5" s="1"/>
  <c r="Z121" i="4"/>
  <c r="AL121" i="4" s="1"/>
  <c r="G121" i="5" s="1"/>
  <c r="AA121" i="4"/>
  <c r="AB121" i="4"/>
  <c r="AC121" i="4"/>
  <c r="AD121" i="4"/>
  <c r="AE121" i="4"/>
  <c r="AO121" i="4" s="1"/>
  <c r="J121" i="5" s="1"/>
  <c r="V122" i="4"/>
  <c r="AH122" i="4" s="1"/>
  <c r="C122" i="5" s="1"/>
  <c r="W122" i="4"/>
  <c r="AI122" i="4" s="1"/>
  <c r="D122" i="5" s="1"/>
  <c r="X122" i="4"/>
  <c r="AJ122" i="4" s="1"/>
  <c r="E122" i="5" s="1"/>
  <c r="Y122" i="4"/>
  <c r="AK122" i="4" s="1"/>
  <c r="F122" i="5" s="1"/>
  <c r="Z122" i="4"/>
  <c r="AL122" i="4" s="1"/>
  <c r="G122" i="5" s="1"/>
  <c r="AA122" i="4"/>
  <c r="AB122" i="4"/>
  <c r="AC122" i="4"/>
  <c r="AD122" i="4"/>
  <c r="AE122" i="4"/>
  <c r="AO122" i="4" s="1"/>
  <c r="J122" i="5" s="1"/>
  <c r="V123" i="4"/>
  <c r="AH123" i="4" s="1"/>
  <c r="C123" i="5" s="1"/>
  <c r="W123" i="4"/>
  <c r="AI123" i="4" s="1"/>
  <c r="D123" i="5" s="1"/>
  <c r="X123" i="4"/>
  <c r="AJ123" i="4" s="1"/>
  <c r="E123" i="5" s="1"/>
  <c r="Y123" i="4"/>
  <c r="AK123" i="4" s="1"/>
  <c r="F123" i="5" s="1"/>
  <c r="Z123" i="4"/>
  <c r="AL123" i="4" s="1"/>
  <c r="G123" i="5" s="1"/>
  <c r="AA123" i="4"/>
  <c r="AB123" i="4"/>
  <c r="AC123" i="4"/>
  <c r="AD123" i="4"/>
  <c r="AE123" i="4"/>
  <c r="AO123" i="4" s="1"/>
  <c r="J123" i="5" s="1"/>
  <c r="V124" i="4"/>
  <c r="AH124" i="4" s="1"/>
  <c r="C124" i="5" s="1"/>
  <c r="W124" i="4"/>
  <c r="AI124" i="4" s="1"/>
  <c r="D124" i="5" s="1"/>
  <c r="X124" i="4"/>
  <c r="AJ124" i="4" s="1"/>
  <c r="E124" i="5" s="1"/>
  <c r="Y124" i="4"/>
  <c r="AK124" i="4" s="1"/>
  <c r="F124" i="5" s="1"/>
  <c r="Z124" i="4"/>
  <c r="AL124" i="4" s="1"/>
  <c r="G124" i="5" s="1"/>
  <c r="AA124" i="4"/>
  <c r="AB124" i="4"/>
  <c r="AC124" i="4"/>
  <c r="AD124" i="4"/>
  <c r="AE124" i="4"/>
  <c r="AO124" i="4" s="1"/>
  <c r="J124" i="5" s="1"/>
  <c r="V125" i="4"/>
  <c r="AH125" i="4" s="1"/>
  <c r="C125" i="5" s="1"/>
  <c r="W125" i="4"/>
  <c r="AI125" i="4" s="1"/>
  <c r="D125" i="5" s="1"/>
  <c r="X125" i="4"/>
  <c r="AJ125" i="4" s="1"/>
  <c r="E125" i="5" s="1"/>
  <c r="Y125" i="4"/>
  <c r="AK125" i="4" s="1"/>
  <c r="F125" i="5" s="1"/>
  <c r="Z125" i="4"/>
  <c r="AL125" i="4" s="1"/>
  <c r="G125" i="5" s="1"/>
  <c r="AA125" i="4"/>
  <c r="AB125" i="4"/>
  <c r="AC125" i="4"/>
  <c r="AD125" i="4"/>
  <c r="AE125" i="4"/>
  <c r="AO125" i="4" s="1"/>
  <c r="J125" i="5" s="1"/>
  <c r="V126" i="4"/>
  <c r="AH126" i="4" s="1"/>
  <c r="C126" i="5" s="1"/>
  <c r="W126" i="4"/>
  <c r="AI126" i="4" s="1"/>
  <c r="D126" i="5" s="1"/>
  <c r="X126" i="4"/>
  <c r="AJ126" i="4" s="1"/>
  <c r="E126" i="5" s="1"/>
  <c r="Y126" i="4"/>
  <c r="AK126" i="4" s="1"/>
  <c r="F126" i="5" s="1"/>
  <c r="Z126" i="4"/>
  <c r="AL126" i="4" s="1"/>
  <c r="G126" i="5" s="1"/>
  <c r="AA126" i="4"/>
  <c r="AB126" i="4"/>
  <c r="AC126" i="4"/>
  <c r="AD126" i="4"/>
  <c r="AE126" i="4"/>
  <c r="AO126" i="4" s="1"/>
  <c r="J126" i="5" s="1"/>
  <c r="V127" i="4"/>
  <c r="AH127" i="4" s="1"/>
  <c r="C127" i="5" s="1"/>
  <c r="W127" i="4"/>
  <c r="AI127" i="4" s="1"/>
  <c r="D127" i="5" s="1"/>
  <c r="X127" i="4"/>
  <c r="AJ127" i="4" s="1"/>
  <c r="E127" i="5" s="1"/>
  <c r="Y127" i="4"/>
  <c r="AK127" i="4" s="1"/>
  <c r="F127" i="5" s="1"/>
  <c r="Z127" i="4"/>
  <c r="AL127" i="4" s="1"/>
  <c r="G127" i="5" s="1"/>
  <c r="AA127" i="4"/>
  <c r="AB127" i="4"/>
  <c r="AC127" i="4"/>
  <c r="AD127" i="4"/>
  <c r="AE127" i="4"/>
  <c r="AO127" i="4" s="1"/>
  <c r="J127" i="5" s="1"/>
  <c r="V128" i="4"/>
  <c r="AH128" i="4" s="1"/>
  <c r="C128" i="5" s="1"/>
  <c r="W128" i="4"/>
  <c r="AI128" i="4" s="1"/>
  <c r="D128" i="5" s="1"/>
  <c r="X128" i="4"/>
  <c r="AJ128" i="4" s="1"/>
  <c r="E128" i="5" s="1"/>
  <c r="Y128" i="4"/>
  <c r="AK128" i="4" s="1"/>
  <c r="F128" i="5" s="1"/>
  <c r="Z128" i="4"/>
  <c r="AL128" i="4" s="1"/>
  <c r="G128" i="5" s="1"/>
  <c r="AA128" i="4"/>
  <c r="AB128" i="4"/>
  <c r="AC128" i="4"/>
  <c r="AD128" i="4"/>
  <c r="AE128" i="4"/>
  <c r="AO128" i="4" s="1"/>
  <c r="J128" i="5" s="1"/>
  <c r="V129" i="4"/>
  <c r="W129" i="4"/>
  <c r="AI129" i="4" s="1"/>
  <c r="D129" i="5" s="1"/>
  <c r="X129" i="4"/>
  <c r="AJ129" i="4" s="1"/>
  <c r="E129" i="5" s="1"/>
  <c r="Y129" i="4"/>
  <c r="AK129" i="4" s="1"/>
  <c r="F129" i="5" s="1"/>
  <c r="Z129" i="4"/>
  <c r="AA129" i="4"/>
  <c r="AB129" i="4"/>
  <c r="AC129" i="4"/>
  <c r="AD129" i="4"/>
  <c r="AE129" i="4"/>
  <c r="AO129" i="4" s="1"/>
  <c r="J129" i="5" s="1"/>
  <c r="V130" i="4"/>
  <c r="AH130" i="4" s="1"/>
  <c r="C130" i="5" s="1"/>
  <c r="W130" i="4"/>
  <c r="AI130" i="4" s="1"/>
  <c r="D130" i="5" s="1"/>
  <c r="X130" i="4"/>
  <c r="AJ130" i="4" s="1"/>
  <c r="E130" i="5" s="1"/>
  <c r="Y130" i="4"/>
  <c r="AK130" i="4" s="1"/>
  <c r="F130" i="5" s="1"/>
  <c r="Z130" i="4"/>
  <c r="AL130" i="4" s="1"/>
  <c r="G130" i="5" s="1"/>
  <c r="AA130" i="4"/>
  <c r="AB130" i="4"/>
  <c r="AC130" i="4"/>
  <c r="AD130" i="4"/>
  <c r="AE130" i="4"/>
  <c r="AO130" i="4" s="1"/>
  <c r="J130" i="5" s="1"/>
  <c r="V131" i="4"/>
  <c r="AH131" i="4" s="1"/>
  <c r="C131" i="5" s="1"/>
  <c r="W131" i="4"/>
  <c r="AI131" i="4" s="1"/>
  <c r="D131" i="5" s="1"/>
  <c r="X131" i="4"/>
  <c r="AJ131" i="4" s="1"/>
  <c r="E131" i="5" s="1"/>
  <c r="Y131" i="4"/>
  <c r="AK131" i="4" s="1"/>
  <c r="F131" i="5" s="1"/>
  <c r="Z131" i="4"/>
  <c r="AL131" i="4" s="1"/>
  <c r="G131" i="5" s="1"/>
  <c r="AA131" i="4"/>
  <c r="AB131" i="4"/>
  <c r="AC131" i="4"/>
  <c r="AD131" i="4"/>
  <c r="AE131" i="4"/>
  <c r="AO131" i="4" s="1"/>
  <c r="J131" i="5" s="1"/>
  <c r="V132" i="4"/>
  <c r="AH132" i="4" s="1"/>
  <c r="C132" i="5" s="1"/>
  <c r="W132" i="4"/>
  <c r="AI132" i="4" s="1"/>
  <c r="D132" i="5" s="1"/>
  <c r="X132" i="4"/>
  <c r="AJ132" i="4" s="1"/>
  <c r="E132" i="5" s="1"/>
  <c r="Y132" i="4"/>
  <c r="AK132" i="4" s="1"/>
  <c r="F132" i="5" s="1"/>
  <c r="Z132" i="4"/>
  <c r="AL132" i="4" s="1"/>
  <c r="G132" i="5" s="1"/>
  <c r="AA132" i="4"/>
  <c r="AB132" i="4"/>
  <c r="AC132" i="4"/>
  <c r="AD132" i="4"/>
  <c r="AE132" i="4"/>
  <c r="AO132" i="4" s="1"/>
  <c r="J132" i="5" s="1"/>
  <c r="V133" i="4"/>
  <c r="W133" i="4"/>
  <c r="AI133" i="4" s="1"/>
  <c r="D133" i="5" s="1"/>
  <c r="X133" i="4"/>
  <c r="AJ133" i="4" s="1"/>
  <c r="E133" i="5" s="1"/>
  <c r="Y133" i="4"/>
  <c r="AK133" i="4" s="1"/>
  <c r="F133" i="5" s="1"/>
  <c r="Z133" i="4"/>
  <c r="AA133" i="4"/>
  <c r="AB133" i="4"/>
  <c r="AC133" i="4"/>
  <c r="AD133" i="4"/>
  <c r="AE133" i="4"/>
  <c r="AO133" i="4" s="1"/>
  <c r="J133" i="5" s="1"/>
  <c r="V134" i="4"/>
  <c r="AH134" i="4" s="1"/>
  <c r="C134" i="5" s="1"/>
  <c r="W134" i="4"/>
  <c r="AI134" i="4" s="1"/>
  <c r="D134" i="5" s="1"/>
  <c r="X134" i="4"/>
  <c r="AJ134" i="4" s="1"/>
  <c r="E134" i="5" s="1"/>
  <c r="Y134" i="4"/>
  <c r="AK134" i="4" s="1"/>
  <c r="F134" i="5" s="1"/>
  <c r="Z134" i="4"/>
  <c r="AL134" i="4" s="1"/>
  <c r="G134" i="5" s="1"/>
  <c r="AA134" i="4"/>
  <c r="AB134" i="4"/>
  <c r="AC134" i="4"/>
  <c r="AD134" i="4"/>
  <c r="AE134" i="4"/>
  <c r="V135" i="4"/>
  <c r="AH135" i="4" s="1"/>
  <c r="C135" i="5" s="1"/>
  <c r="W135" i="4"/>
  <c r="AI135" i="4" s="1"/>
  <c r="D135" i="5" s="1"/>
  <c r="X135" i="4"/>
  <c r="AJ135" i="4" s="1"/>
  <c r="E135" i="5" s="1"/>
  <c r="Y135" i="4"/>
  <c r="AK135" i="4" s="1"/>
  <c r="F135" i="5" s="1"/>
  <c r="Z135" i="4"/>
  <c r="AL135" i="4" s="1"/>
  <c r="G135" i="5" s="1"/>
  <c r="AA135" i="4"/>
  <c r="AB135" i="4"/>
  <c r="AC135" i="4"/>
  <c r="AD135" i="4"/>
  <c r="AE135" i="4"/>
  <c r="AO135" i="4" s="1"/>
  <c r="J135" i="5" s="1"/>
  <c r="V136" i="4"/>
  <c r="AH136" i="4" s="1"/>
  <c r="C136" i="5" s="1"/>
  <c r="W136" i="4"/>
  <c r="AI136" i="4" s="1"/>
  <c r="D136" i="5" s="1"/>
  <c r="X136" i="4"/>
  <c r="AJ136" i="4" s="1"/>
  <c r="E136" i="5" s="1"/>
  <c r="Y136" i="4"/>
  <c r="AK136" i="4" s="1"/>
  <c r="F136" i="5" s="1"/>
  <c r="Z136" i="4"/>
  <c r="AL136" i="4" s="1"/>
  <c r="G136" i="5" s="1"/>
  <c r="AA136" i="4"/>
  <c r="AB136" i="4"/>
  <c r="AC136" i="4"/>
  <c r="AD136" i="4"/>
  <c r="AE136" i="4"/>
  <c r="AO136" i="4" s="1"/>
  <c r="J136" i="5" s="1"/>
  <c r="V137" i="4"/>
  <c r="W137" i="4"/>
  <c r="AI137" i="4" s="1"/>
  <c r="D137" i="5" s="1"/>
  <c r="X137" i="4"/>
  <c r="AJ137" i="4" s="1"/>
  <c r="E137" i="5" s="1"/>
  <c r="Y137" i="4"/>
  <c r="AK137" i="4" s="1"/>
  <c r="F137" i="5" s="1"/>
  <c r="Z137" i="4"/>
  <c r="AL137" i="4" s="1"/>
  <c r="G137" i="5" s="1"/>
  <c r="AA137" i="4"/>
  <c r="AB137" i="4"/>
  <c r="AC137" i="4"/>
  <c r="AD137" i="4"/>
  <c r="AE137" i="4"/>
  <c r="AO137" i="4" s="1"/>
  <c r="J137" i="5" s="1"/>
  <c r="V138" i="4"/>
  <c r="AH138" i="4" s="1"/>
  <c r="C138" i="5" s="1"/>
  <c r="W138" i="4"/>
  <c r="AI138" i="4" s="1"/>
  <c r="D138" i="5" s="1"/>
  <c r="X138" i="4"/>
  <c r="AJ138" i="4" s="1"/>
  <c r="E138" i="5" s="1"/>
  <c r="Y138" i="4"/>
  <c r="AK138" i="4" s="1"/>
  <c r="F138" i="5" s="1"/>
  <c r="Z138" i="4"/>
  <c r="AL138" i="4" s="1"/>
  <c r="G138" i="5" s="1"/>
  <c r="AA138" i="4"/>
  <c r="AB138" i="4"/>
  <c r="AC138" i="4"/>
  <c r="AD138" i="4"/>
  <c r="AE138" i="4"/>
  <c r="AO138" i="4" s="1"/>
  <c r="J138" i="5" s="1"/>
  <c r="V139" i="4"/>
  <c r="AH139" i="4" s="1"/>
  <c r="C139" i="5" s="1"/>
  <c r="W139" i="4"/>
  <c r="AI139" i="4" s="1"/>
  <c r="D139" i="5" s="1"/>
  <c r="X139" i="4"/>
  <c r="AJ139" i="4" s="1"/>
  <c r="E139" i="5" s="1"/>
  <c r="Y139" i="4"/>
  <c r="AK139" i="4" s="1"/>
  <c r="F139" i="5" s="1"/>
  <c r="Z139" i="4"/>
  <c r="AL139" i="4" s="1"/>
  <c r="G139" i="5" s="1"/>
  <c r="AA139" i="4"/>
  <c r="AB139" i="4"/>
  <c r="AC139" i="4"/>
  <c r="AD139" i="4"/>
  <c r="AE139" i="4"/>
  <c r="AO139" i="4" s="1"/>
  <c r="J139" i="5" s="1"/>
  <c r="V140" i="4"/>
  <c r="AH140" i="4" s="1"/>
  <c r="C140" i="5" s="1"/>
  <c r="W140" i="4"/>
  <c r="AI140" i="4" s="1"/>
  <c r="D140" i="5" s="1"/>
  <c r="X140" i="4"/>
  <c r="AJ140" i="4" s="1"/>
  <c r="E140" i="5" s="1"/>
  <c r="Y140" i="4"/>
  <c r="AK140" i="4" s="1"/>
  <c r="F140" i="5" s="1"/>
  <c r="Z140" i="4"/>
  <c r="AL140" i="4" s="1"/>
  <c r="G140" i="5" s="1"/>
  <c r="AA140" i="4"/>
  <c r="AB140" i="4"/>
  <c r="AC140" i="4"/>
  <c r="AD140" i="4"/>
  <c r="AE140" i="4"/>
  <c r="AO140" i="4" s="1"/>
  <c r="J140" i="5" s="1"/>
  <c r="V141" i="4"/>
  <c r="AH141" i="4" s="1"/>
  <c r="C141" i="5" s="1"/>
  <c r="W141" i="4"/>
  <c r="AI141" i="4" s="1"/>
  <c r="D141" i="5" s="1"/>
  <c r="X141" i="4"/>
  <c r="AJ141" i="4" s="1"/>
  <c r="E141" i="5" s="1"/>
  <c r="Y141" i="4"/>
  <c r="AK141" i="4" s="1"/>
  <c r="F141" i="5" s="1"/>
  <c r="Z141" i="4"/>
  <c r="AL141" i="4" s="1"/>
  <c r="G141" i="5" s="1"/>
  <c r="AA141" i="4"/>
  <c r="AB141" i="4"/>
  <c r="AC141" i="4"/>
  <c r="AD141" i="4"/>
  <c r="AE141" i="4"/>
  <c r="AO141" i="4" s="1"/>
  <c r="J141" i="5" s="1"/>
  <c r="V142" i="4"/>
  <c r="AH142" i="4" s="1"/>
  <c r="C142" i="5" s="1"/>
  <c r="W142" i="4"/>
  <c r="AI142" i="4" s="1"/>
  <c r="D142" i="5" s="1"/>
  <c r="X142" i="4"/>
  <c r="AJ142" i="4" s="1"/>
  <c r="E142" i="5" s="1"/>
  <c r="Y142" i="4"/>
  <c r="AK142" i="4" s="1"/>
  <c r="F142" i="5" s="1"/>
  <c r="Z142" i="4"/>
  <c r="AL142" i="4" s="1"/>
  <c r="G142" i="5" s="1"/>
  <c r="AA142" i="4"/>
  <c r="AB142" i="4"/>
  <c r="AC142" i="4"/>
  <c r="AD142" i="4"/>
  <c r="AE142" i="4"/>
  <c r="AO142" i="4" s="1"/>
  <c r="J142" i="5" s="1"/>
  <c r="V143" i="4"/>
  <c r="AH143" i="4" s="1"/>
  <c r="C143" i="5" s="1"/>
  <c r="W143" i="4"/>
  <c r="AI143" i="4" s="1"/>
  <c r="D143" i="5" s="1"/>
  <c r="X143" i="4"/>
  <c r="AJ143" i="4" s="1"/>
  <c r="E143" i="5" s="1"/>
  <c r="Y143" i="4"/>
  <c r="AK143" i="4" s="1"/>
  <c r="F143" i="5" s="1"/>
  <c r="Z143" i="4"/>
  <c r="AL143" i="4" s="1"/>
  <c r="G143" i="5" s="1"/>
  <c r="AA143" i="4"/>
  <c r="AB143" i="4"/>
  <c r="AC143" i="4"/>
  <c r="AD143" i="4"/>
  <c r="AE143" i="4"/>
  <c r="AO143" i="4" s="1"/>
  <c r="J143" i="5" s="1"/>
  <c r="V144" i="4"/>
  <c r="AH144" i="4" s="1"/>
  <c r="C144" i="5" s="1"/>
  <c r="W144" i="4"/>
  <c r="AI144" i="4" s="1"/>
  <c r="D144" i="5" s="1"/>
  <c r="X144" i="4"/>
  <c r="AJ144" i="4" s="1"/>
  <c r="E144" i="5" s="1"/>
  <c r="Y144" i="4"/>
  <c r="AK144" i="4" s="1"/>
  <c r="F144" i="5" s="1"/>
  <c r="Z144" i="4"/>
  <c r="AL144" i="4" s="1"/>
  <c r="G144" i="5" s="1"/>
  <c r="AA144" i="4"/>
  <c r="AB144" i="4"/>
  <c r="AC144" i="4"/>
  <c r="AD144" i="4"/>
  <c r="AE144" i="4"/>
  <c r="AO144" i="4" s="1"/>
  <c r="J144" i="5" s="1"/>
  <c r="V145" i="4"/>
  <c r="AH145" i="4" s="1"/>
  <c r="C145" i="5" s="1"/>
  <c r="W145" i="4"/>
  <c r="AI145" i="4" s="1"/>
  <c r="D145" i="5" s="1"/>
  <c r="X145" i="4"/>
  <c r="AJ145" i="4" s="1"/>
  <c r="E145" i="5" s="1"/>
  <c r="Y145" i="4"/>
  <c r="AK145" i="4" s="1"/>
  <c r="F145" i="5" s="1"/>
  <c r="Z145" i="4"/>
  <c r="AL145" i="4" s="1"/>
  <c r="G145" i="5" s="1"/>
  <c r="AA145" i="4"/>
  <c r="AB145" i="4"/>
  <c r="AC145" i="4"/>
  <c r="AD145" i="4"/>
  <c r="AE145" i="4"/>
  <c r="AO145" i="4" s="1"/>
  <c r="J145" i="5" s="1"/>
  <c r="V146" i="4"/>
  <c r="AH146" i="4" s="1"/>
  <c r="C146" i="5" s="1"/>
  <c r="W146" i="4"/>
  <c r="AI146" i="4" s="1"/>
  <c r="D146" i="5" s="1"/>
  <c r="X146" i="4"/>
  <c r="AJ146" i="4" s="1"/>
  <c r="E146" i="5" s="1"/>
  <c r="Y146" i="4"/>
  <c r="AK146" i="4" s="1"/>
  <c r="F146" i="5" s="1"/>
  <c r="Z146" i="4"/>
  <c r="AL146" i="4" s="1"/>
  <c r="G146" i="5" s="1"/>
  <c r="AA146" i="4"/>
  <c r="AB146" i="4"/>
  <c r="AC146" i="4"/>
  <c r="AD146" i="4"/>
  <c r="AE146" i="4"/>
  <c r="AO146" i="4" s="1"/>
  <c r="J146" i="5" s="1"/>
  <c r="V147" i="4"/>
  <c r="AH147" i="4" s="1"/>
  <c r="C147" i="5" s="1"/>
  <c r="W147" i="4"/>
  <c r="AI147" i="4" s="1"/>
  <c r="D147" i="5" s="1"/>
  <c r="X147" i="4"/>
  <c r="Y147" i="4"/>
  <c r="AK147" i="4" s="1"/>
  <c r="F147" i="5" s="1"/>
  <c r="Z147" i="4"/>
  <c r="AL147" i="4" s="1"/>
  <c r="G147" i="5" s="1"/>
  <c r="AA147" i="4"/>
  <c r="AB147" i="4"/>
  <c r="AC147" i="4"/>
  <c r="AD147" i="4"/>
  <c r="AE147" i="4"/>
  <c r="AO147" i="4" s="1"/>
  <c r="J147" i="5" s="1"/>
  <c r="V148" i="4"/>
  <c r="AH148" i="4" s="1"/>
  <c r="C148" i="5" s="1"/>
  <c r="W148" i="4"/>
  <c r="AI148" i="4" s="1"/>
  <c r="D148" i="5" s="1"/>
  <c r="X148" i="4"/>
  <c r="AJ148" i="4" s="1"/>
  <c r="E148" i="5" s="1"/>
  <c r="Y148" i="4"/>
  <c r="AK148" i="4" s="1"/>
  <c r="F148" i="5" s="1"/>
  <c r="Z148" i="4"/>
  <c r="AL148" i="4" s="1"/>
  <c r="G148" i="5" s="1"/>
  <c r="AA148" i="4"/>
  <c r="AB148" i="4"/>
  <c r="AC148" i="4"/>
  <c r="AD148" i="4"/>
  <c r="AE148" i="4"/>
  <c r="AO148" i="4" s="1"/>
  <c r="J148" i="5" s="1"/>
  <c r="V149" i="4"/>
  <c r="W149" i="4"/>
  <c r="AI149" i="4" s="1"/>
  <c r="D149" i="5" s="1"/>
  <c r="X149" i="4"/>
  <c r="AJ149" i="4" s="1"/>
  <c r="E149" i="5" s="1"/>
  <c r="Y149" i="4"/>
  <c r="AK149" i="4" s="1"/>
  <c r="F149" i="5" s="1"/>
  <c r="Z149" i="4"/>
  <c r="AL149" i="4" s="1"/>
  <c r="G149" i="5" s="1"/>
  <c r="AA149" i="4"/>
  <c r="AB149" i="4"/>
  <c r="AC149" i="4"/>
  <c r="AD149" i="4"/>
  <c r="AE149" i="4"/>
  <c r="AO149" i="4" s="1"/>
  <c r="J149" i="5" s="1"/>
  <c r="V150" i="4"/>
  <c r="AH150" i="4" s="1"/>
  <c r="C150" i="5" s="1"/>
  <c r="W150" i="4"/>
  <c r="AI150" i="4" s="1"/>
  <c r="D150" i="5" s="1"/>
  <c r="X150" i="4"/>
  <c r="AJ150" i="4" s="1"/>
  <c r="E150" i="5" s="1"/>
  <c r="Y150" i="4"/>
  <c r="AK150" i="4" s="1"/>
  <c r="F150" i="5" s="1"/>
  <c r="Z150" i="4"/>
  <c r="AL150" i="4" s="1"/>
  <c r="G150" i="5" s="1"/>
  <c r="AA150" i="4"/>
  <c r="AB150" i="4"/>
  <c r="AC150" i="4"/>
  <c r="AD150" i="4"/>
  <c r="AE150" i="4"/>
  <c r="AO150" i="4" s="1"/>
  <c r="J150" i="5" s="1"/>
  <c r="V151" i="4"/>
  <c r="AH151" i="4" s="1"/>
  <c r="C151" i="5" s="1"/>
  <c r="W151" i="4"/>
  <c r="AI151" i="4" s="1"/>
  <c r="D151" i="5" s="1"/>
  <c r="X151" i="4"/>
  <c r="Y151" i="4"/>
  <c r="AK151" i="4" s="1"/>
  <c r="F151" i="5" s="1"/>
  <c r="Z151" i="4"/>
  <c r="AL151" i="4" s="1"/>
  <c r="G151" i="5" s="1"/>
  <c r="AA151" i="4"/>
  <c r="AB151" i="4"/>
  <c r="AC151" i="4"/>
  <c r="AD151" i="4"/>
  <c r="AE151" i="4"/>
  <c r="AO151" i="4" s="1"/>
  <c r="J151" i="5" s="1"/>
  <c r="V152" i="4"/>
  <c r="AH152" i="4" s="1"/>
  <c r="C152" i="5" s="1"/>
  <c r="W152" i="4"/>
  <c r="AI152" i="4" s="1"/>
  <c r="D152" i="5" s="1"/>
  <c r="X152" i="4"/>
  <c r="AJ152" i="4" s="1"/>
  <c r="E152" i="5" s="1"/>
  <c r="Y152" i="4"/>
  <c r="AK152" i="4" s="1"/>
  <c r="F152" i="5" s="1"/>
  <c r="Z152" i="4"/>
  <c r="AL152" i="4" s="1"/>
  <c r="G152" i="5" s="1"/>
  <c r="AA152" i="4"/>
  <c r="AB152" i="4"/>
  <c r="AC152" i="4"/>
  <c r="AD152" i="4"/>
  <c r="AE152" i="4"/>
  <c r="AO152" i="4" s="1"/>
  <c r="J152" i="5" s="1"/>
  <c r="V153" i="4"/>
  <c r="W153" i="4"/>
  <c r="AI153" i="4" s="1"/>
  <c r="D153" i="5" s="1"/>
  <c r="X153" i="4"/>
  <c r="AJ153" i="4" s="1"/>
  <c r="E153" i="5" s="1"/>
  <c r="Y153" i="4"/>
  <c r="AK153" i="4" s="1"/>
  <c r="F153" i="5" s="1"/>
  <c r="Z153" i="4"/>
  <c r="AL153" i="4" s="1"/>
  <c r="G153" i="5" s="1"/>
  <c r="AA153" i="4"/>
  <c r="AB153" i="4"/>
  <c r="AC153" i="4"/>
  <c r="AD153" i="4"/>
  <c r="AE153" i="4"/>
  <c r="AO153" i="4" s="1"/>
  <c r="J153" i="5" s="1"/>
  <c r="V154" i="4"/>
  <c r="AH154" i="4" s="1"/>
  <c r="C154" i="5" s="1"/>
  <c r="W154" i="4"/>
  <c r="AI154" i="4" s="1"/>
  <c r="D154" i="5" s="1"/>
  <c r="X154" i="4"/>
  <c r="AJ154" i="4" s="1"/>
  <c r="E154" i="5" s="1"/>
  <c r="Y154" i="4"/>
  <c r="AK154" i="4" s="1"/>
  <c r="F154" i="5" s="1"/>
  <c r="Z154" i="4"/>
  <c r="AL154" i="4" s="1"/>
  <c r="G154" i="5" s="1"/>
  <c r="AA154" i="4"/>
  <c r="AB154" i="4"/>
  <c r="AC154" i="4"/>
  <c r="AD154" i="4"/>
  <c r="AE154" i="4"/>
  <c r="AO154" i="4" s="1"/>
  <c r="J154" i="5" s="1"/>
  <c r="V156" i="4"/>
  <c r="AH156" i="4" s="1"/>
  <c r="C156" i="5" s="1"/>
  <c r="W156" i="4"/>
  <c r="AI156" i="4" s="1"/>
  <c r="D156" i="5" s="1"/>
  <c r="X156" i="4"/>
  <c r="AJ156" i="4" s="1"/>
  <c r="E156" i="5" s="1"/>
  <c r="Y156" i="4"/>
  <c r="AK156" i="4" s="1"/>
  <c r="F156" i="5" s="1"/>
  <c r="Z156" i="4"/>
  <c r="AL156" i="4" s="1"/>
  <c r="G156" i="5" s="1"/>
  <c r="AA156" i="4"/>
  <c r="AM156" i="4" s="1"/>
  <c r="H156" i="5" s="1"/>
  <c r="AB156" i="4"/>
  <c r="AC156" i="4"/>
  <c r="AD156" i="4"/>
  <c r="AE156" i="4"/>
  <c r="AO156" i="4" s="1"/>
  <c r="J156" i="5" s="1"/>
  <c r="V157" i="4"/>
  <c r="AH157" i="4" s="1"/>
  <c r="C157" i="5" s="1"/>
  <c r="W157" i="4"/>
  <c r="AI157" i="4" s="1"/>
  <c r="D157" i="5" s="1"/>
  <c r="X157" i="4"/>
  <c r="AJ157" i="4" s="1"/>
  <c r="E157" i="5" s="1"/>
  <c r="Y157" i="4"/>
  <c r="AK157" i="4" s="1"/>
  <c r="F157" i="5" s="1"/>
  <c r="Z157" i="4"/>
  <c r="AL157" i="4" s="1"/>
  <c r="G157" i="5" s="1"/>
  <c r="AA157" i="4"/>
  <c r="AB157" i="4"/>
  <c r="AC157" i="4"/>
  <c r="AN157" i="4" s="1"/>
  <c r="I157" i="5" s="1"/>
  <c r="AD157" i="4"/>
  <c r="AE157" i="4"/>
  <c r="AO157" i="4" s="1"/>
  <c r="J157" i="5" s="1"/>
  <c r="V158" i="4"/>
  <c r="AH158" i="4" s="1"/>
  <c r="C158" i="5" s="1"/>
  <c r="W158" i="4"/>
  <c r="AI158" i="4" s="1"/>
  <c r="D158" i="5" s="1"/>
  <c r="X158" i="4"/>
  <c r="AJ158" i="4" s="1"/>
  <c r="E158" i="5" s="1"/>
  <c r="Y158" i="4"/>
  <c r="AK158" i="4" s="1"/>
  <c r="F158" i="5" s="1"/>
  <c r="Z158" i="4"/>
  <c r="AL158" i="4" s="1"/>
  <c r="G158" i="5" s="1"/>
  <c r="AA158" i="4"/>
  <c r="AM158" i="4" s="1"/>
  <c r="H158" i="5" s="1"/>
  <c r="AB158" i="4"/>
  <c r="AC158" i="4"/>
  <c r="AD158" i="4"/>
  <c r="AE158" i="4"/>
  <c r="AO158" i="4" s="1"/>
  <c r="J158" i="5" s="1"/>
  <c r="W160" i="4"/>
  <c r="AI160" i="4" s="1"/>
  <c r="D160" i="5" s="1"/>
  <c r="X160" i="4"/>
  <c r="AJ160" i="4" s="1"/>
  <c r="E160" i="5" s="1"/>
  <c r="Y160" i="4"/>
  <c r="AK160" i="4" s="1"/>
  <c r="F160" i="5" s="1"/>
  <c r="Z160" i="4"/>
  <c r="AL160" i="4" s="1"/>
  <c r="G160" i="5" s="1"/>
  <c r="AA160" i="4"/>
  <c r="AM160" i="4" s="1"/>
  <c r="H160" i="5" s="1"/>
  <c r="AB160" i="4"/>
  <c r="AC160" i="4"/>
  <c r="AD160" i="4"/>
  <c r="AE160" i="4"/>
  <c r="AO160" i="4" s="1"/>
  <c r="J160" i="5" s="1"/>
  <c r="V161" i="4"/>
  <c r="AH161" i="4" s="1"/>
  <c r="C161" i="5" s="1"/>
  <c r="W161" i="4"/>
  <c r="AI161" i="4" s="1"/>
  <c r="D161" i="5" s="1"/>
  <c r="X161" i="4"/>
  <c r="AJ161" i="4" s="1"/>
  <c r="E161" i="5" s="1"/>
  <c r="Y161" i="4"/>
  <c r="AK161" i="4" s="1"/>
  <c r="F161" i="5" s="1"/>
  <c r="Z161" i="4"/>
  <c r="AL161" i="4" s="1"/>
  <c r="G161" i="5" s="1"/>
  <c r="AA161" i="4"/>
  <c r="AB161" i="4"/>
  <c r="AC161" i="4"/>
  <c r="AN161" i="4" s="1"/>
  <c r="I161" i="5" s="1"/>
  <c r="AD161" i="4"/>
  <c r="AE161" i="4"/>
  <c r="AO161" i="4" s="1"/>
  <c r="J161" i="5" s="1"/>
  <c r="W163" i="4"/>
  <c r="AI163" i="4" s="1"/>
  <c r="D163" i="5" s="1"/>
  <c r="X163" i="4"/>
  <c r="AJ163" i="4" s="1"/>
  <c r="E163" i="5" s="1"/>
  <c r="Y163" i="4"/>
  <c r="AK163" i="4" s="1"/>
  <c r="F163" i="5" s="1"/>
  <c r="Z163" i="4"/>
  <c r="AL163" i="4" s="1"/>
  <c r="G163" i="5" s="1"/>
  <c r="AA163" i="4"/>
  <c r="AC163" i="4"/>
  <c r="AD163" i="4"/>
  <c r="AE163" i="4"/>
  <c r="AO163" i="4" s="1"/>
  <c r="J163" i="5" s="1"/>
  <c r="W164" i="4"/>
  <c r="AI164" i="4" s="1"/>
  <c r="D164" i="5" s="1"/>
  <c r="X164" i="4"/>
  <c r="AJ164" i="4" s="1"/>
  <c r="E164" i="5" s="1"/>
  <c r="Y164" i="4"/>
  <c r="AK164" i="4" s="1"/>
  <c r="F164" i="5" s="1"/>
  <c r="Z164" i="4"/>
  <c r="AL164" i="4" s="1"/>
  <c r="G164" i="5" s="1"/>
  <c r="AA164" i="4"/>
  <c r="AC164" i="4"/>
  <c r="AD164" i="4"/>
  <c r="AE164" i="4"/>
  <c r="AO164" i="4" s="1"/>
  <c r="J164" i="5" s="1"/>
  <c r="W165" i="4"/>
  <c r="AI165" i="4" s="1"/>
  <c r="D165" i="5" s="1"/>
  <c r="X165" i="4"/>
  <c r="AJ165" i="4" s="1"/>
  <c r="E165" i="5" s="1"/>
  <c r="Y165" i="4"/>
  <c r="AK165" i="4" s="1"/>
  <c r="F165" i="5" s="1"/>
  <c r="Z165" i="4"/>
  <c r="AL165" i="4" s="1"/>
  <c r="G165" i="5" s="1"/>
  <c r="AA165" i="4"/>
  <c r="AC165" i="4"/>
  <c r="AD165" i="4"/>
  <c r="AE165" i="4"/>
  <c r="AO165" i="4" s="1"/>
  <c r="J165" i="5" s="1"/>
  <c r="W166" i="4"/>
  <c r="AI166" i="4" s="1"/>
  <c r="D166" i="5" s="1"/>
  <c r="X166" i="4"/>
  <c r="AJ166" i="4" s="1"/>
  <c r="E166" i="5" s="1"/>
  <c r="Y166" i="4"/>
  <c r="AK166" i="4" s="1"/>
  <c r="F166" i="5" s="1"/>
  <c r="Z166" i="4"/>
  <c r="AL166" i="4" s="1"/>
  <c r="G166" i="5" s="1"/>
  <c r="AA166" i="4"/>
  <c r="AC166" i="4"/>
  <c r="AD166" i="4"/>
  <c r="AE166" i="4"/>
  <c r="AO166" i="4" s="1"/>
  <c r="J166" i="5" s="1"/>
  <c r="W167" i="4"/>
  <c r="AI167" i="4" s="1"/>
  <c r="D167" i="5" s="1"/>
  <c r="X167" i="4"/>
  <c r="AJ167" i="4" s="1"/>
  <c r="E167" i="5" s="1"/>
  <c r="Y167" i="4"/>
  <c r="AK167" i="4" s="1"/>
  <c r="F167" i="5" s="1"/>
  <c r="Z167" i="4"/>
  <c r="AL167" i="4" s="1"/>
  <c r="G167" i="5" s="1"/>
  <c r="AA167" i="4"/>
  <c r="AC167" i="4"/>
  <c r="AD167" i="4"/>
  <c r="AE167" i="4"/>
  <c r="AO167" i="4" s="1"/>
  <c r="J167" i="5" s="1"/>
  <c r="V168" i="4"/>
  <c r="AH168" i="4" s="1"/>
  <c r="C168" i="5" s="1"/>
  <c r="W168" i="4"/>
  <c r="AI168" i="4" s="1"/>
  <c r="D168" i="5" s="1"/>
  <c r="X168" i="4"/>
  <c r="AJ168" i="4" s="1"/>
  <c r="E168" i="5" s="1"/>
  <c r="Y168" i="4"/>
  <c r="AK168" i="4" s="1"/>
  <c r="F168" i="5" s="1"/>
  <c r="Z168" i="4"/>
  <c r="AL168" i="4" s="1"/>
  <c r="G168" i="5" s="1"/>
  <c r="AA168" i="4"/>
  <c r="AM168" i="4" s="1"/>
  <c r="H168" i="5" s="1"/>
  <c r="AB168" i="4"/>
  <c r="AC168" i="4"/>
  <c r="AD168" i="4"/>
  <c r="AE168" i="4"/>
  <c r="AO168" i="4" s="1"/>
  <c r="J168" i="5" s="1"/>
  <c r="V169" i="4"/>
  <c r="AH169" i="4" s="1"/>
  <c r="C169" i="5" s="1"/>
  <c r="W169" i="4"/>
  <c r="AI169" i="4" s="1"/>
  <c r="D169" i="5" s="1"/>
  <c r="X169" i="4"/>
  <c r="AJ169" i="4" s="1"/>
  <c r="E169" i="5" s="1"/>
  <c r="Y169" i="4"/>
  <c r="AK169" i="4" s="1"/>
  <c r="F169" i="5" s="1"/>
  <c r="Z169" i="4"/>
  <c r="AL169" i="4" s="1"/>
  <c r="G169" i="5" s="1"/>
  <c r="AA169" i="4"/>
  <c r="AB169" i="4"/>
  <c r="AC169" i="4"/>
  <c r="AN169" i="4" s="1"/>
  <c r="I169" i="5" s="1"/>
  <c r="AD169" i="4"/>
  <c r="AE169" i="4"/>
  <c r="AO169" i="4" s="1"/>
  <c r="J169" i="5" s="1"/>
  <c r="W170" i="4"/>
  <c r="AI170" i="4" s="1"/>
  <c r="D170" i="5" s="1"/>
  <c r="X170" i="4"/>
  <c r="AJ170" i="4" s="1"/>
  <c r="E170" i="5" s="1"/>
  <c r="Y170" i="4"/>
  <c r="AK170" i="4" s="1"/>
  <c r="F170" i="5" s="1"/>
  <c r="Z170" i="4"/>
  <c r="AL170" i="4" s="1"/>
  <c r="G170" i="5" s="1"/>
  <c r="AA170" i="4"/>
  <c r="AB170" i="4"/>
  <c r="AC170" i="4"/>
  <c r="AD170" i="4"/>
  <c r="AE170" i="4"/>
  <c r="AO170" i="4" s="1"/>
  <c r="J170" i="5" s="1"/>
  <c r="V171" i="4"/>
  <c r="AH171" i="4" s="1"/>
  <c r="W171" i="4"/>
  <c r="AI171" i="4" s="1"/>
  <c r="X171" i="4"/>
  <c r="Y171" i="4"/>
  <c r="AK171" i="4" s="1"/>
  <c r="Z171" i="4"/>
  <c r="AL171" i="4" s="1"/>
  <c r="AA171" i="4"/>
  <c r="AB171" i="4"/>
  <c r="AC171" i="4"/>
  <c r="AN171" i="4" s="1"/>
  <c r="AD171" i="4"/>
  <c r="AE171" i="4"/>
  <c r="AO171" i="4" s="1"/>
  <c r="J171" i="5" s="1"/>
  <c r="V172" i="4"/>
  <c r="AH172" i="4" s="1"/>
  <c r="W172" i="4"/>
  <c r="AI172" i="4" s="1"/>
  <c r="D172" i="5" s="1"/>
  <c r="X172" i="4"/>
  <c r="AJ172" i="4" s="1"/>
  <c r="Y172" i="4"/>
  <c r="AK172" i="4" s="1"/>
  <c r="F172" i="5" s="1"/>
  <c r="Z172" i="4"/>
  <c r="AL172" i="4" s="1"/>
  <c r="AA172" i="4"/>
  <c r="AM172" i="4" s="1"/>
  <c r="H172" i="5" s="1"/>
  <c r="AB172" i="4"/>
  <c r="AC172" i="4"/>
  <c r="AD172" i="4"/>
  <c r="AE172" i="4"/>
  <c r="AO172" i="4" s="1"/>
  <c r="J172" i="5" s="1"/>
  <c r="V176" i="4"/>
  <c r="AH176" i="4" s="1"/>
  <c r="W176" i="4"/>
  <c r="AI176" i="4" s="1"/>
  <c r="D176" i="5" s="1"/>
  <c r="X176" i="4"/>
  <c r="AJ176" i="4" s="1"/>
  <c r="E176" i="5" s="1"/>
  <c r="Y176" i="4"/>
  <c r="AK176" i="4" s="1"/>
  <c r="F176" i="5" s="1"/>
  <c r="Z176" i="4"/>
  <c r="AL176" i="4" s="1"/>
  <c r="G176" i="5" s="1"/>
  <c r="AA176" i="4"/>
  <c r="AB176" i="4"/>
  <c r="AC176" i="4"/>
  <c r="AD176" i="4"/>
  <c r="AE176" i="4"/>
  <c r="AO176" i="4" s="1"/>
  <c r="J176" i="5" s="1"/>
  <c r="V177" i="4"/>
  <c r="AH177" i="4" s="1"/>
  <c r="C177" i="5" s="1"/>
  <c r="W177" i="4"/>
  <c r="AI177" i="4" s="1"/>
  <c r="D177" i="5" s="1"/>
  <c r="X177" i="4"/>
  <c r="AJ177" i="4" s="1"/>
  <c r="E177" i="5" s="1"/>
  <c r="Y177" i="4"/>
  <c r="AK177" i="4" s="1"/>
  <c r="F177" i="5" s="1"/>
  <c r="Z177" i="4"/>
  <c r="AL177" i="4" s="1"/>
  <c r="G177" i="5" s="1"/>
  <c r="AA177" i="4"/>
  <c r="AB177" i="4"/>
  <c r="AC177" i="4"/>
  <c r="AN177" i="4" s="1"/>
  <c r="I177" i="5" s="1"/>
  <c r="AD177" i="4"/>
  <c r="AE177" i="4"/>
  <c r="AO177" i="4" s="1"/>
  <c r="J177" i="5" s="1"/>
  <c r="V178" i="4"/>
  <c r="AH178" i="4" s="1"/>
  <c r="W178" i="4"/>
  <c r="AI178" i="4" s="1"/>
  <c r="D178" i="5" s="1"/>
  <c r="X178" i="4"/>
  <c r="AJ178" i="4" s="1"/>
  <c r="E178" i="5" s="1"/>
  <c r="Y178" i="4"/>
  <c r="AK178" i="4" s="1"/>
  <c r="F178" i="5" s="1"/>
  <c r="Z178" i="4"/>
  <c r="AL178" i="4" s="1"/>
  <c r="G178" i="5" s="1"/>
  <c r="AA178" i="4"/>
  <c r="AM178" i="4" s="1"/>
  <c r="H178" i="5" s="1"/>
  <c r="AB178" i="4"/>
  <c r="AC178" i="4"/>
  <c r="AD178" i="4"/>
  <c r="AE178" i="4"/>
  <c r="AO178" i="4" s="1"/>
  <c r="J178" i="5" s="1"/>
  <c r="V179" i="4"/>
  <c r="AH179" i="4" s="1"/>
  <c r="W179" i="4"/>
  <c r="AI179" i="4" s="1"/>
  <c r="D179" i="5" s="1"/>
  <c r="X179" i="4"/>
  <c r="AJ179" i="4" s="1"/>
  <c r="E179" i="5" s="1"/>
  <c r="Y179" i="4"/>
  <c r="AK179" i="4" s="1"/>
  <c r="F179" i="5" s="1"/>
  <c r="Z179" i="4"/>
  <c r="AL179" i="4" s="1"/>
  <c r="G179" i="5" s="1"/>
  <c r="AA179" i="4"/>
  <c r="AB179" i="4"/>
  <c r="AC179" i="4"/>
  <c r="AN179" i="4" s="1"/>
  <c r="I179" i="5" s="1"/>
  <c r="AD179" i="4"/>
  <c r="AE179" i="4"/>
  <c r="AO179" i="4" s="1"/>
  <c r="J179" i="5" s="1"/>
  <c r="V180" i="4"/>
  <c r="AH180" i="4" s="1"/>
  <c r="W180" i="4"/>
  <c r="AI180" i="4" s="1"/>
  <c r="D180" i="5" s="1"/>
  <c r="X180" i="4"/>
  <c r="AJ180" i="4" s="1"/>
  <c r="E180" i="5" s="1"/>
  <c r="Y180" i="4"/>
  <c r="AK180" i="4" s="1"/>
  <c r="F180" i="5" s="1"/>
  <c r="Z180" i="4"/>
  <c r="AL180" i="4" s="1"/>
  <c r="G180" i="5" s="1"/>
  <c r="AA180" i="4"/>
  <c r="AM180" i="4" s="1"/>
  <c r="H180" i="5" s="1"/>
  <c r="AB180" i="4"/>
  <c r="AC180" i="4"/>
  <c r="AD180" i="4"/>
  <c r="AE180" i="4"/>
  <c r="AO180" i="4" s="1"/>
  <c r="J180" i="5" s="1"/>
  <c r="V181" i="4"/>
  <c r="AH181" i="4" s="1"/>
  <c r="C181" i="5" s="1"/>
  <c r="W181" i="4"/>
  <c r="AI181" i="4" s="1"/>
  <c r="D181" i="5" s="1"/>
  <c r="X181" i="4"/>
  <c r="AJ181" i="4" s="1"/>
  <c r="E181" i="5" s="1"/>
  <c r="Y181" i="4"/>
  <c r="AK181" i="4" s="1"/>
  <c r="F181" i="5" s="1"/>
  <c r="Z181" i="4"/>
  <c r="AA181" i="4"/>
  <c r="AB181" i="4"/>
  <c r="AC181" i="4"/>
  <c r="AN181" i="4" s="1"/>
  <c r="I181" i="5" s="1"/>
  <c r="AD181" i="4"/>
  <c r="AE181" i="4"/>
  <c r="AO181" i="4" s="1"/>
  <c r="J181" i="5" s="1"/>
  <c r="V182" i="4"/>
  <c r="AH182" i="4" s="1"/>
  <c r="C182" i="5" s="1"/>
  <c r="W182" i="4"/>
  <c r="AI182" i="4" s="1"/>
  <c r="D182" i="5" s="1"/>
  <c r="X182" i="4"/>
  <c r="AJ182" i="4" s="1"/>
  <c r="E182" i="5" s="1"/>
  <c r="Y182" i="4"/>
  <c r="AK182" i="4" s="1"/>
  <c r="F182" i="5" s="1"/>
  <c r="Z182" i="4"/>
  <c r="AL182" i="4" s="1"/>
  <c r="G182" i="5" s="1"/>
  <c r="AA182" i="4"/>
  <c r="AM182" i="4" s="1"/>
  <c r="H182" i="5" s="1"/>
  <c r="AB182" i="4"/>
  <c r="AC182" i="4"/>
  <c r="AD182" i="4"/>
  <c r="AE182" i="4"/>
  <c r="AO182" i="4" s="1"/>
  <c r="J182" i="5" s="1"/>
  <c r="V183" i="4"/>
  <c r="AH183" i="4" s="1"/>
  <c r="C183" i="5" s="1"/>
  <c r="W183" i="4"/>
  <c r="AI183" i="4" s="1"/>
  <c r="D183" i="5" s="1"/>
  <c r="X183" i="4"/>
  <c r="AJ183" i="4" s="1"/>
  <c r="E183" i="5" s="1"/>
  <c r="Y183" i="4"/>
  <c r="AK183" i="4" s="1"/>
  <c r="F183" i="5" s="1"/>
  <c r="Z183" i="4"/>
  <c r="AL183" i="4" s="1"/>
  <c r="G183" i="5" s="1"/>
  <c r="AA183" i="4"/>
  <c r="AB183" i="4"/>
  <c r="AC183" i="4"/>
  <c r="AN183" i="4" s="1"/>
  <c r="I183" i="5" s="1"/>
  <c r="AD183" i="4"/>
  <c r="AE183" i="4"/>
  <c r="AO183" i="4" s="1"/>
  <c r="J183" i="5" s="1"/>
  <c r="V184" i="4"/>
  <c r="AH184" i="4" s="1"/>
  <c r="C184" i="5" s="1"/>
  <c r="W184" i="4"/>
  <c r="AI184" i="4" s="1"/>
  <c r="D184" i="5" s="1"/>
  <c r="X184" i="4"/>
  <c r="AJ184" i="4" s="1"/>
  <c r="E184" i="5" s="1"/>
  <c r="Y184" i="4"/>
  <c r="AK184" i="4" s="1"/>
  <c r="F184" i="5" s="1"/>
  <c r="Z184" i="4"/>
  <c r="AL184" i="4" s="1"/>
  <c r="G184" i="5" s="1"/>
  <c r="AA184" i="4"/>
  <c r="AM184" i="4" s="1"/>
  <c r="H184" i="5" s="1"/>
  <c r="AB184" i="4"/>
  <c r="AC184" i="4"/>
  <c r="AD184" i="4"/>
  <c r="AE184" i="4"/>
  <c r="AO184" i="4" s="1"/>
  <c r="J184" i="5" s="1"/>
  <c r="V185" i="4"/>
  <c r="AH185" i="4" s="1"/>
  <c r="C185" i="5" s="1"/>
  <c r="W185" i="4"/>
  <c r="AI185" i="4" s="1"/>
  <c r="D185" i="5" s="1"/>
  <c r="X185" i="4"/>
  <c r="AJ185" i="4" s="1"/>
  <c r="Y185" i="4"/>
  <c r="AK185" i="4" s="1"/>
  <c r="Z185" i="4"/>
  <c r="AL185" i="4" s="1"/>
  <c r="G185" i="5" s="1"/>
  <c r="AA185" i="4"/>
  <c r="AB185" i="4"/>
  <c r="AC185" i="4"/>
  <c r="AN185" i="4" s="1"/>
  <c r="AD185" i="4"/>
  <c r="AE185" i="4"/>
  <c r="AO185" i="4" s="1"/>
  <c r="V186" i="4"/>
  <c r="AH186" i="4" s="1"/>
  <c r="W186" i="4"/>
  <c r="AI186" i="4" s="1"/>
  <c r="D186" i="5" s="1"/>
  <c r="X186" i="4"/>
  <c r="AJ186" i="4" s="1"/>
  <c r="E186" i="5" s="1"/>
  <c r="Y186" i="4"/>
  <c r="AK186" i="4" s="1"/>
  <c r="F186" i="5" s="1"/>
  <c r="Z186" i="4"/>
  <c r="AL186" i="4" s="1"/>
  <c r="AA186" i="4"/>
  <c r="AM186" i="4" s="1"/>
  <c r="H186" i="5" s="1"/>
  <c r="AB186" i="4"/>
  <c r="AC186" i="4"/>
  <c r="AD186" i="4"/>
  <c r="AE186" i="4"/>
  <c r="AO186" i="4" s="1"/>
  <c r="J186" i="5" s="1"/>
  <c r="V187" i="4"/>
  <c r="AH187" i="4" s="1"/>
  <c r="C187" i="5" s="1"/>
  <c r="W187" i="4"/>
  <c r="AI187" i="4" s="1"/>
  <c r="D187" i="5" s="1"/>
  <c r="X187" i="4"/>
  <c r="Y187" i="4"/>
  <c r="AK187" i="4" s="1"/>
  <c r="F187" i="5" s="1"/>
  <c r="Z187" i="4"/>
  <c r="AL187" i="4" s="1"/>
  <c r="AA187" i="4"/>
  <c r="AB187" i="4"/>
  <c r="AC187" i="4"/>
  <c r="AN187" i="4" s="1"/>
  <c r="AD187" i="4"/>
  <c r="AE187" i="4"/>
  <c r="AO187" i="4" s="1"/>
  <c r="J187" i="5" s="1"/>
  <c r="V189" i="4"/>
  <c r="AH189" i="4" s="1"/>
  <c r="C189" i="5" s="1"/>
  <c r="W189" i="4"/>
  <c r="AI189" i="4" s="1"/>
  <c r="D189" i="5" s="1"/>
  <c r="X189" i="4"/>
  <c r="AJ189" i="4" s="1"/>
  <c r="E189" i="5" s="1"/>
  <c r="Y189" i="4"/>
  <c r="AK189" i="4" s="1"/>
  <c r="F189" i="5" s="1"/>
  <c r="Z189" i="4"/>
  <c r="AL189" i="4" s="1"/>
  <c r="G189" i="5" s="1"/>
  <c r="AA189" i="4"/>
  <c r="AB189" i="4"/>
  <c r="AC189" i="4"/>
  <c r="AD189" i="4"/>
  <c r="AE189" i="4"/>
  <c r="AO189" i="4" s="1"/>
  <c r="J189" i="5" s="1"/>
  <c r="V191" i="4"/>
  <c r="AH191" i="4" s="1"/>
  <c r="C191" i="5" s="1"/>
  <c r="W191" i="4"/>
  <c r="AI191" i="4" s="1"/>
  <c r="D191" i="5" s="1"/>
  <c r="X191" i="4"/>
  <c r="AJ191" i="4" s="1"/>
  <c r="E191" i="5" s="1"/>
  <c r="Y191" i="4"/>
  <c r="AK191" i="4" s="1"/>
  <c r="F191" i="5" s="1"/>
  <c r="Z191" i="4"/>
  <c r="AL191" i="4" s="1"/>
  <c r="G191" i="5" s="1"/>
  <c r="AA191" i="4"/>
  <c r="AB191" i="4"/>
  <c r="AC191" i="4"/>
  <c r="AD191" i="4"/>
  <c r="AE191" i="4"/>
  <c r="AO191" i="4" s="1"/>
  <c r="J191" i="5" s="1"/>
  <c r="V192" i="4"/>
  <c r="AH192" i="4" s="1"/>
  <c r="C192" i="5" s="1"/>
  <c r="W192" i="4"/>
  <c r="AI192" i="4" s="1"/>
  <c r="D192" i="5" s="1"/>
  <c r="X192" i="4"/>
  <c r="AJ192" i="4" s="1"/>
  <c r="E192" i="5" s="1"/>
  <c r="Y192" i="4"/>
  <c r="AK192" i="4" s="1"/>
  <c r="F192" i="5" s="1"/>
  <c r="Z192" i="4"/>
  <c r="AL192" i="4" s="1"/>
  <c r="G192" i="5" s="1"/>
  <c r="AA192" i="4"/>
  <c r="AB192" i="4"/>
  <c r="AC192" i="4"/>
  <c r="AD192" i="4"/>
  <c r="AE192" i="4"/>
  <c r="AO192" i="4" s="1"/>
  <c r="J192" i="5" s="1"/>
  <c r="V193" i="4"/>
  <c r="AH193" i="4" s="1"/>
  <c r="C193" i="5" s="1"/>
  <c r="W193" i="4"/>
  <c r="AI193" i="4" s="1"/>
  <c r="D193" i="5" s="1"/>
  <c r="X193" i="4"/>
  <c r="AJ193" i="4" s="1"/>
  <c r="E193" i="5" s="1"/>
  <c r="Y193" i="4"/>
  <c r="AK193" i="4" s="1"/>
  <c r="F193" i="5" s="1"/>
  <c r="Z193" i="4"/>
  <c r="AL193" i="4" s="1"/>
  <c r="G193" i="5" s="1"/>
  <c r="AA193" i="4"/>
  <c r="AB193" i="4"/>
  <c r="AC193" i="4"/>
  <c r="AD193" i="4"/>
  <c r="AE193" i="4"/>
  <c r="AO193" i="4" s="1"/>
  <c r="J193" i="5" s="1"/>
  <c r="V194" i="4"/>
  <c r="AH194" i="4" s="1"/>
  <c r="C194" i="5" s="1"/>
  <c r="W194" i="4"/>
  <c r="AI194" i="4" s="1"/>
  <c r="D194" i="5" s="1"/>
  <c r="X194" i="4"/>
  <c r="AJ194" i="4" s="1"/>
  <c r="E194" i="5" s="1"/>
  <c r="Y194" i="4"/>
  <c r="AK194" i="4" s="1"/>
  <c r="F194" i="5" s="1"/>
  <c r="Z194" i="4"/>
  <c r="AL194" i="4" s="1"/>
  <c r="G194" i="5" s="1"/>
  <c r="AA194" i="4"/>
  <c r="AB194" i="4"/>
  <c r="AC194" i="4"/>
  <c r="AD194" i="4"/>
  <c r="AE194" i="4"/>
  <c r="AO194" i="4" s="1"/>
  <c r="J194" i="5" s="1"/>
  <c r="V195" i="4"/>
  <c r="AH195" i="4" s="1"/>
  <c r="C195" i="5" s="1"/>
  <c r="W195" i="4"/>
  <c r="AI195" i="4" s="1"/>
  <c r="D195" i="5" s="1"/>
  <c r="X195" i="4"/>
  <c r="AJ195" i="4" s="1"/>
  <c r="E195" i="5" s="1"/>
  <c r="Y195" i="4"/>
  <c r="AK195" i="4" s="1"/>
  <c r="F195" i="5" s="1"/>
  <c r="Z195" i="4"/>
  <c r="AL195" i="4" s="1"/>
  <c r="G195" i="5" s="1"/>
  <c r="AA195" i="4"/>
  <c r="AB195" i="4"/>
  <c r="AC195" i="4"/>
  <c r="AD195" i="4"/>
  <c r="AE195" i="4"/>
  <c r="AO195" i="4" s="1"/>
  <c r="J195" i="5" s="1"/>
  <c r="V197" i="4"/>
  <c r="AH197" i="4" s="1"/>
  <c r="C197" i="5" s="1"/>
  <c r="W197" i="4"/>
  <c r="AI197" i="4" s="1"/>
  <c r="D197" i="5" s="1"/>
  <c r="X197" i="4"/>
  <c r="AJ197" i="4" s="1"/>
  <c r="E197" i="5" s="1"/>
  <c r="Y197" i="4"/>
  <c r="AK197" i="4" s="1"/>
  <c r="F197" i="5" s="1"/>
  <c r="Z197" i="4"/>
  <c r="AL197" i="4" s="1"/>
  <c r="G197" i="5" s="1"/>
  <c r="AA197" i="4"/>
  <c r="AB197" i="4"/>
  <c r="AC197" i="4"/>
  <c r="AD197" i="4"/>
  <c r="AE197" i="4"/>
  <c r="AO197" i="4" s="1"/>
  <c r="J197" i="5" s="1"/>
  <c r="V198" i="4"/>
  <c r="AH198" i="4" s="1"/>
  <c r="C198" i="5" s="1"/>
  <c r="W198" i="4"/>
  <c r="AI198" i="4" s="1"/>
  <c r="D198" i="5" s="1"/>
  <c r="X198" i="4"/>
  <c r="AJ198" i="4" s="1"/>
  <c r="E198" i="5" s="1"/>
  <c r="Y198" i="4"/>
  <c r="AK198" i="4" s="1"/>
  <c r="F198" i="5" s="1"/>
  <c r="Z198" i="4"/>
  <c r="AL198" i="4" s="1"/>
  <c r="G198" i="5" s="1"/>
  <c r="AA198" i="4"/>
  <c r="AB198" i="4"/>
  <c r="AC198" i="4"/>
  <c r="AD198" i="4"/>
  <c r="AE198" i="4"/>
  <c r="AO198" i="4" s="1"/>
  <c r="J198" i="5" s="1"/>
  <c r="V199" i="4"/>
  <c r="AH199" i="4" s="1"/>
  <c r="C199" i="5" s="1"/>
  <c r="W199" i="4"/>
  <c r="AI199" i="4" s="1"/>
  <c r="D199" i="5" s="1"/>
  <c r="X199" i="4"/>
  <c r="AJ199" i="4" s="1"/>
  <c r="E199" i="5" s="1"/>
  <c r="Y199" i="4"/>
  <c r="AK199" i="4" s="1"/>
  <c r="F199" i="5" s="1"/>
  <c r="Z199" i="4"/>
  <c r="AL199" i="4" s="1"/>
  <c r="G199" i="5" s="1"/>
  <c r="AA199" i="4"/>
  <c r="AB199" i="4"/>
  <c r="AC199" i="4"/>
  <c r="AD199" i="4"/>
  <c r="AE199" i="4"/>
  <c r="AO199" i="4" s="1"/>
  <c r="J199" i="5" s="1"/>
  <c r="V200" i="4"/>
  <c r="AH200" i="4" s="1"/>
  <c r="C200" i="5" s="1"/>
  <c r="W200" i="4"/>
  <c r="AI200" i="4" s="1"/>
  <c r="D200" i="5" s="1"/>
  <c r="X200" i="4"/>
  <c r="AJ200" i="4" s="1"/>
  <c r="E200" i="5" s="1"/>
  <c r="Y200" i="4"/>
  <c r="AK200" i="4" s="1"/>
  <c r="F200" i="5" s="1"/>
  <c r="Z200" i="4"/>
  <c r="AL200" i="4" s="1"/>
  <c r="G200" i="5" s="1"/>
  <c r="AA200" i="4"/>
  <c r="AB200" i="4"/>
  <c r="AC200" i="4"/>
  <c r="AD200" i="4"/>
  <c r="AE200" i="4"/>
  <c r="AO200" i="4" s="1"/>
  <c r="J200" i="5" s="1"/>
  <c r="V201" i="4"/>
  <c r="AH201" i="4" s="1"/>
  <c r="C201" i="5" s="1"/>
  <c r="W201" i="4"/>
  <c r="AI201" i="4" s="1"/>
  <c r="D201" i="5" s="1"/>
  <c r="X201" i="4"/>
  <c r="AJ201" i="4" s="1"/>
  <c r="E201" i="5" s="1"/>
  <c r="Y201" i="4"/>
  <c r="AK201" i="4" s="1"/>
  <c r="F201" i="5" s="1"/>
  <c r="Z201" i="4"/>
  <c r="AL201" i="4" s="1"/>
  <c r="G201" i="5" s="1"/>
  <c r="AA201" i="4"/>
  <c r="AB201" i="4"/>
  <c r="AC201" i="4"/>
  <c r="AD201" i="4"/>
  <c r="AE201" i="4"/>
  <c r="AO201" i="4" s="1"/>
  <c r="J201" i="5" s="1"/>
  <c r="V202" i="4"/>
  <c r="AH202" i="4" s="1"/>
  <c r="C202" i="5" s="1"/>
  <c r="W202" i="4"/>
  <c r="AI202" i="4" s="1"/>
  <c r="D202" i="5" s="1"/>
  <c r="X202" i="4"/>
  <c r="AJ202" i="4" s="1"/>
  <c r="E202" i="5" s="1"/>
  <c r="Y202" i="4"/>
  <c r="AK202" i="4" s="1"/>
  <c r="F202" i="5" s="1"/>
  <c r="Z202" i="4"/>
  <c r="AL202" i="4" s="1"/>
  <c r="G202" i="5" s="1"/>
  <c r="AA202" i="4"/>
  <c r="AB202" i="4"/>
  <c r="AC202" i="4"/>
  <c r="AD202" i="4"/>
  <c r="AE202" i="4"/>
  <c r="AO202" i="4" s="1"/>
  <c r="J202" i="5" s="1"/>
  <c r="V203" i="4"/>
  <c r="AH203" i="4" s="1"/>
  <c r="C203" i="5" s="1"/>
  <c r="W203" i="4"/>
  <c r="AI203" i="4" s="1"/>
  <c r="X203" i="4"/>
  <c r="AJ203" i="4" s="1"/>
  <c r="E203" i="5" s="1"/>
  <c r="Y203" i="4"/>
  <c r="AK203" i="4" s="1"/>
  <c r="F203" i="5" s="1"/>
  <c r="Z203" i="4"/>
  <c r="AL203" i="4" s="1"/>
  <c r="G203" i="5" s="1"/>
  <c r="AA203" i="4"/>
  <c r="AB203" i="4"/>
  <c r="AC203" i="4"/>
  <c r="AD203" i="4"/>
  <c r="AE203" i="4"/>
  <c r="AO203" i="4" s="1"/>
  <c r="J203" i="5" s="1"/>
  <c r="V205" i="4"/>
  <c r="AH205" i="4" s="1"/>
  <c r="C205" i="5" s="1"/>
  <c r="W205" i="4"/>
  <c r="AI205" i="4" s="1"/>
  <c r="D205" i="5" s="1"/>
  <c r="X205" i="4"/>
  <c r="AJ205" i="4" s="1"/>
  <c r="E205" i="5" s="1"/>
  <c r="Y205" i="4"/>
  <c r="AK205" i="4" s="1"/>
  <c r="F205" i="5" s="1"/>
  <c r="Z205" i="4"/>
  <c r="AL205" i="4" s="1"/>
  <c r="G205" i="5" s="1"/>
  <c r="AA205" i="4"/>
  <c r="AB205" i="4"/>
  <c r="AC205" i="4"/>
  <c r="AD205" i="4"/>
  <c r="AE205" i="4"/>
  <c r="AO205" i="4" s="1"/>
  <c r="J205" i="5" s="1"/>
  <c r="V206" i="4"/>
  <c r="AH206" i="4" s="1"/>
  <c r="C206" i="5" s="1"/>
  <c r="W206" i="4"/>
  <c r="AI206" i="4" s="1"/>
  <c r="D206" i="5" s="1"/>
  <c r="X206" i="4"/>
  <c r="AJ206" i="4" s="1"/>
  <c r="E206" i="5" s="1"/>
  <c r="Y206" i="4"/>
  <c r="AK206" i="4" s="1"/>
  <c r="F206" i="5" s="1"/>
  <c r="Z206" i="4"/>
  <c r="AL206" i="4" s="1"/>
  <c r="G206" i="5" s="1"/>
  <c r="AA206" i="4"/>
  <c r="AB206" i="4"/>
  <c r="AC206" i="4"/>
  <c r="AD206" i="4"/>
  <c r="AE206" i="4"/>
  <c r="AO206" i="4" s="1"/>
  <c r="J206" i="5" s="1"/>
  <c r="V207" i="4"/>
  <c r="AH207" i="4" s="1"/>
  <c r="C207" i="5" s="1"/>
  <c r="W207" i="4"/>
  <c r="AI207" i="4" s="1"/>
  <c r="D207" i="5" s="1"/>
  <c r="X207" i="4"/>
  <c r="AJ207" i="4" s="1"/>
  <c r="E207" i="5" s="1"/>
  <c r="Y207" i="4"/>
  <c r="AK207" i="4" s="1"/>
  <c r="F207" i="5" s="1"/>
  <c r="Z207" i="4"/>
  <c r="AL207" i="4" s="1"/>
  <c r="AA207" i="4"/>
  <c r="AB207" i="4"/>
  <c r="AC207" i="4"/>
  <c r="AD207" i="4"/>
  <c r="AE207" i="4"/>
  <c r="AO207" i="4" s="1"/>
  <c r="J207" i="5" s="1"/>
  <c r="V208" i="4"/>
  <c r="AH208" i="4" s="1"/>
  <c r="C208" i="5" s="1"/>
  <c r="W208" i="4"/>
  <c r="AI208" i="4" s="1"/>
  <c r="D208" i="5" s="1"/>
  <c r="X208" i="4"/>
  <c r="AJ208" i="4" s="1"/>
  <c r="E208" i="5" s="1"/>
  <c r="Y208" i="4"/>
  <c r="AK208" i="4" s="1"/>
  <c r="F208" i="5" s="1"/>
  <c r="Z208" i="4"/>
  <c r="AL208" i="4" s="1"/>
  <c r="G208" i="5" s="1"/>
  <c r="AA208" i="4"/>
  <c r="AB208" i="4"/>
  <c r="AC208" i="4"/>
  <c r="AD208" i="4"/>
  <c r="AE208" i="4"/>
  <c r="AO208" i="4" s="1"/>
  <c r="J208" i="5" s="1"/>
  <c r="V209" i="4"/>
  <c r="AH209" i="4" s="1"/>
  <c r="C209" i="5" s="1"/>
  <c r="W209" i="4"/>
  <c r="AI209" i="4" s="1"/>
  <c r="D209" i="5" s="1"/>
  <c r="X209" i="4"/>
  <c r="AJ209" i="4" s="1"/>
  <c r="Y209" i="4"/>
  <c r="AK209" i="4" s="1"/>
  <c r="F209" i="5" s="1"/>
  <c r="Z209" i="4"/>
  <c r="AL209" i="4" s="1"/>
  <c r="G209" i="5" s="1"/>
  <c r="AA209" i="4"/>
  <c r="AB209" i="4"/>
  <c r="AC209" i="4"/>
  <c r="AD209" i="4"/>
  <c r="AE209" i="4"/>
  <c r="AO209" i="4" s="1"/>
  <c r="J209" i="5" s="1"/>
  <c r="V210" i="4"/>
  <c r="AH210" i="4" s="1"/>
  <c r="C210" i="5" s="1"/>
  <c r="W210" i="4"/>
  <c r="AI210" i="4" s="1"/>
  <c r="D210" i="5" s="1"/>
  <c r="X210" i="4"/>
  <c r="AJ210" i="4" s="1"/>
  <c r="E210" i="5" s="1"/>
  <c r="Y210" i="4"/>
  <c r="AK210" i="4" s="1"/>
  <c r="F210" i="5" s="1"/>
  <c r="Z210" i="4"/>
  <c r="AL210" i="4" s="1"/>
  <c r="G210" i="5" s="1"/>
  <c r="AA210" i="4"/>
  <c r="AB210" i="4"/>
  <c r="AC210" i="4"/>
  <c r="AD210" i="4"/>
  <c r="AE210" i="4"/>
  <c r="AO210" i="4" s="1"/>
  <c r="J210" i="5" s="1"/>
  <c r="V211" i="4"/>
  <c r="AH211" i="4" s="1"/>
  <c r="W211" i="4"/>
  <c r="AI211" i="4" s="1"/>
  <c r="D211" i="5" s="1"/>
  <c r="X211" i="4"/>
  <c r="AJ211" i="4" s="1"/>
  <c r="E211" i="5" s="1"/>
  <c r="Y211" i="4"/>
  <c r="AK211" i="4" s="1"/>
  <c r="F211" i="5" s="1"/>
  <c r="Z211" i="4"/>
  <c r="AL211" i="4" s="1"/>
  <c r="G211" i="5" s="1"/>
  <c r="AA211" i="4"/>
  <c r="AB211" i="4"/>
  <c r="AC211" i="4"/>
  <c r="AD211" i="4"/>
  <c r="AE211" i="4"/>
  <c r="AO211" i="4" s="1"/>
  <c r="J211" i="5" s="1"/>
  <c r="V212" i="4"/>
  <c r="AH212" i="4" s="1"/>
  <c r="C212" i="5" s="1"/>
  <c r="W212" i="4"/>
  <c r="AI212" i="4" s="1"/>
  <c r="D212" i="5" s="1"/>
  <c r="X212" i="4"/>
  <c r="AJ212" i="4" s="1"/>
  <c r="E212" i="5" s="1"/>
  <c r="Y212" i="4"/>
  <c r="AK212" i="4" s="1"/>
  <c r="F212" i="5" s="1"/>
  <c r="Z212" i="4"/>
  <c r="AL212" i="4" s="1"/>
  <c r="G212" i="5" s="1"/>
  <c r="AA212" i="4"/>
  <c r="AB212" i="4"/>
  <c r="AC212" i="4"/>
  <c r="AD212" i="4"/>
  <c r="AE212" i="4"/>
  <c r="AO212" i="4" s="1"/>
  <c r="V214" i="4"/>
  <c r="AH214" i="4" s="1"/>
  <c r="C214" i="5" s="1"/>
  <c r="W214" i="4"/>
  <c r="AI214" i="4" s="1"/>
  <c r="D214" i="5" s="1"/>
  <c r="X214" i="4"/>
  <c r="AJ214" i="4" s="1"/>
  <c r="E214" i="5" s="1"/>
  <c r="Y214" i="4"/>
  <c r="AK214" i="4" s="1"/>
  <c r="F214" i="5" s="1"/>
  <c r="Z214" i="4"/>
  <c r="AL214" i="4" s="1"/>
  <c r="G214" i="5" s="1"/>
  <c r="AA214" i="4"/>
  <c r="AB214" i="4"/>
  <c r="AC214" i="4"/>
  <c r="AD214" i="4"/>
  <c r="AE214" i="4"/>
  <c r="AO214" i="4" s="1"/>
  <c r="J214" i="5" s="1"/>
  <c r="V215" i="4"/>
  <c r="AH215" i="4" s="1"/>
  <c r="W215" i="4"/>
  <c r="AI215" i="4" s="1"/>
  <c r="D215" i="5" s="1"/>
  <c r="X215" i="4"/>
  <c r="AJ215" i="4" s="1"/>
  <c r="Y215" i="4"/>
  <c r="AK215" i="4" s="1"/>
  <c r="Z215" i="4"/>
  <c r="AL215" i="4" s="1"/>
  <c r="AA215" i="4"/>
  <c r="AB215" i="4"/>
  <c r="AC215" i="4"/>
  <c r="AD215" i="4"/>
  <c r="AE215" i="4"/>
  <c r="AO215" i="4" s="1"/>
  <c r="W3" i="4"/>
  <c r="AI3" i="4" s="1"/>
  <c r="X3" i="4"/>
  <c r="AJ3" i="4" s="1"/>
  <c r="Y3" i="4"/>
  <c r="AK3" i="4" s="1"/>
  <c r="Z3" i="4"/>
  <c r="AL3" i="4" s="1"/>
  <c r="AA3" i="4"/>
  <c r="AB3" i="4"/>
  <c r="AC3" i="4"/>
  <c r="AD3" i="4"/>
  <c r="AE3" i="4"/>
  <c r="AO3" i="4" s="1"/>
  <c r="V3" i="4"/>
  <c r="AH3" i="4" s="1"/>
  <c r="E82" i="7"/>
  <c r="E156" i="7"/>
  <c r="C187" i="6"/>
  <c r="AP3" i="4"/>
  <c r="D4" i="7"/>
  <c r="E4" i="7"/>
  <c r="K4" i="6"/>
  <c r="D13" i="7"/>
  <c r="K13" i="6"/>
  <c r="D28" i="7"/>
  <c r="E28" i="7"/>
  <c r="K28" i="6"/>
  <c r="F31" i="7"/>
  <c r="J31" i="7"/>
  <c r="D40" i="7"/>
  <c r="E64" i="7"/>
  <c r="G68" i="7"/>
  <c r="K68" i="7"/>
  <c r="E102" i="7"/>
  <c r="AN290" i="4" l="1"/>
  <c r="AN287" i="4"/>
  <c r="AM291" i="4"/>
  <c r="H291" i="7" s="1"/>
  <c r="AM292" i="4"/>
  <c r="AM290" i="4"/>
  <c r="AM288" i="4"/>
  <c r="AN291" i="4"/>
  <c r="AM289" i="4"/>
  <c r="F284" i="5"/>
  <c r="F284" i="7"/>
  <c r="AN215" i="4"/>
  <c r="AM214" i="4"/>
  <c r="H214" i="5" s="1"/>
  <c r="AM212" i="4"/>
  <c r="H212" i="5" s="1"/>
  <c r="AN211" i="4"/>
  <c r="I211" i="5" s="1"/>
  <c r="AM210" i="4"/>
  <c r="H210" i="5" s="1"/>
  <c r="AN209" i="4"/>
  <c r="I209" i="5" s="1"/>
  <c r="AM208" i="4"/>
  <c r="H208" i="5" s="1"/>
  <c r="AN207" i="4"/>
  <c r="I207" i="5" s="1"/>
  <c r="AM206" i="4"/>
  <c r="H206" i="5" s="1"/>
  <c r="AN205" i="4"/>
  <c r="AN203" i="4"/>
  <c r="I203" i="5" s="1"/>
  <c r="AM202" i="4"/>
  <c r="H202" i="5" s="1"/>
  <c r="AN201" i="4"/>
  <c r="I201" i="5" s="1"/>
  <c r="AM200" i="4"/>
  <c r="H200" i="5" s="1"/>
  <c r="AN199" i="4"/>
  <c r="I199" i="5" s="1"/>
  <c r="AM198" i="4"/>
  <c r="H198" i="5" s="1"/>
  <c r="AN197" i="4"/>
  <c r="I197" i="5" s="1"/>
  <c r="AM194" i="4"/>
  <c r="H194" i="5" s="1"/>
  <c r="AN193" i="4"/>
  <c r="I193" i="5" s="1"/>
  <c r="AM192" i="4"/>
  <c r="H192" i="5" s="1"/>
  <c r="AM154" i="4"/>
  <c r="H154" i="5" s="1"/>
  <c r="AN153" i="4"/>
  <c r="I153" i="5" s="1"/>
  <c r="AM152" i="4"/>
  <c r="H152" i="5" s="1"/>
  <c r="AN151" i="4"/>
  <c r="I151" i="5" s="1"/>
  <c r="AM150" i="4"/>
  <c r="H150" i="5" s="1"/>
  <c r="AN149" i="4"/>
  <c r="I149" i="5" s="1"/>
  <c r="AM148" i="4"/>
  <c r="H148" i="5" s="1"/>
  <c r="F284" i="6"/>
  <c r="E250" i="7"/>
  <c r="AN251" i="4"/>
  <c r="I251" i="5" s="1"/>
  <c r="F266" i="6"/>
  <c r="AM285" i="4"/>
  <c r="H285" i="7" s="1"/>
  <c r="AK266" i="4"/>
  <c r="AN147" i="4"/>
  <c r="I147" i="5" s="1"/>
  <c r="AM146" i="4"/>
  <c r="H146" i="5" s="1"/>
  <c r="AN145" i="4"/>
  <c r="I145" i="5" s="1"/>
  <c r="AM144" i="4"/>
  <c r="H144" i="5" s="1"/>
  <c r="AN143" i="4"/>
  <c r="I143" i="5" s="1"/>
  <c r="AM142" i="4"/>
  <c r="H142" i="5" s="1"/>
  <c r="AN141" i="4"/>
  <c r="I141" i="5" s="1"/>
  <c r="AM140" i="4"/>
  <c r="H140" i="5" s="1"/>
  <c r="AN139" i="4"/>
  <c r="I139" i="5" s="1"/>
  <c r="AM138" i="4"/>
  <c r="H138" i="5" s="1"/>
  <c r="AN137" i="4"/>
  <c r="I137" i="5" s="1"/>
  <c r="AM136" i="4"/>
  <c r="H136" i="5" s="1"/>
  <c r="AN135" i="4"/>
  <c r="I135" i="5" s="1"/>
  <c r="AM134" i="4"/>
  <c r="H134" i="5" s="1"/>
  <c r="AN133" i="4"/>
  <c r="I133" i="5" s="1"/>
  <c r="AM132" i="4"/>
  <c r="H132" i="5" s="1"/>
  <c r="L132" i="5" s="1"/>
  <c r="AN131" i="4"/>
  <c r="I131" i="5" s="1"/>
  <c r="AM130" i="4"/>
  <c r="H130" i="5" s="1"/>
  <c r="AN129" i="4"/>
  <c r="I129" i="5" s="1"/>
  <c r="AM128" i="4"/>
  <c r="H128" i="5" s="1"/>
  <c r="AN127" i="4"/>
  <c r="I127" i="5" s="1"/>
  <c r="AM126" i="4"/>
  <c r="H126" i="5" s="1"/>
  <c r="AN125" i="4"/>
  <c r="I125" i="5" s="1"/>
  <c r="AM124" i="4"/>
  <c r="H124" i="5" s="1"/>
  <c r="AN123" i="4"/>
  <c r="I123" i="5" s="1"/>
  <c r="AM122" i="4"/>
  <c r="H122" i="5" s="1"/>
  <c r="AN121" i="4"/>
  <c r="I121" i="5" s="1"/>
  <c r="AM120" i="4"/>
  <c r="H120" i="5" s="1"/>
  <c r="AN119" i="4"/>
  <c r="I119" i="5" s="1"/>
  <c r="AM118" i="4"/>
  <c r="H118" i="5" s="1"/>
  <c r="AN115" i="4"/>
  <c r="I115" i="5" s="1"/>
  <c r="AM112" i="4"/>
  <c r="H112" i="5" s="1"/>
  <c r="AN111" i="4"/>
  <c r="I111" i="5" s="1"/>
  <c r="AM110" i="4"/>
  <c r="H110" i="5" s="1"/>
  <c r="AN109" i="4"/>
  <c r="I109" i="5" s="1"/>
  <c r="AM108" i="4"/>
  <c r="H108" i="5" s="1"/>
  <c r="AN107" i="4"/>
  <c r="I107" i="5" s="1"/>
  <c r="AM106" i="4"/>
  <c r="H106" i="5" s="1"/>
  <c r="AN105" i="4"/>
  <c r="I105" i="5" s="1"/>
  <c r="AM104" i="4"/>
  <c r="H104" i="5" s="1"/>
  <c r="AN103" i="4"/>
  <c r="AM102" i="4"/>
  <c r="H102" i="5" s="1"/>
  <c r="AN101" i="4"/>
  <c r="AM100" i="4"/>
  <c r="H100" i="5" s="1"/>
  <c r="AM98" i="4"/>
  <c r="H98" i="5" s="1"/>
  <c r="AN97" i="4"/>
  <c r="I97" i="5" s="1"/>
  <c r="AM96" i="4"/>
  <c r="H96" i="5" s="1"/>
  <c r="AN95" i="4"/>
  <c r="I95" i="5" s="1"/>
  <c r="AM94" i="4"/>
  <c r="AN93" i="4"/>
  <c r="AM92" i="4"/>
  <c r="AN91" i="4"/>
  <c r="I91" i="5" s="1"/>
  <c r="AM90" i="4"/>
  <c r="H90" i="5" s="1"/>
  <c r="AN89" i="4"/>
  <c r="I89" i="5" s="1"/>
  <c r="AM88" i="4"/>
  <c r="H88" i="5" s="1"/>
  <c r="AN87" i="4"/>
  <c r="I87" i="5" s="1"/>
  <c r="AN83" i="4"/>
  <c r="I83" i="5" s="1"/>
  <c r="AM82" i="4"/>
  <c r="H82" i="5" s="1"/>
  <c r="AM80" i="4"/>
  <c r="H80" i="5" s="1"/>
  <c r="AN79" i="4"/>
  <c r="I79" i="5" s="1"/>
  <c r="AM78" i="4"/>
  <c r="H78" i="5" s="1"/>
  <c r="AN77" i="4"/>
  <c r="I77" i="5" s="1"/>
  <c r="AM76" i="4"/>
  <c r="H76" i="5" s="1"/>
  <c r="AN75" i="4"/>
  <c r="I75" i="5" s="1"/>
  <c r="AM74" i="4"/>
  <c r="H74" i="5" s="1"/>
  <c r="AM286" i="4"/>
  <c r="H286" i="6" s="1"/>
  <c r="AM284" i="4"/>
  <c r="AN283" i="4"/>
  <c r="E289" i="5"/>
  <c r="E289" i="7"/>
  <c r="H287" i="7"/>
  <c r="H287" i="5"/>
  <c r="AN278" i="4"/>
  <c r="AM281" i="4"/>
  <c r="H281" i="6" s="1"/>
  <c r="AN277" i="4"/>
  <c r="I277" i="7" s="1"/>
  <c r="AN282" i="4"/>
  <c r="I282" i="6" s="1"/>
  <c r="AN281" i="4"/>
  <c r="AN280" i="4"/>
  <c r="I280" i="7" s="1"/>
  <c r="AN279" i="4"/>
  <c r="I279" i="7" s="1"/>
  <c r="AN276" i="4"/>
  <c r="I276" i="7" s="1"/>
  <c r="AN275" i="4"/>
  <c r="I275" i="7" s="1"/>
  <c r="AN274" i="4"/>
  <c r="I274" i="5" s="1"/>
  <c r="AM282" i="4"/>
  <c r="H282" i="6" s="1"/>
  <c r="AM280" i="4"/>
  <c r="H280" i="6" s="1"/>
  <c r="AM279" i="4"/>
  <c r="H279" i="5" s="1"/>
  <c r="AM278" i="4"/>
  <c r="H278" i="6" s="1"/>
  <c r="AM277" i="4"/>
  <c r="H277" i="5" s="1"/>
  <c r="AM276" i="4"/>
  <c r="H276" i="7" s="1"/>
  <c r="AM275" i="4"/>
  <c r="H275" i="6" s="1"/>
  <c r="AM274" i="4"/>
  <c r="H274" i="7" s="1"/>
  <c r="C292" i="7"/>
  <c r="C292" i="6"/>
  <c r="C292" i="5"/>
  <c r="H290" i="7"/>
  <c r="H290" i="6"/>
  <c r="H290" i="5"/>
  <c r="F287" i="7"/>
  <c r="F287" i="6"/>
  <c r="F287" i="5"/>
  <c r="J285" i="7"/>
  <c r="J285" i="6"/>
  <c r="J285" i="5"/>
  <c r="D285" i="7"/>
  <c r="D285" i="6"/>
  <c r="D285" i="5"/>
  <c r="J281" i="7"/>
  <c r="J281" i="6"/>
  <c r="J281" i="5"/>
  <c r="C280" i="7"/>
  <c r="C280" i="6"/>
  <c r="C280" i="5"/>
  <c r="I279" i="6"/>
  <c r="F279" i="7"/>
  <c r="F279" i="6"/>
  <c r="F279" i="5"/>
  <c r="E278" i="7"/>
  <c r="E278" i="6"/>
  <c r="E278" i="5"/>
  <c r="J277" i="7"/>
  <c r="J277" i="6"/>
  <c r="J277" i="5"/>
  <c r="D277" i="7"/>
  <c r="D277" i="6"/>
  <c r="D277" i="5"/>
  <c r="I276" i="5"/>
  <c r="G276" i="7"/>
  <c r="G276" i="6"/>
  <c r="G276" i="5"/>
  <c r="F275" i="7"/>
  <c r="F275" i="6"/>
  <c r="F275" i="5"/>
  <c r="J273" i="7"/>
  <c r="J273" i="6"/>
  <c r="J273" i="5"/>
  <c r="H273" i="7"/>
  <c r="H273" i="6"/>
  <c r="H273" i="5"/>
  <c r="D273" i="7"/>
  <c r="D273" i="6"/>
  <c r="D273" i="5"/>
  <c r="I272" i="7"/>
  <c r="I272" i="6"/>
  <c r="I272" i="5"/>
  <c r="G272" i="7"/>
  <c r="G272" i="6"/>
  <c r="G272" i="5"/>
  <c r="H289" i="6"/>
  <c r="H289" i="7"/>
  <c r="H289" i="5"/>
  <c r="E286" i="7"/>
  <c r="E286" i="6"/>
  <c r="E286" i="5"/>
  <c r="G292" i="7"/>
  <c r="G292" i="6"/>
  <c r="G292" i="5"/>
  <c r="F291" i="7"/>
  <c r="F291" i="6"/>
  <c r="F291" i="5"/>
  <c r="J289" i="7"/>
  <c r="J289" i="5"/>
  <c r="J289" i="6"/>
  <c r="D289" i="7"/>
  <c r="D289" i="6"/>
  <c r="D289" i="5"/>
  <c r="G288" i="7"/>
  <c r="G288" i="6"/>
  <c r="G288" i="5"/>
  <c r="H286" i="7"/>
  <c r="H285" i="5"/>
  <c r="I284" i="7"/>
  <c r="I284" i="5"/>
  <c r="I284" i="6"/>
  <c r="F283" i="7"/>
  <c r="F283" i="6"/>
  <c r="F283" i="5"/>
  <c r="E282" i="7"/>
  <c r="E282" i="6"/>
  <c r="E282" i="5"/>
  <c r="D281" i="7"/>
  <c r="D281" i="6"/>
  <c r="D281" i="5"/>
  <c r="J291" i="7"/>
  <c r="J291" i="6"/>
  <c r="G289" i="7"/>
  <c r="G289" i="6"/>
  <c r="C288" i="7"/>
  <c r="C288" i="6"/>
  <c r="D287" i="7"/>
  <c r="D287" i="6"/>
  <c r="F286" i="7"/>
  <c r="F286" i="6"/>
  <c r="G284" i="7"/>
  <c r="G284" i="6"/>
  <c r="G284" i="5"/>
  <c r="I283" i="7"/>
  <c r="I283" i="6"/>
  <c r="I283" i="5"/>
  <c r="K282" i="7"/>
  <c r="K282" i="6"/>
  <c r="K282" i="5"/>
  <c r="E281" i="7"/>
  <c r="E281" i="6"/>
  <c r="E281" i="5"/>
  <c r="G280" i="7"/>
  <c r="G280" i="6"/>
  <c r="G280" i="5"/>
  <c r="J279" i="7"/>
  <c r="J279" i="6"/>
  <c r="K278" i="7"/>
  <c r="K278" i="6"/>
  <c r="K278" i="5"/>
  <c r="I277" i="6"/>
  <c r="I277" i="5"/>
  <c r="D275" i="7"/>
  <c r="D275" i="6"/>
  <c r="D275" i="5"/>
  <c r="F274" i="7"/>
  <c r="F274" i="6"/>
  <c r="F274" i="5"/>
  <c r="H272" i="7"/>
  <c r="H272" i="6"/>
  <c r="C288" i="5"/>
  <c r="K271" i="6"/>
  <c r="K271" i="7"/>
  <c r="K271" i="5"/>
  <c r="E271" i="7"/>
  <c r="E271" i="6"/>
  <c r="E271" i="5"/>
  <c r="J290" i="7"/>
  <c r="J290" i="6"/>
  <c r="C290" i="7"/>
  <c r="C290" i="6"/>
  <c r="K289" i="7"/>
  <c r="K289" i="6"/>
  <c r="C287" i="7"/>
  <c r="C287" i="6"/>
  <c r="C287" i="5"/>
  <c r="K285" i="7"/>
  <c r="K285" i="6"/>
  <c r="K285" i="5"/>
  <c r="F285" i="7"/>
  <c r="F285" i="6"/>
  <c r="E284" i="7"/>
  <c r="E284" i="5"/>
  <c r="E284" i="6"/>
  <c r="E283" i="7"/>
  <c r="E283" i="6"/>
  <c r="E283" i="5"/>
  <c r="C282" i="7"/>
  <c r="C282" i="6"/>
  <c r="C282" i="5"/>
  <c r="K281" i="7"/>
  <c r="K281" i="6"/>
  <c r="K281" i="5"/>
  <c r="F281" i="7"/>
  <c r="F281" i="6"/>
  <c r="E280" i="7"/>
  <c r="E280" i="6"/>
  <c r="E280" i="5"/>
  <c r="H279" i="6"/>
  <c r="H279" i="7"/>
  <c r="C279" i="7"/>
  <c r="C279" i="6"/>
  <c r="C279" i="5"/>
  <c r="C278" i="7"/>
  <c r="C278" i="6"/>
  <c r="C278" i="5"/>
  <c r="K277" i="7"/>
  <c r="K277" i="6"/>
  <c r="K277" i="5"/>
  <c r="E277" i="7"/>
  <c r="E277" i="6"/>
  <c r="E277" i="5"/>
  <c r="F277" i="7"/>
  <c r="F277" i="6"/>
  <c r="H275" i="5"/>
  <c r="C275" i="6"/>
  <c r="C275" i="5"/>
  <c r="C275" i="7"/>
  <c r="J274" i="7"/>
  <c r="J274" i="6"/>
  <c r="J274" i="5"/>
  <c r="D274" i="7"/>
  <c r="D274" i="6"/>
  <c r="K273" i="6"/>
  <c r="K273" i="7"/>
  <c r="K273" i="5"/>
  <c r="E273" i="7"/>
  <c r="E273" i="6"/>
  <c r="E273" i="5"/>
  <c r="F273" i="7"/>
  <c r="F273" i="6"/>
  <c r="F292" i="5"/>
  <c r="H291" i="5"/>
  <c r="J290" i="5"/>
  <c r="F288" i="5"/>
  <c r="H276" i="5"/>
  <c r="F273" i="5"/>
  <c r="H291" i="6"/>
  <c r="D290" i="6"/>
  <c r="E289" i="6"/>
  <c r="F288" i="6"/>
  <c r="F271" i="7"/>
  <c r="F271" i="6"/>
  <c r="H292" i="7"/>
  <c r="H292" i="6"/>
  <c r="K290" i="7"/>
  <c r="K290" i="6"/>
  <c r="F289" i="7"/>
  <c r="F289" i="6"/>
  <c r="G283" i="7"/>
  <c r="G283" i="6"/>
  <c r="G283" i="5"/>
  <c r="F282" i="7"/>
  <c r="F282" i="6"/>
  <c r="F278" i="7"/>
  <c r="F278" i="6"/>
  <c r="F278" i="5"/>
  <c r="J275" i="7"/>
  <c r="J275" i="6"/>
  <c r="E274" i="7"/>
  <c r="E274" i="6"/>
  <c r="E274" i="5"/>
  <c r="I273" i="7"/>
  <c r="I273" i="6"/>
  <c r="I273" i="5"/>
  <c r="K290" i="5"/>
  <c r="J271" i="7"/>
  <c r="J271" i="6"/>
  <c r="D271" i="7"/>
  <c r="D271" i="6"/>
  <c r="D271" i="5"/>
  <c r="K292" i="7"/>
  <c r="K292" i="6"/>
  <c r="D292" i="7"/>
  <c r="D292" i="6"/>
  <c r="E292" i="7"/>
  <c r="E292" i="6"/>
  <c r="G291" i="7"/>
  <c r="G291" i="6"/>
  <c r="C289" i="7"/>
  <c r="C289" i="6"/>
  <c r="K288" i="7"/>
  <c r="K288" i="6"/>
  <c r="E288" i="7"/>
  <c r="E288" i="6"/>
  <c r="G287" i="7"/>
  <c r="G287" i="6"/>
  <c r="G287" i="5"/>
  <c r="G286" i="7"/>
  <c r="G286" i="6"/>
  <c r="G286" i="5"/>
  <c r="J286" i="7"/>
  <c r="J286" i="6"/>
  <c r="D284" i="7"/>
  <c r="D284" i="6"/>
  <c r="G282" i="7"/>
  <c r="G282" i="6"/>
  <c r="G282" i="5"/>
  <c r="J282" i="7"/>
  <c r="J282" i="6"/>
  <c r="C281" i="7"/>
  <c r="C281" i="6"/>
  <c r="C281" i="5"/>
  <c r="K280" i="7"/>
  <c r="K280" i="6"/>
  <c r="K280" i="5"/>
  <c r="D280" i="7"/>
  <c r="D280" i="6"/>
  <c r="F280" i="7"/>
  <c r="F280" i="6"/>
  <c r="G279" i="7"/>
  <c r="G279" i="6"/>
  <c r="G279" i="5"/>
  <c r="G278" i="7"/>
  <c r="G278" i="6"/>
  <c r="G278" i="5"/>
  <c r="J278" i="7"/>
  <c r="J278" i="6"/>
  <c r="J278" i="5"/>
  <c r="K276" i="6"/>
  <c r="K276" i="7"/>
  <c r="K276" i="5"/>
  <c r="E276" i="7"/>
  <c r="E276" i="6"/>
  <c r="E276" i="5"/>
  <c r="F276" i="7"/>
  <c r="F276" i="6"/>
  <c r="F276" i="5"/>
  <c r="G275" i="7"/>
  <c r="G275" i="6"/>
  <c r="G275" i="5"/>
  <c r="C274" i="6"/>
  <c r="C274" i="7"/>
  <c r="C274" i="5"/>
  <c r="K272" i="6"/>
  <c r="K272" i="7"/>
  <c r="K272" i="5"/>
  <c r="E272" i="7"/>
  <c r="E272" i="6"/>
  <c r="E272" i="5"/>
  <c r="F272" i="7"/>
  <c r="F272" i="6"/>
  <c r="F272" i="5"/>
  <c r="E292" i="5"/>
  <c r="G291" i="5"/>
  <c r="K289" i="5"/>
  <c r="G289" i="5"/>
  <c r="C289" i="5"/>
  <c r="E288" i="5"/>
  <c r="D287" i="5"/>
  <c r="F286" i="5"/>
  <c r="F282" i="5"/>
  <c r="D279" i="5"/>
  <c r="F271" i="5"/>
  <c r="F292" i="6"/>
  <c r="D282" i="6"/>
  <c r="D279" i="6"/>
  <c r="C291" i="7"/>
  <c r="C291" i="6"/>
  <c r="E290" i="7"/>
  <c r="E290" i="6"/>
  <c r="H288" i="7"/>
  <c r="H288" i="6"/>
  <c r="J287" i="7"/>
  <c r="J287" i="6"/>
  <c r="K286" i="7"/>
  <c r="K286" i="6"/>
  <c r="K286" i="5"/>
  <c r="E285" i="7"/>
  <c r="E285" i="5"/>
  <c r="J284" i="7"/>
  <c r="J284" i="6"/>
  <c r="I281" i="7"/>
  <c r="I281" i="6"/>
  <c r="I281" i="5"/>
  <c r="J280" i="7"/>
  <c r="J280" i="6"/>
  <c r="D278" i="7"/>
  <c r="D278" i="6"/>
  <c r="G277" i="7"/>
  <c r="G277" i="6"/>
  <c r="G277" i="5"/>
  <c r="C276" i="7"/>
  <c r="C276" i="6"/>
  <c r="C276" i="5"/>
  <c r="K274" i="7"/>
  <c r="K274" i="6"/>
  <c r="K274" i="5"/>
  <c r="G273" i="7"/>
  <c r="G273" i="6"/>
  <c r="G273" i="5"/>
  <c r="C272" i="7"/>
  <c r="C272" i="6"/>
  <c r="C272" i="5"/>
  <c r="D286" i="6"/>
  <c r="E285" i="6"/>
  <c r="G271" i="7"/>
  <c r="G271" i="6"/>
  <c r="G271" i="5"/>
  <c r="C271" i="6"/>
  <c r="C271" i="5"/>
  <c r="J292" i="7"/>
  <c r="J292" i="6"/>
  <c r="K291" i="7"/>
  <c r="K291" i="6"/>
  <c r="D291" i="7"/>
  <c r="D291" i="6"/>
  <c r="E291" i="7"/>
  <c r="E291" i="6"/>
  <c r="G290" i="7"/>
  <c r="G290" i="6"/>
  <c r="F290" i="7"/>
  <c r="F290" i="6"/>
  <c r="J288" i="7"/>
  <c r="J288" i="6"/>
  <c r="D288" i="7"/>
  <c r="D288" i="6"/>
  <c r="K287" i="7"/>
  <c r="K287" i="6"/>
  <c r="E287" i="7"/>
  <c r="E287" i="6"/>
  <c r="E287" i="5"/>
  <c r="G285" i="7"/>
  <c r="G285" i="6"/>
  <c r="G285" i="5"/>
  <c r="J283" i="7"/>
  <c r="J283" i="6"/>
  <c r="D283" i="7"/>
  <c r="D283" i="6"/>
  <c r="I282" i="7"/>
  <c r="G281" i="7"/>
  <c r="G281" i="6"/>
  <c r="G281" i="5"/>
  <c r="H280" i="7"/>
  <c r="K279" i="7"/>
  <c r="K279" i="6"/>
  <c r="K279" i="5"/>
  <c r="E279" i="7"/>
  <c r="E279" i="6"/>
  <c r="E279" i="5"/>
  <c r="I278" i="7"/>
  <c r="I278" i="6"/>
  <c r="I278" i="5"/>
  <c r="C277" i="6"/>
  <c r="C277" i="7"/>
  <c r="C277" i="5"/>
  <c r="J276" i="7"/>
  <c r="J276" i="6"/>
  <c r="J276" i="5"/>
  <c r="D276" i="7"/>
  <c r="D276" i="6"/>
  <c r="K275" i="6"/>
  <c r="K275" i="7"/>
  <c r="K275" i="5"/>
  <c r="E275" i="7"/>
  <c r="E275" i="6"/>
  <c r="E275" i="5"/>
  <c r="G274" i="6"/>
  <c r="G274" i="5"/>
  <c r="I274" i="6"/>
  <c r="C273" i="6"/>
  <c r="C273" i="7"/>
  <c r="C273" i="5"/>
  <c r="J272" i="7"/>
  <c r="J272" i="6"/>
  <c r="J272" i="5"/>
  <c r="D272" i="7"/>
  <c r="D272" i="6"/>
  <c r="H292" i="5"/>
  <c r="D292" i="5"/>
  <c r="J291" i="5"/>
  <c r="D290" i="5"/>
  <c r="F289" i="5"/>
  <c r="H288" i="5"/>
  <c r="D288" i="5"/>
  <c r="J287" i="5"/>
  <c r="D286" i="5"/>
  <c r="F285" i="5"/>
  <c r="J283" i="5"/>
  <c r="D282" i="5"/>
  <c r="F281" i="5"/>
  <c r="J279" i="5"/>
  <c r="F277" i="5"/>
  <c r="J275" i="5"/>
  <c r="D274" i="5"/>
  <c r="H272" i="5"/>
  <c r="J252" i="5"/>
  <c r="J252" i="7"/>
  <c r="J252" i="6"/>
  <c r="G251" i="5"/>
  <c r="G251" i="7"/>
  <c r="C251" i="5"/>
  <c r="C251" i="6"/>
  <c r="C251" i="7"/>
  <c r="K251" i="5"/>
  <c r="K251" i="6"/>
  <c r="C68" i="7"/>
  <c r="AN146" i="4"/>
  <c r="I146" i="5" s="1"/>
  <c r="L146" i="5" s="1"/>
  <c r="AM137" i="4"/>
  <c r="H137" i="5" s="1"/>
  <c r="AM111" i="4"/>
  <c r="H111" i="5" s="1"/>
  <c r="C252" i="6"/>
  <c r="D250" i="7"/>
  <c r="AM252" i="4"/>
  <c r="H252" i="6" s="1"/>
  <c r="G100" i="7"/>
  <c r="G28" i="6"/>
  <c r="AN154" i="4"/>
  <c r="I154" i="5" s="1"/>
  <c r="AM133" i="4"/>
  <c r="H133" i="5" s="1"/>
  <c r="AM89" i="4"/>
  <c r="H89" i="5" s="1"/>
  <c r="G94" i="6"/>
  <c r="G248" i="7"/>
  <c r="C40" i="7"/>
  <c r="AM147" i="4"/>
  <c r="H147" i="5" s="1"/>
  <c r="AN140" i="4"/>
  <c r="I140" i="5" s="1"/>
  <c r="AM127" i="4"/>
  <c r="H127" i="5" s="1"/>
  <c r="L127" i="5" s="1"/>
  <c r="D103" i="7"/>
  <c r="G40" i="7"/>
  <c r="AM62" i="4"/>
  <c r="H62" i="5" s="1"/>
  <c r="H250" i="7"/>
  <c r="F248" i="7"/>
  <c r="I267" i="7"/>
  <c r="AN252" i="4"/>
  <c r="I252" i="5" s="1"/>
  <c r="I270" i="6"/>
  <c r="I269" i="7"/>
  <c r="I268" i="7"/>
  <c r="H270" i="7"/>
  <c r="H269" i="7"/>
  <c r="H268" i="7"/>
  <c r="K100" i="5"/>
  <c r="K100" i="7"/>
  <c r="J270" i="7"/>
  <c r="J270" i="5"/>
  <c r="J270" i="6"/>
  <c r="D270" i="7"/>
  <c r="D270" i="5"/>
  <c r="G269" i="7"/>
  <c r="G269" i="5"/>
  <c r="C269" i="7"/>
  <c r="C269" i="5"/>
  <c r="C269" i="6"/>
  <c r="F268" i="5"/>
  <c r="F268" i="7"/>
  <c r="F268" i="6"/>
  <c r="K267" i="7"/>
  <c r="K267" i="6"/>
  <c r="K267" i="5"/>
  <c r="E267" i="7"/>
  <c r="E267" i="5"/>
  <c r="J266" i="6"/>
  <c r="J266" i="5"/>
  <c r="H266" i="5"/>
  <c r="H266" i="7"/>
  <c r="H266" i="6"/>
  <c r="D266" i="7"/>
  <c r="D266" i="6"/>
  <c r="D266" i="5"/>
  <c r="K252" i="5"/>
  <c r="K252" i="7"/>
  <c r="K252" i="6"/>
  <c r="J251" i="6"/>
  <c r="J251" i="5"/>
  <c r="H251" i="5"/>
  <c r="H251" i="6"/>
  <c r="H251" i="7"/>
  <c r="D251" i="5"/>
  <c r="D251" i="7"/>
  <c r="D251" i="6"/>
  <c r="I269" i="6"/>
  <c r="F269" i="6"/>
  <c r="F269" i="5"/>
  <c r="F269" i="7"/>
  <c r="K268" i="7"/>
  <c r="K268" i="6"/>
  <c r="K268" i="5"/>
  <c r="H267" i="5"/>
  <c r="H267" i="7"/>
  <c r="H267" i="6"/>
  <c r="D267" i="7"/>
  <c r="D267" i="6"/>
  <c r="D267" i="5"/>
  <c r="H252" i="5"/>
  <c r="D252" i="6"/>
  <c r="D252" i="7"/>
  <c r="D252" i="5"/>
  <c r="F250" i="5"/>
  <c r="F250" i="7"/>
  <c r="K249" i="5"/>
  <c r="K249" i="7"/>
  <c r="E249" i="5"/>
  <c r="E249" i="7"/>
  <c r="J248" i="5"/>
  <c r="J248" i="7"/>
  <c r="D248" i="5"/>
  <c r="D248" i="7"/>
  <c r="D270" i="6"/>
  <c r="I270" i="7"/>
  <c r="I270" i="5"/>
  <c r="E269" i="6"/>
  <c r="E269" i="7"/>
  <c r="E269" i="5"/>
  <c r="J268" i="7"/>
  <c r="J268" i="5"/>
  <c r="J268" i="6"/>
  <c r="G267" i="5"/>
  <c r="G267" i="7"/>
  <c r="G267" i="6"/>
  <c r="C267" i="7"/>
  <c r="C267" i="6"/>
  <c r="C267" i="5"/>
  <c r="I266" i="5"/>
  <c r="I266" i="7"/>
  <c r="I266" i="6"/>
  <c r="F251" i="6"/>
  <c r="F251" i="7"/>
  <c r="F251" i="5"/>
  <c r="I71" i="5"/>
  <c r="I71" i="7"/>
  <c r="F35" i="5"/>
  <c r="F35" i="6"/>
  <c r="J249" i="5"/>
  <c r="J249" i="7"/>
  <c r="G269" i="6"/>
  <c r="K270" i="7"/>
  <c r="K270" i="5"/>
  <c r="E270" i="5"/>
  <c r="E270" i="7"/>
  <c r="E270" i="6"/>
  <c r="J269" i="6"/>
  <c r="J269" i="7"/>
  <c r="J269" i="5"/>
  <c r="H269" i="5"/>
  <c r="D269" i="7"/>
  <c r="D269" i="5"/>
  <c r="G268" i="5"/>
  <c r="G268" i="7"/>
  <c r="G268" i="6"/>
  <c r="C268" i="7"/>
  <c r="C268" i="6"/>
  <c r="C268" i="5"/>
  <c r="F267" i="7"/>
  <c r="F267" i="5"/>
  <c r="E266" i="7"/>
  <c r="E266" i="6"/>
  <c r="E266" i="5"/>
  <c r="E251" i="6"/>
  <c r="E251" i="7"/>
  <c r="E251" i="5"/>
  <c r="F252" i="7"/>
  <c r="F249" i="7"/>
  <c r="K248" i="7"/>
  <c r="C248" i="7"/>
  <c r="H268" i="5"/>
  <c r="D268" i="5"/>
  <c r="I267" i="5"/>
  <c r="F266" i="5"/>
  <c r="AM241" i="4"/>
  <c r="H241" i="5" s="1"/>
  <c r="K269" i="6"/>
  <c r="G252" i="6"/>
  <c r="C252" i="7"/>
  <c r="K250" i="7"/>
  <c r="G250" i="7"/>
  <c r="C250" i="7"/>
  <c r="D249" i="7"/>
  <c r="E248" i="7"/>
  <c r="G270" i="5"/>
  <c r="C270" i="5"/>
  <c r="G252" i="5"/>
  <c r="AN132" i="4"/>
  <c r="I132" i="5" s="1"/>
  <c r="F270" i="6"/>
  <c r="F252" i="6"/>
  <c r="G251" i="6"/>
  <c r="K251" i="7"/>
  <c r="J250" i="7"/>
  <c r="G249" i="7"/>
  <c r="C249" i="7"/>
  <c r="F270" i="5"/>
  <c r="K269" i="5"/>
  <c r="E268" i="5"/>
  <c r="J267" i="5"/>
  <c r="H265" i="5"/>
  <c r="J265" i="5"/>
  <c r="J265" i="7"/>
  <c r="J265" i="6"/>
  <c r="E265" i="7"/>
  <c r="E265" i="5"/>
  <c r="E265" i="6"/>
  <c r="F265" i="7"/>
  <c r="F265" i="5"/>
  <c r="F265" i="6"/>
  <c r="G265" i="6"/>
  <c r="G265" i="5"/>
  <c r="I265" i="6"/>
  <c r="I265" i="7"/>
  <c r="AM262" i="4"/>
  <c r="H262" i="5" s="1"/>
  <c r="C262" i="7"/>
  <c r="C262" i="6"/>
  <c r="K260" i="5"/>
  <c r="K260" i="6"/>
  <c r="AN262" i="4"/>
  <c r="I262" i="6" s="1"/>
  <c r="AN261" i="4"/>
  <c r="I261" i="6" s="1"/>
  <c r="AN260" i="4"/>
  <c r="I260" i="7" s="1"/>
  <c r="AM261" i="4"/>
  <c r="H261" i="7" s="1"/>
  <c r="J262" i="7"/>
  <c r="J262" i="6"/>
  <c r="J262" i="5"/>
  <c r="J261" i="5"/>
  <c r="J261" i="7"/>
  <c r="J261" i="6"/>
  <c r="J260" i="5"/>
  <c r="J260" i="7"/>
  <c r="J260" i="6"/>
  <c r="C260" i="5"/>
  <c r="C260" i="7"/>
  <c r="C260" i="6"/>
  <c r="D262" i="5"/>
  <c r="D262" i="7"/>
  <c r="D262" i="6"/>
  <c r="D261" i="7"/>
  <c r="D261" i="6"/>
  <c r="D261" i="5"/>
  <c r="D260" i="6"/>
  <c r="D260" i="7"/>
  <c r="H260" i="6"/>
  <c r="H260" i="7"/>
  <c r="G262" i="7"/>
  <c r="G262" i="6"/>
  <c r="G260" i="5"/>
  <c r="G260" i="6"/>
  <c r="G260" i="7"/>
  <c r="F262" i="6"/>
  <c r="F262" i="5"/>
  <c r="F261" i="5"/>
  <c r="F261" i="7"/>
  <c r="F261" i="6"/>
  <c r="F260" i="5"/>
  <c r="F260" i="7"/>
  <c r="F260" i="6"/>
  <c r="E261" i="5"/>
  <c r="E261" i="7"/>
  <c r="E261" i="6"/>
  <c r="E260" i="7"/>
  <c r="E260" i="6"/>
  <c r="K262" i="7"/>
  <c r="K262" i="6"/>
  <c r="K260" i="7"/>
  <c r="E262" i="5"/>
  <c r="E262" i="6"/>
  <c r="K262" i="5"/>
  <c r="G262" i="5"/>
  <c r="C262" i="5"/>
  <c r="K261" i="6"/>
  <c r="G261" i="6"/>
  <c r="C261" i="6"/>
  <c r="C261" i="7"/>
  <c r="K261" i="5"/>
  <c r="G261" i="5"/>
  <c r="H260" i="5"/>
  <c r="D260" i="5"/>
  <c r="I260" i="5"/>
  <c r="E260" i="5"/>
  <c r="L253" i="7"/>
  <c r="L254" i="7"/>
  <c r="K266" i="6"/>
  <c r="K266" i="7"/>
  <c r="H265" i="6"/>
  <c r="H265" i="7"/>
  <c r="L263" i="6"/>
  <c r="F267" i="6"/>
  <c r="J251" i="7"/>
  <c r="I251" i="6"/>
  <c r="I251" i="7"/>
  <c r="G266" i="6"/>
  <c r="G266" i="7"/>
  <c r="D265" i="6"/>
  <c r="D265" i="7"/>
  <c r="J267" i="6"/>
  <c r="C266" i="6"/>
  <c r="C266" i="7"/>
  <c r="L264" i="6"/>
  <c r="L264" i="7"/>
  <c r="L255" i="6"/>
  <c r="L255" i="7"/>
  <c r="E252" i="7"/>
  <c r="E252" i="6"/>
  <c r="K270" i="6"/>
  <c r="G270" i="6"/>
  <c r="C270" i="6"/>
  <c r="H269" i="6"/>
  <c r="D269" i="6"/>
  <c r="E268" i="6"/>
  <c r="H268" i="6"/>
  <c r="D268" i="6"/>
  <c r="I267" i="6"/>
  <c r="E267" i="6"/>
  <c r="L253" i="6"/>
  <c r="J266" i="7"/>
  <c r="F266" i="7"/>
  <c r="G265" i="7"/>
  <c r="K172" i="5"/>
  <c r="K172" i="6"/>
  <c r="K40" i="5"/>
  <c r="K40" i="7"/>
  <c r="AN250" i="4"/>
  <c r="AN51" i="4"/>
  <c r="I51" i="5" s="1"/>
  <c r="AM50" i="4"/>
  <c r="H50" i="5" s="1"/>
  <c r="AN49" i="4"/>
  <c r="I49" i="5" s="1"/>
  <c r="AM48" i="4"/>
  <c r="H48" i="5" s="1"/>
  <c r="AN47" i="4"/>
  <c r="I47" i="5" s="1"/>
  <c r="AM46" i="4"/>
  <c r="H46" i="5" s="1"/>
  <c r="AN45" i="4"/>
  <c r="I45" i="5" s="1"/>
  <c r="AM44" i="4"/>
  <c r="H44" i="5" s="1"/>
  <c r="AM249" i="4"/>
  <c r="AN247" i="4"/>
  <c r="I247" i="6" s="1"/>
  <c r="F247" i="7"/>
  <c r="J247" i="7"/>
  <c r="AM161" i="4"/>
  <c r="H161" i="5" s="1"/>
  <c r="L161" i="5" s="1"/>
  <c r="AN158" i="4"/>
  <c r="I158" i="5" s="1"/>
  <c r="AM215" i="4"/>
  <c r="H215" i="5" s="1"/>
  <c r="AN214" i="4"/>
  <c r="I214" i="5" s="1"/>
  <c r="AM211" i="4"/>
  <c r="H211" i="5" s="1"/>
  <c r="AN210" i="4"/>
  <c r="I210" i="5" s="1"/>
  <c r="AM207" i="4"/>
  <c r="H207" i="5" s="1"/>
  <c r="AN206" i="4"/>
  <c r="I206" i="5" s="1"/>
  <c r="AM203" i="4"/>
  <c r="H203" i="5" s="1"/>
  <c r="AN194" i="4"/>
  <c r="I194" i="5" s="1"/>
  <c r="L194" i="5" s="1"/>
  <c r="AM187" i="4"/>
  <c r="H187" i="5" s="1"/>
  <c r="AN186" i="4"/>
  <c r="I186" i="5" s="1"/>
  <c r="C247" i="7"/>
  <c r="G247" i="7"/>
  <c r="K247" i="7"/>
  <c r="AN202" i="4"/>
  <c r="I202" i="5" s="1"/>
  <c r="AM199" i="4"/>
  <c r="H199" i="5" s="1"/>
  <c r="L199" i="5" s="1"/>
  <c r="AN198" i="4"/>
  <c r="I198" i="5" s="1"/>
  <c r="AM183" i="4"/>
  <c r="H183" i="5" s="1"/>
  <c r="L183" i="5" s="1"/>
  <c r="AN182" i="4"/>
  <c r="I182" i="5" s="1"/>
  <c r="L182" i="5" s="1"/>
  <c r="AM177" i="4"/>
  <c r="H177" i="5" s="1"/>
  <c r="L177" i="5" s="1"/>
  <c r="D185" i="7"/>
  <c r="J35" i="6"/>
  <c r="AN43" i="4"/>
  <c r="I43" i="5" s="1"/>
  <c r="AN41" i="4"/>
  <c r="I41" i="5" s="1"/>
  <c r="AM40" i="4"/>
  <c r="H40" i="6" s="1"/>
  <c r="AM38" i="4"/>
  <c r="H38" i="5" s="1"/>
  <c r="AN37" i="4"/>
  <c r="I37" i="5" s="1"/>
  <c r="AM36" i="4"/>
  <c r="H36" i="5" s="1"/>
  <c r="AN35" i="4"/>
  <c r="I35" i="5" s="1"/>
  <c r="AN33" i="4"/>
  <c r="I33" i="5" s="1"/>
  <c r="AN31" i="4"/>
  <c r="I31" i="7" s="1"/>
  <c r="AM30" i="4"/>
  <c r="H30" i="5" s="1"/>
  <c r="AM28" i="4"/>
  <c r="H28" i="6" s="1"/>
  <c r="AN27" i="4"/>
  <c r="I27" i="5" s="1"/>
  <c r="AM26" i="4"/>
  <c r="H26" i="5" s="1"/>
  <c r="AN25" i="4"/>
  <c r="I25" i="5" s="1"/>
  <c r="AN23" i="4"/>
  <c r="I23" i="6" s="1"/>
  <c r="AM22" i="4"/>
  <c r="H22" i="5" s="1"/>
  <c r="AN21" i="4"/>
  <c r="I21" i="5" s="1"/>
  <c r="AN19" i="4"/>
  <c r="I19" i="5" s="1"/>
  <c r="AM18" i="4"/>
  <c r="H18" i="5" s="1"/>
  <c r="AN17" i="4"/>
  <c r="I17" i="5" s="1"/>
  <c r="AM14" i="4"/>
  <c r="H14" i="5" s="1"/>
  <c r="AN13" i="4"/>
  <c r="AM12" i="4"/>
  <c r="H12" i="5" s="1"/>
  <c r="AN11" i="4"/>
  <c r="I11" i="5" s="1"/>
  <c r="AM10" i="4"/>
  <c r="H10" i="5" s="1"/>
  <c r="AN9" i="4"/>
  <c r="I9" i="5" s="1"/>
  <c r="AM8" i="4"/>
  <c r="H8" i="5" s="1"/>
  <c r="AM4" i="4"/>
  <c r="AN243" i="4"/>
  <c r="I243" i="5" s="1"/>
  <c r="C222" i="5"/>
  <c r="D247" i="7"/>
  <c r="F216" i="6"/>
  <c r="E247" i="7"/>
  <c r="I205" i="7"/>
  <c r="I205" i="5"/>
  <c r="G215" i="6"/>
  <c r="G215" i="5"/>
  <c r="C215" i="6"/>
  <c r="C215" i="5"/>
  <c r="C211" i="7"/>
  <c r="C211" i="5"/>
  <c r="G207" i="7"/>
  <c r="G207" i="5"/>
  <c r="G187" i="6"/>
  <c r="G187" i="5"/>
  <c r="E172" i="7"/>
  <c r="E172" i="5"/>
  <c r="G171" i="6"/>
  <c r="G171" i="5"/>
  <c r="C171" i="6"/>
  <c r="C171" i="5"/>
  <c r="G103" i="6"/>
  <c r="G103" i="5"/>
  <c r="C103" i="6"/>
  <c r="C103" i="5"/>
  <c r="E94" i="7"/>
  <c r="E94" i="5"/>
  <c r="G71" i="7"/>
  <c r="G71" i="5"/>
  <c r="C71" i="7"/>
  <c r="C71" i="5"/>
  <c r="G31" i="7"/>
  <c r="G31" i="5"/>
  <c r="C31" i="7"/>
  <c r="C31" i="5"/>
  <c r="G23" i="6"/>
  <c r="G23" i="5"/>
  <c r="C23" i="6"/>
  <c r="C23" i="5"/>
  <c r="E242" i="7"/>
  <c r="E242" i="5"/>
  <c r="G237" i="7"/>
  <c r="G237" i="5"/>
  <c r="E227" i="7"/>
  <c r="E227" i="5"/>
  <c r="C224" i="6"/>
  <c r="C224" i="5"/>
  <c r="C220" i="6"/>
  <c r="C220" i="5"/>
  <c r="F228" i="7"/>
  <c r="F228" i="5"/>
  <c r="D224" i="6"/>
  <c r="D224" i="5"/>
  <c r="C223" i="7"/>
  <c r="C223" i="5"/>
  <c r="K217" i="7"/>
  <c r="K217" i="5"/>
  <c r="D217" i="7"/>
  <c r="D217" i="5"/>
  <c r="K234" i="6"/>
  <c r="K234" i="5"/>
  <c r="K226" i="7"/>
  <c r="K226" i="5"/>
  <c r="E222" i="7"/>
  <c r="E222" i="5"/>
  <c r="J221" i="6"/>
  <c r="J221" i="5"/>
  <c r="F218" i="7"/>
  <c r="F218" i="5"/>
  <c r="F215" i="7"/>
  <c r="F215" i="5"/>
  <c r="I187" i="7"/>
  <c r="I187" i="5"/>
  <c r="I185" i="7"/>
  <c r="I185" i="5"/>
  <c r="F185" i="6"/>
  <c r="F185" i="5"/>
  <c r="I171" i="7"/>
  <c r="I171" i="5"/>
  <c r="F171" i="6"/>
  <c r="F171" i="5"/>
  <c r="I103" i="7"/>
  <c r="I103" i="5"/>
  <c r="H94" i="7"/>
  <c r="H94" i="5"/>
  <c r="J40" i="6"/>
  <c r="J40" i="5"/>
  <c r="E219" i="6"/>
  <c r="E219" i="5"/>
  <c r="F226" i="7"/>
  <c r="F226" i="5"/>
  <c r="E221" i="6"/>
  <c r="E221" i="5"/>
  <c r="E225" i="6"/>
  <c r="E225" i="5"/>
  <c r="J224" i="5"/>
  <c r="J224" i="6"/>
  <c r="I215" i="6"/>
  <c r="I215" i="5"/>
  <c r="I215" i="7"/>
  <c r="E215" i="6"/>
  <c r="E215" i="5"/>
  <c r="E209" i="7"/>
  <c r="E209" i="5"/>
  <c r="G186" i="6"/>
  <c r="G186" i="5"/>
  <c r="C186" i="6"/>
  <c r="C186" i="5"/>
  <c r="E185" i="7"/>
  <c r="E185" i="5"/>
  <c r="G172" i="6"/>
  <c r="G172" i="5"/>
  <c r="C172" i="6"/>
  <c r="C172" i="5"/>
  <c r="C100" i="7"/>
  <c r="C100" i="5"/>
  <c r="C94" i="6"/>
  <c r="C94" i="5"/>
  <c r="E71" i="7"/>
  <c r="E71" i="5"/>
  <c r="C28" i="6"/>
  <c r="C28" i="5"/>
  <c r="E23" i="7"/>
  <c r="E23" i="5"/>
  <c r="E13" i="7"/>
  <c r="E13" i="5"/>
  <c r="G4" i="6"/>
  <c r="G4" i="5"/>
  <c r="C4" i="6"/>
  <c r="C4" i="5"/>
  <c r="K94" i="6"/>
  <c r="K94" i="5"/>
  <c r="E238" i="7"/>
  <c r="E238" i="5"/>
  <c r="G228" i="7"/>
  <c r="G228" i="5"/>
  <c r="G224" i="6"/>
  <c r="G224" i="5"/>
  <c r="K222" i="6"/>
  <c r="K222" i="5"/>
  <c r="E216" i="7"/>
  <c r="E216" i="5"/>
  <c r="E216" i="6"/>
  <c r="J225" i="7"/>
  <c r="J225" i="5"/>
  <c r="G223" i="7"/>
  <c r="G223" i="5"/>
  <c r="F222" i="6"/>
  <c r="F222" i="5"/>
  <c r="J218" i="7"/>
  <c r="J218" i="5"/>
  <c r="D218" i="7"/>
  <c r="D218" i="5"/>
  <c r="J212" i="7"/>
  <c r="J212" i="5"/>
  <c r="J215" i="7"/>
  <c r="J215" i="5"/>
  <c r="D203" i="7"/>
  <c r="D203" i="5"/>
  <c r="J185" i="6"/>
  <c r="J185" i="5"/>
  <c r="D171" i="7"/>
  <c r="D171" i="5"/>
  <c r="AM73" i="4"/>
  <c r="H73" i="5" s="1"/>
  <c r="L73" i="5" s="1"/>
  <c r="AM69" i="4"/>
  <c r="H69" i="5" s="1"/>
  <c r="L69" i="5" s="1"/>
  <c r="D35" i="7"/>
  <c r="D35" i="5"/>
  <c r="D31" i="7"/>
  <c r="D31" i="5"/>
  <c r="D221" i="6"/>
  <c r="D221" i="5"/>
  <c r="D222" i="7"/>
  <c r="D222" i="5"/>
  <c r="J220" i="6"/>
  <c r="J220" i="5"/>
  <c r="E218" i="7"/>
  <c r="E218" i="5"/>
  <c r="E215" i="7"/>
  <c r="E244" i="7"/>
  <c r="E244" i="5"/>
  <c r="G220" i="7"/>
  <c r="G220" i="5"/>
  <c r="E226" i="7"/>
  <c r="E226" i="5"/>
  <c r="E223" i="7"/>
  <c r="E223" i="5"/>
  <c r="G239" i="7"/>
  <c r="G239" i="5"/>
  <c r="D228" i="6"/>
  <c r="D228" i="5"/>
  <c r="K223" i="6"/>
  <c r="K223" i="5"/>
  <c r="J222" i="6"/>
  <c r="J222" i="5"/>
  <c r="K221" i="6"/>
  <c r="K221" i="5"/>
  <c r="D220" i="6"/>
  <c r="D220" i="5"/>
  <c r="AN226" i="4"/>
  <c r="K221" i="7"/>
  <c r="D244" i="6"/>
  <c r="D244" i="5"/>
  <c r="E240" i="7"/>
  <c r="E240" i="5"/>
  <c r="C228" i="7"/>
  <c r="C228" i="5"/>
  <c r="E224" i="6"/>
  <c r="E224" i="5"/>
  <c r="D216" i="6"/>
  <c r="D216" i="5"/>
  <c r="K237" i="7"/>
  <c r="K237" i="5"/>
  <c r="F223" i="7"/>
  <c r="F223" i="5"/>
  <c r="C221" i="6"/>
  <c r="C221" i="5"/>
  <c r="C219" i="6"/>
  <c r="C219" i="5"/>
  <c r="E217" i="7"/>
  <c r="E217" i="5"/>
  <c r="F216" i="7"/>
  <c r="K241" i="7"/>
  <c r="K241" i="5"/>
  <c r="C237" i="7"/>
  <c r="C237" i="5"/>
  <c r="K227" i="7"/>
  <c r="K227" i="5"/>
  <c r="C239" i="7"/>
  <c r="C239" i="5"/>
  <c r="G241" i="7"/>
  <c r="G241" i="5"/>
  <c r="C241" i="7"/>
  <c r="C241" i="5"/>
  <c r="F233" i="7"/>
  <c r="F233" i="5"/>
  <c r="J231" i="7"/>
  <c r="J231" i="5"/>
  <c r="F229" i="7"/>
  <c r="F229" i="5"/>
  <c r="K228" i="7"/>
  <c r="K228" i="5"/>
  <c r="C226" i="6"/>
  <c r="C226" i="5"/>
  <c r="K224" i="6"/>
  <c r="K224" i="5"/>
  <c r="D223" i="6"/>
  <c r="D223" i="5"/>
  <c r="G222" i="7"/>
  <c r="G222" i="5"/>
  <c r="F221" i="6"/>
  <c r="F221" i="5"/>
  <c r="K220" i="6"/>
  <c r="K220" i="5"/>
  <c r="E220" i="6"/>
  <c r="E220" i="5"/>
  <c r="D219" i="7"/>
  <c r="D219" i="5"/>
  <c r="AN217" i="4"/>
  <c r="I217" i="5" s="1"/>
  <c r="F225" i="5"/>
  <c r="AN248" i="4"/>
  <c r="AM248" i="4"/>
  <c r="K250" i="5"/>
  <c r="L158" i="5"/>
  <c r="AN240" i="4"/>
  <c r="I240" i="5" s="1"/>
  <c r="AM242" i="4"/>
  <c r="H242" i="5" s="1"/>
  <c r="AM244" i="4"/>
  <c r="H244" i="5" s="1"/>
  <c r="AM237" i="4"/>
  <c r="H237" i="5" s="1"/>
  <c r="AM236" i="4"/>
  <c r="H236" i="5" s="1"/>
  <c r="AN244" i="4"/>
  <c r="I244" i="7" s="1"/>
  <c r="AM240" i="4"/>
  <c r="AN242" i="4"/>
  <c r="I242" i="6" s="1"/>
  <c r="AN236" i="4"/>
  <c r="I236" i="5" s="1"/>
  <c r="AM238" i="4"/>
  <c r="H238" i="5" s="1"/>
  <c r="AN238" i="4"/>
  <c r="G218" i="7"/>
  <c r="G218" i="6"/>
  <c r="C218" i="7"/>
  <c r="C218" i="6"/>
  <c r="K216" i="6"/>
  <c r="K216" i="7"/>
  <c r="G226" i="7"/>
  <c r="G226" i="6"/>
  <c r="H215" i="6"/>
  <c r="D215" i="6"/>
  <c r="D215" i="7"/>
  <c r="K215" i="6"/>
  <c r="K215" i="7"/>
  <c r="J216" i="6"/>
  <c r="J216" i="7"/>
  <c r="H217" i="7"/>
  <c r="D225" i="6"/>
  <c r="D225" i="7"/>
  <c r="G219" i="6"/>
  <c r="G219" i="7"/>
  <c r="G216" i="6"/>
  <c r="G216" i="7"/>
  <c r="E224" i="7"/>
  <c r="H217" i="6"/>
  <c r="J215" i="6"/>
  <c r="J223" i="6"/>
  <c r="J223" i="7"/>
  <c r="F221" i="7"/>
  <c r="C216" i="6"/>
  <c r="C216" i="7"/>
  <c r="F215" i="6"/>
  <c r="AN3" i="4"/>
  <c r="I3" i="5" s="1"/>
  <c r="K226" i="6"/>
  <c r="G223" i="6"/>
  <c r="K218" i="6"/>
  <c r="D217" i="6"/>
  <c r="K222" i="7"/>
  <c r="C220" i="7"/>
  <c r="G215" i="7"/>
  <c r="C215" i="7"/>
  <c r="C223" i="6"/>
  <c r="AM3" i="4"/>
  <c r="H3" i="5" s="1"/>
  <c r="AN212" i="4"/>
  <c r="I212" i="5" s="1"/>
  <c r="AM209" i="4"/>
  <c r="H209" i="5" s="1"/>
  <c r="AN208" i="4"/>
  <c r="I208" i="5" s="1"/>
  <c r="L208" i="5" s="1"/>
  <c r="AM205" i="4"/>
  <c r="H205" i="5" s="1"/>
  <c r="AM201" i="4"/>
  <c r="H201" i="5" s="1"/>
  <c r="AN200" i="4"/>
  <c r="I200" i="5" s="1"/>
  <c r="L200" i="5" s="1"/>
  <c r="AM197" i="4"/>
  <c r="H197" i="5" s="1"/>
  <c r="L197" i="5" s="1"/>
  <c r="AN172" i="4"/>
  <c r="I172" i="6" s="1"/>
  <c r="AN160" i="4"/>
  <c r="I160" i="5" s="1"/>
  <c r="L160" i="5" s="1"/>
  <c r="AM141" i="4"/>
  <c r="H141" i="5" s="1"/>
  <c r="L141" i="5" s="1"/>
  <c r="J224" i="7"/>
  <c r="F222" i="7"/>
  <c r="E222" i="6"/>
  <c r="J226" i="7"/>
  <c r="J226" i="6"/>
  <c r="D226" i="7"/>
  <c r="D226" i="6"/>
  <c r="G225" i="6"/>
  <c r="G225" i="7"/>
  <c r="C225" i="6"/>
  <c r="C225" i="7"/>
  <c r="F224" i="6"/>
  <c r="F224" i="7"/>
  <c r="G221" i="6"/>
  <c r="G221" i="7"/>
  <c r="F220" i="6"/>
  <c r="F220" i="7"/>
  <c r="K219" i="6"/>
  <c r="K219" i="7"/>
  <c r="G217" i="7"/>
  <c r="G217" i="6"/>
  <c r="C217" i="7"/>
  <c r="C217" i="6"/>
  <c r="C226" i="7"/>
  <c r="D224" i="7"/>
  <c r="D223" i="7"/>
  <c r="J222" i="7"/>
  <c r="J221" i="7"/>
  <c r="E221" i="7"/>
  <c r="K220" i="7"/>
  <c r="F219" i="7"/>
  <c r="F226" i="6"/>
  <c r="K225" i="6"/>
  <c r="F223" i="6"/>
  <c r="D222" i="6"/>
  <c r="G220" i="6"/>
  <c r="D219" i="6"/>
  <c r="J218" i="6"/>
  <c r="F218" i="6"/>
  <c r="K217" i="6"/>
  <c r="K225" i="7"/>
  <c r="F225" i="7"/>
  <c r="G224" i="7"/>
  <c r="C224" i="7"/>
  <c r="D221" i="7"/>
  <c r="J220" i="7"/>
  <c r="E220" i="7"/>
  <c r="J219" i="7"/>
  <c r="E219" i="7"/>
  <c r="K218" i="7"/>
  <c r="E226" i="6"/>
  <c r="J225" i="6"/>
  <c r="E223" i="6"/>
  <c r="G222" i="6"/>
  <c r="C222" i="6"/>
  <c r="E218" i="6"/>
  <c r="J217" i="6"/>
  <c r="F217" i="6"/>
  <c r="E225" i="7"/>
  <c r="K224" i="7"/>
  <c r="K223" i="7"/>
  <c r="C221" i="7"/>
  <c r="D220" i="7"/>
  <c r="J217" i="7"/>
  <c r="F217" i="7"/>
  <c r="J219" i="6"/>
  <c r="F219" i="6"/>
  <c r="D218" i="6"/>
  <c r="E217" i="6"/>
  <c r="AN235" i="4"/>
  <c r="I235" i="5" s="1"/>
  <c r="AN234" i="4"/>
  <c r="I234" i="6" s="1"/>
  <c r="AN232" i="4"/>
  <c r="I232" i="5" s="1"/>
  <c r="AN230" i="4"/>
  <c r="AN228" i="4"/>
  <c r="AM234" i="4"/>
  <c r="H234" i="5" s="1"/>
  <c r="AM232" i="4"/>
  <c r="H232" i="6" s="1"/>
  <c r="AM230" i="4"/>
  <c r="AM228" i="4"/>
  <c r="AN231" i="4"/>
  <c r="I231" i="5" s="1"/>
  <c r="AM233" i="4"/>
  <c r="H233" i="5" s="1"/>
  <c r="AM229" i="4"/>
  <c r="H229" i="5" s="1"/>
  <c r="D228" i="7"/>
  <c r="J228" i="7"/>
  <c r="E228" i="7"/>
  <c r="D227" i="7"/>
  <c r="G227" i="7"/>
  <c r="C227" i="7"/>
  <c r="J227" i="7"/>
  <c r="F227" i="7"/>
  <c r="AN224" i="4"/>
  <c r="AN220" i="4"/>
  <c r="AN222" i="4"/>
  <c r="AN218" i="4"/>
  <c r="AM226" i="4"/>
  <c r="H226" i="5" s="1"/>
  <c r="AM224" i="4"/>
  <c r="H224" i="5" s="1"/>
  <c r="AM222" i="4"/>
  <c r="H222" i="5" s="1"/>
  <c r="AM220" i="4"/>
  <c r="H220" i="5" s="1"/>
  <c r="AM218" i="4"/>
  <c r="H218" i="5" s="1"/>
  <c r="AN227" i="4"/>
  <c r="I227" i="6" s="1"/>
  <c r="AN223" i="4"/>
  <c r="AN219" i="4"/>
  <c r="AM225" i="4"/>
  <c r="H225" i="5" s="1"/>
  <c r="AM221" i="4"/>
  <c r="H221" i="5" s="1"/>
  <c r="AN195" i="4"/>
  <c r="I195" i="5" s="1"/>
  <c r="AM195" i="4"/>
  <c r="H195" i="5" s="1"/>
  <c r="AN191" i="4"/>
  <c r="I191" i="5" s="1"/>
  <c r="AM191" i="4"/>
  <c r="H191" i="5" s="1"/>
  <c r="AN189" i="4"/>
  <c r="I189" i="5" s="1"/>
  <c r="AN96" i="4"/>
  <c r="I96" i="5" s="1"/>
  <c r="AN61" i="4"/>
  <c r="I61" i="5" s="1"/>
  <c r="AM60" i="4"/>
  <c r="H60" i="5" s="1"/>
  <c r="AN59" i="4"/>
  <c r="I59" i="5" s="1"/>
  <c r="AM58" i="4"/>
  <c r="H58" i="5" s="1"/>
  <c r="AN57" i="4"/>
  <c r="I57" i="5" s="1"/>
  <c r="AN55" i="4"/>
  <c r="I55" i="5" s="1"/>
  <c r="AM54" i="4"/>
  <c r="H54" i="5" s="1"/>
  <c r="AN53" i="4"/>
  <c r="I53" i="5" s="1"/>
  <c r="AM56" i="4"/>
  <c r="H56" i="5" s="1"/>
  <c r="AM52" i="4"/>
  <c r="H52" i="5" s="1"/>
  <c r="AN39" i="4"/>
  <c r="I39" i="5" s="1"/>
  <c r="AM34" i="4"/>
  <c r="H34" i="5" s="1"/>
  <c r="AN29" i="4"/>
  <c r="I29" i="5" s="1"/>
  <c r="AM24" i="4"/>
  <c r="H24" i="5" s="1"/>
  <c r="AM20" i="4"/>
  <c r="H20" i="5" s="1"/>
  <c r="AN7" i="4"/>
  <c r="I7" i="5" s="1"/>
  <c r="AM6" i="4"/>
  <c r="H6" i="5" s="1"/>
  <c r="AN5" i="4"/>
  <c r="I5" i="5" s="1"/>
  <c r="AM216" i="4"/>
  <c r="H216" i="5" s="1"/>
  <c r="AN216" i="4"/>
  <c r="I216" i="5" s="1"/>
  <c r="AJ171" i="4"/>
  <c r="E171" i="6" s="1"/>
  <c r="AJ147" i="4"/>
  <c r="E147" i="5" s="1"/>
  <c r="AJ103" i="4"/>
  <c r="AJ35" i="4"/>
  <c r="E35" i="5" s="1"/>
  <c r="AJ31" i="4"/>
  <c r="E31" i="7" s="1"/>
  <c r="G243" i="7"/>
  <c r="C243" i="7"/>
  <c r="C243" i="6"/>
  <c r="G235" i="7"/>
  <c r="AM193" i="4"/>
  <c r="H193" i="5" s="1"/>
  <c r="L193" i="5" s="1"/>
  <c r="AN192" i="4"/>
  <c r="I192" i="5" s="1"/>
  <c r="L192" i="5" s="1"/>
  <c r="AM189" i="4"/>
  <c r="H189" i="6" s="1"/>
  <c r="AM185" i="4"/>
  <c r="H185" i="6" s="1"/>
  <c r="AN184" i="4"/>
  <c r="I184" i="5" s="1"/>
  <c r="L184" i="5" s="1"/>
  <c r="AM181" i="4"/>
  <c r="H181" i="5" s="1"/>
  <c r="AN180" i="4"/>
  <c r="AM179" i="4"/>
  <c r="H179" i="5" s="1"/>
  <c r="L179" i="5" s="1"/>
  <c r="AN178" i="4"/>
  <c r="I178" i="5" s="1"/>
  <c r="L178" i="5" s="1"/>
  <c r="AM171" i="4"/>
  <c r="H171" i="5" s="1"/>
  <c r="AM169" i="4"/>
  <c r="H169" i="5" s="1"/>
  <c r="L169" i="5" s="1"/>
  <c r="AN168" i="4"/>
  <c r="I168" i="5" s="1"/>
  <c r="L168" i="5" s="1"/>
  <c r="AM157" i="4"/>
  <c r="H157" i="5" s="1"/>
  <c r="L157" i="5" s="1"/>
  <c r="AN156" i="4"/>
  <c r="I156" i="5" s="1"/>
  <c r="L156" i="5" s="1"/>
  <c r="AM153" i="4"/>
  <c r="H153" i="5" s="1"/>
  <c r="AN152" i="4"/>
  <c r="I152" i="5" s="1"/>
  <c r="L152" i="5" s="1"/>
  <c r="AM151" i="4"/>
  <c r="H151" i="5" s="1"/>
  <c r="AN150" i="4"/>
  <c r="I150" i="5" s="1"/>
  <c r="L150" i="5" s="1"/>
  <c r="AM149" i="4"/>
  <c r="H149" i="5" s="1"/>
  <c r="AN148" i="4"/>
  <c r="I148" i="6" s="1"/>
  <c r="AM145" i="4"/>
  <c r="H145" i="5" s="1"/>
  <c r="AN144" i="4"/>
  <c r="I144" i="5" s="1"/>
  <c r="L144" i="5" s="1"/>
  <c r="AM143" i="4"/>
  <c r="H143" i="5" s="1"/>
  <c r="L143" i="5" s="1"/>
  <c r="AN142" i="4"/>
  <c r="I142" i="5" s="1"/>
  <c r="L142" i="5" s="1"/>
  <c r="AM139" i="4"/>
  <c r="H139" i="5" s="1"/>
  <c r="L139" i="5" s="1"/>
  <c r="AN138" i="4"/>
  <c r="I138" i="5" s="1"/>
  <c r="L138" i="5" s="1"/>
  <c r="AN136" i="4"/>
  <c r="I136" i="5" s="1"/>
  <c r="AM135" i="4"/>
  <c r="H135" i="5" s="1"/>
  <c r="L135" i="5" s="1"/>
  <c r="AN134" i="4"/>
  <c r="I134" i="5" s="1"/>
  <c r="AM131" i="4"/>
  <c r="H131" i="5" s="1"/>
  <c r="L131" i="5" s="1"/>
  <c r="AN130" i="4"/>
  <c r="I130" i="5" s="1"/>
  <c r="L130" i="5" s="1"/>
  <c r="AM129" i="4"/>
  <c r="H129" i="5" s="1"/>
  <c r="AN128" i="4"/>
  <c r="I128" i="5" s="1"/>
  <c r="AN126" i="4"/>
  <c r="I126" i="5" s="1"/>
  <c r="L126" i="5" s="1"/>
  <c r="AM125" i="4"/>
  <c r="H125" i="5" s="1"/>
  <c r="AN124" i="4"/>
  <c r="AM123" i="4"/>
  <c r="H123" i="5" s="1"/>
  <c r="L123" i="5" s="1"/>
  <c r="AN122" i="4"/>
  <c r="I122" i="5" s="1"/>
  <c r="L122" i="5" s="1"/>
  <c r="AM121" i="4"/>
  <c r="H121" i="5" s="1"/>
  <c r="AN120" i="4"/>
  <c r="I120" i="5" s="1"/>
  <c r="AM119" i="4"/>
  <c r="H119" i="5" s="1"/>
  <c r="L119" i="5" s="1"/>
  <c r="AN118" i="4"/>
  <c r="I118" i="5" s="1"/>
  <c r="L118" i="5" s="1"/>
  <c r="AM115" i="4"/>
  <c r="H115" i="5" s="1"/>
  <c r="AN112" i="4"/>
  <c r="I112" i="5" s="1"/>
  <c r="L112" i="5" s="1"/>
  <c r="AN110" i="4"/>
  <c r="I110" i="5" s="1"/>
  <c r="AM109" i="4"/>
  <c r="H109" i="5" s="1"/>
  <c r="L109" i="5" s="1"/>
  <c r="AN108" i="4"/>
  <c r="I108" i="5" s="1"/>
  <c r="L108" i="5" s="1"/>
  <c r="AM107" i="4"/>
  <c r="AN106" i="4"/>
  <c r="I106" i="5" s="1"/>
  <c r="AM105" i="4"/>
  <c r="H105" i="5" s="1"/>
  <c r="L105" i="5" s="1"/>
  <c r="AN104" i="4"/>
  <c r="I104" i="5" s="1"/>
  <c r="L104" i="5" s="1"/>
  <c r="AM103" i="4"/>
  <c r="H103" i="6" s="1"/>
  <c r="AN102" i="4"/>
  <c r="I102" i="6" s="1"/>
  <c r="AM101" i="4"/>
  <c r="L101" i="5" s="1"/>
  <c r="AN100" i="4"/>
  <c r="I100" i="5" s="1"/>
  <c r="AN98" i="4"/>
  <c r="I98" i="5" s="1"/>
  <c r="L98" i="5" s="1"/>
  <c r="AM97" i="4"/>
  <c r="H97" i="5" s="1"/>
  <c r="AM95" i="4"/>
  <c r="H95" i="5" s="1"/>
  <c r="L95" i="5" s="1"/>
  <c r="AN94" i="4"/>
  <c r="AM93" i="4"/>
  <c r="AN92" i="4"/>
  <c r="AM91" i="4"/>
  <c r="H91" i="5" s="1"/>
  <c r="L91" i="5" s="1"/>
  <c r="AN90" i="4"/>
  <c r="I90" i="5" s="1"/>
  <c r="L90" i="5" s="1"/>
  <c r="AN88" i="4"/>
  <c r="AM87" i="4"/>
  <c r="H87" i="5" s="1"/>
  <c r="L87" i="5" s="1"/>
  <c r="AN86" i="4"/>
  <c r="I86" i="5" s="1"/>
  <c r="AM83" i="4"/>
  <c r="H83" i="5" s="1"/>
  <c r="L83" i="5" s="1"/>
  <c r="AN82" i="4"/>
  <c r="AN80" i="4"/>
  <c r="I80" i="5" s="1"/>
  <c r="AM79" i="4"/>
  <c r="H79" i="5" s="1"/>
  <c r="L79" i="5" s="1"/>
  <c r="AN78" i="4"/>
  <c r="I78" i="5" s="1"/>
  <c r="L78" i="5" s="1"/>
  <c r="AM77" i="4"/>
  <c r="AN76" i="4"/>
  <c r="I76" i="5" s="1"/>
  <c r="AM75" i="4"/>
  <c r="H75" i="5" s="1"/>
  <c r="L75" i="5" s="1"/>
  <c r="AN74" i="4"/>
  <c r="I74" i="5" s="1"/>
  <c r="L74" i="5" s="1"/>
  <c r="AM71" i="4"/>
  <c r="H71" i="5" s="1"/>
  <c r="AN70" i="4"/>
  <c r="I70" i="5" s="1"/>
  <c r="L70" i="5" s="1"/>
  <c r="AN68" i="4"/>
  <c r="I68" i="5" s="1"/>
  <c r="L68" i="5" s="1"/>
  <c r="AM67" i="4"/>
  <c r="H67" i="7" s="1"/>
  <c r="AN66" i="4"/>
  <c r="I66" i="5" s="1"/>
  <c r="L66" i="5" s="1"/>
  <c r="AM65" i="4"/>
  <c r="H65" i="5" s="1"/>
  <c r="L65" i="5" s="1"/>
  <c r="AN64" i="4"/>
  <c r="I64" i="5" s="1"/>
  <c r="L64" i="5" s="1"/>
  <c r="AN62" i="4"/>
  <c r="I62" i="5" s="1"/>
  <c r="AM61" i="4"/>
  <c r="AN60" i="4"/>
  <c r="AM59" i="4"/>
  <c r="AN58" i="4"/>
  <c r="I58" i="5" s="1"/>
  <c r="AM57" i="4"/>
  <c r="AN56" i="4"/>
  <c r="AM55" i="4"/>
  <c r="H55" i="5" s="1"/>
  <c r="AN54" i="4"/>
  <c r="I54" i="5" s="1"/>
  <c r="AM53" i="4"/>
  <c r="H53" i="5" s="1"/>
  <c r="AN52" i="4"/>
  <c r="AM51" i="4"/>
  <c r="H51" i="5" s="1"/>
  <c r="AN50" i="4"/>
  <c r="I50" i="5" s="1"/>
  <c r="AM49" i="4"/>
  <c r="H49" i="5" s="1"/>
  <c r="AN48" i="4"/>
  <c r="AM47" i="4"/>
  <c r="H47" i="5" s="1"/>
  <c r="AN46" i="4"/>
  <c r="I46" i="5" s="1"/>
  <c r="AM45" i="4"/>
  <c r="H45" i="5" s="1"/>
  <c r="AN44" i="4"/>
  <c r="I44" i="5" s="1"/>
  <c r="AM43" i="4"/>
  <c r="H43" i="5" s="1"/>
  <c r="AM41" i="4"/>
  <c r="H41" i="5" s="1"/>
  <c r="AN40" i="4"/>
  <c r="I40" i="5" s="1"/>
  <c r="AM39" i="4"/>
  <c r="H39" i="5" s="1"/>
  <c r="AN38" i="4"/>
  <c r="I38" i="5" s="1"/>
  <c r="AM37" i="4"/>
  <c r="AN36" i="4"/>
  <c r="I36" i="5" s="1"/>
  <c r="AM35" i="4"/>
  <c r="H35" i="5" s="1"/>
  <c r="AN34" i="4"/>
  <c r="I34" i="5" s="1"/>
  <c r="AM33" i="4"/>
  <c r="H33" i="6" s="1"/>
  <c r="AM31" i="4"/>
  <c r="AN30" i="4"/>
  <c r="I30" i="5" s="1"/>
  <c r="AM29" i="4"/>
  <c r="H29" i="5" s="1"/>
  <c r="L29" i="5" s="1"/>
  <c r="I28" i="7"/>
  <c r="AN28" i="4"/>
  <c r="I28" i="5" s="1"/>
  <c r="AM27" i="4"/>
  <c r="H27" i="5" s="1"/>
  <c r="AN26" i="4"/>
  <c r="I26" i="5" s="1"/>
  <c r="AM25" i="4"/>
  <c r="H25" i="5" s="1"/>
  <c r="AN24" i="4"/>
  <c r="I24" i="5" s="1"/>
  <c r="AM23" i="4"/>
  <c r="H23" i="5" s="1"/>
  <c r="AN22" i="4"/>
  <c r="I22" i="5" s="1"/>
  <c r="AM21" i="4"/>
  <c r="H21" i="5" s="1"/>
  <c r="AN20" i="4"/>
  <c r="AM19" i="4"/>
  <c r="H19" i="5" s="1"/>
  <c r="AN18" i="4"/>
  <c r="I18" i="5" s="1"/>
  <c r="AM17" i="4"/>
  <c r="AN14" i="4"/>
  <c r="I14" i="5" s="1"/>
  <c r="AM13" i="4"/>
  <c r="H13" i="6" s="1"/>
  <c r="AN12" i="4"/>
  <c r="AM11" i="4"/>
  <c r="H11" i="5" s="1"/>
  <c r="AN10" i="4"/>
  <c r="I10" i="5" s="1"/>
  <c r="AM9" i="4"/>
  <c r="H9" i="5" s="1"/>
  <c r="AN8" i="4"/>
  <c r="I8" i="5" s="1"/>
  <c r="AM7" i="4"/>
  <c r="AN6" i="4"/>
  <c r="AM5" i="4"/>
  <c r="AN4" i="4"/>
  <c r="AJ187" i="4"/>
  <c r="E187" i="6" s="1"/>
  <c r="AJ151" i="4"/>
  <c r="E151" i="6" s="1"/>
  <c r="AJ39" i="4"/>
  <c r="E39" i="5" s="1"/>
  <c r="H35" i="7"/>
  <c r="C235" i="7"/>
  <c r="C235" i="6"/>
  <c r="AL181" i="4"/>
  <c r="G181" i="5" s="1"/>
  <c r="AH153" i="4"/>
  <c r="C153" i="5" s="1"/>
  <c r="AH137" i="4"/>
  <c r="C137" i="5" s="1"/>
  <c r="AH133" i="4"/>
  <c r="C133" i="6" s="1"/>
  <c r="AH129" i="4"/>
  <c r="C129" i="5" s="1"/>
  <c r="AL37" i="4"/>
  <c r="G37" i="5" s="1"/>
  <c r="AH21" i="4"/>
  <c r="C21" i="5" s="1"/>
  <c r="AL13" i="4"/>
  <c r="G13" i="7" s="1"/>
  <c r="AH13" i="4"/>
  <c r="E236" i="7"/>
  <c r="AO134" i="4"/>
  <c r="J134" i="5" s="1"/>
  <c r="AO102" i="4"/>
  <c r="J102" i="5" s="1"/>
  <c r="AO82" i="4"/>
  <c r="J82" i="5" s="1"/>
  <c r="AO14" i="4"/>
  <c r="J14" i="5" s="1"/>
  <c r="AL133" i="4"/>
  <c r="G133" i="5" s="1"/>
  <c r="AL129" i="4"/>
  <c r="G129" i="5" s="1"/>
  <c r="E238" i="6"/>
  <c r="F229" i="6"/>
  <c r="AN249" i="4"/>
  <c r="AM247" i="4"/>
  <c r="H247" i="7" s="1"/>
  <c r="AM243" i="4"/>
  <c r="AN241" i="4"/>
  <c r="AM239" i="4"/>
  <c r="AN237" i="4"/>
  <c r="I237" i="5" s="1"/>
  <c r="AM235" i="4"/>
  <c r="AN233" i="4"/>
  <c r="AM231" i="4"/>
  <c r="AN229" i="4"/>
  <c r="I229" i="5" s="1"/>
  <c r="AM227" i="4"/>
  <c r="AN225" i="4"/>
  <c r="AM223" i="4"/>
  <c r="H223" i="5" s="1"/>
  <c r="AN221" i="4"/>
  <c r="AM219" i="4"/>
  <c r="H219" i="5" s="1"/>
  <c r="AN170" i="4"/>
  <c r="I170" i="6" s="1"/>
  <c r="AM170" i="4"/>
  <c r="H170" i="5" s="1"/>
  <c r="AN176" i="4"/>
  <c r="I176" i="5" s="1"/>
  <c r="AM176" i="4"/>
  <c r="H176" i="5" s="1"/>
  <c r="AH149" i="4"/>
  <c r="C149" i="5" s="1"/>
  <c r="D250" i="6"/>
  <c r="F248" i="6"/>
  <c r="F240" i="7"/>
  <c r="F240" i="6"/>
  <c r="D234" i="7"/>
  <c r="D234" i="6"/>
  <c r="K231" i="7"/>
  <c r="K231" i="6"/>
  <c r="D230" i="7"/>
  <c r="D230" i="6"/>
  <c r="F228" i="6"/>
  <c r="K247" i="6"/>
  <c r="F244" i="7"/>
  <c r="F244" i="6"/>
  <c r="I240" i="7"/>
  <c r="K235" i="7"/>
  <c r="K235" i="6"/>
  <c r="F232" i="7"/>
  <c r="F232" i="6"/>
  <c r="H250" i="6"/>
  <c r="K243" i="7"/>
  <c r="K243" i="6"/>
  <c r="D242" i="7"/>
  <c r="D242" i="6"/>
  <c r="K239" i="7"/>
  <c r="K239" i="6"/>
  <c r="D238" i="7"/>
  <c r="D238" i="6"/>
  <c r="F236" i="7"/>
  <c r="F236" i="6"/>
  <c r="K227" i="6"/>
  <c r="F250" i="6"/>
  <c r="D248" i="6"/>
  <c r="E247" i="6"/>
  <c r="E243" i="7"/>
  <c r="E243" i="6"/>
  <c r="F242" i="7"/>
  <c r="F242" i="6"/>
  <c r="I239" i="7"/>
  <c r="I239" i="6"/>
  <c r="J238" i="7"/>
  <c r="J238" i="6"/>
  <c r="D236" i="7"/>
  <c r="D236" i="6"/>
  <c r="E235" i="7"/>
  <c r="E235" i="6"/>
  <c r="K233" i="7"/>
  <c r="K233" i="6"/>
  <c r="C233" i="7"/>
  <c r="C233" i="6"/>
  <c r="F230" i="7"/>
  <c r="F230" i="6"/>
  <c r="K229" i="6"/>
  <c r="K229" i="7"/>
  <c r="C229" i="6"/>
  <c r="C229" i="7"/>
  <c r="G241" i="6"/>
  <c r="J249" i="6"/>
  <c r="F249" i="6"/>
  <c r="K248" i="6"/>
  <c r="G248" i="6"/>
  <c r="C248" i="6"/>
  <c r="D247" i="6"/>
  <c r="K244" i="7"/>
  <c r="K244" i="6"/>
  <c r="G244" i="7"/>
  <c r="G244" i="6"/>
  <c r="C244" i="7"/>
  <c r="C244" i="6"/>
  <c r="D243" i="7"/>
  <c r="D243" i="6"/>
  <c r="J241" i="7"/>
  <c r="J241" i="6"/>
  <c r="F241" i="7"/>
  <c r="F241" i="6"/>
  <c r="K240" i="7"/>
  <c r="K240" i="6"/>
  <c r="G240" i="7"/>
  <c r="G240" i="6"/>
  <c r="C240" i="7"/>
  <c r="C240" i="6"/>
  <c r="D239" i="7"/>
  <c r="D239" i="6"/>
  <c r="J237" i="7"/>
  <c r="J237" i="6"/>
  <c r="F237" i="7"/>
  <c r="F237" i="6"/>
  <c r="K236" i="7"/>
  <c r="K236" i="6"/>
  <c r="G236" i="7"/>
  <c r="G236" i="6"/>
  <c r="C236" i="7"/>
  <c r="C236" i="6"/>
  <c r="D235" i="7"/>
  <c r="D235" i="6"/>
  <c r="E234" i="7"/>
  <c r="E234" i="6"/>
  <c r="J233" i="7"/>
  <c r="J233" i="6"/>
  <c r="K232" i="7"/>
  <c r="K232" i="6"/>
  <c r="G232" i="7"/>
  <c r="G232" i="6"/>
  <c r="C232" i="7"/>
  <c r="C232" i="6"/>
  <c r="D231" i="7"/>
  <c r="D231" i="6"/>
  <c r="E230" i="6"/>
  <c r="E230" i="7"/>
  <c r="J229" i="7"/>
  <c r="J229" i="6"/>
  <c r="K228" i="6"/>
  <c r="G228" i="6"/>
  <c r="C228" i="6"/>
  <c r="D227" i="6"/>
  <c r="I250" i="6"/>
  <c r="C249" i="6"/>
  <c r="G247" i="6"/>
  <c r="E244" i="6"/>
  <c r="C241" i="6"/>
  <c r="G239" i="6"/>
  <c r="K237" i="6"/>
  <c r="E236" i="6"/>
  <c r="J231" i="6"/>
  <c r="H244" i="6"/>
  <c r="J242" i="7"/>
  <c r="J242" i="6"/>
  <c r="E239" i="7"/>
  <c r="E239" i="6"/>
  <c r="J234" i="7"/>
  <c r="J234" i="6"/>
  <c r="J230" i="7"/>
  <c r="J230" i="6"/>
  <c r="E227" i="6"/>
  <c r="E249" i="6"/>
  <c r="J248" i="6"/>
  <c r="J244" i="7"/>
  <c r="J244" i="6"/>
  <c r="E241" i="7"/>
  <c r="E241" i="6"/>
  <c r="J240" i="6"/>
  <c r="J240" i="7"/>
  <c r="E237" i="7"/>
  <c r="E237" i="6"/>
  <c r="J236" i="7"/>
  <c r="J236" i="6"/>
  <c r="E233" i="6"/>
  <c r="E233" i="7"/>
  <c r="J232" i="7"/>
  <c r="J232" i="6"/>
  <c r="G231" i="7"/>
  <c r="G231" i="6"/>
  <c r="C231" i="7"/>
  <c r="C231" i="6"/>
  <c r="E229" i="7"/>
  <c r="E229" i="6"/>
  <c r="J228" i="6"/>
  <c r="G227" i="6"/>
  <c r="C227" i="6"/>
  <c r="E250" i="6"/>
  <c r="C247" i="6"/>
  <c r="E242" i="6"/>
  <c r="C239" i="6"/>
  <c r="G237" i="6"/>
  <c r="K234" i="7"/>
  <c r="J250" i="6"/>
  <c r="I243" i="7"/>
  <c r="D240" i="7"/>
  <c r="D240" i="6"/>
  <c r="F238" i="7"/>
  <c r="F238" i="6"/>
  <c r="H236" i="7"/>
  <c r="F234" i="7"/>
  <c r="F234" i="6"/>
  <c r="G233" i="7"/>
  <c r="G233" i="6"/>
  <c r="D232" i="7"/>
  <c r="D232" i="6"/>
  <c r="E231" i="7"/>
  <c r="E231" i="6"/>
  <c r="G229" i="6"/>
  <c r="G229" i="7"/>
  <c r="G249" i="6"/>
  <c r="G250" i="6"/>
  <c r="C250" i="6"/>
  <c r="H249" i="6"/>
  <c r="D249" i="6"/>
  <c r="J247" i="6"/>
  <c r="F247" i="6"/>
  <c r="J243" i="7"/>
  <c r="J243" i="6"/>
  <c r="F243" i="7"/>
  <c r="F243" i="6"/>
  <c r="K242" i="7"/>
  <c r="K242" i="6"/>
  <c r="G242" i="7"/>
  <c r="G242" i="6"/>
  <c r="C242" i="7"/>
  <c r="C242" i="6"/>
  <c r="H241" i="7"/>
  <c r="H241" i="6"/>
  <c r="D241" i="7"/>
  <c r="D241" i="6"/>
  <c r="J239" i="7"/>
  <c r="J239" i="6"/>
  <c r="F239" i="7"/>
  <c r="F239" i="6"/>
  <c r="K238" i="7"/>
  <c r="K238" i="6"/>
  <c r="G238" i="7"/>
  <c r="G238" i="6"/>
  <c r="C238" i="7"/>
  <c r="C238" i="6"/>
  <c r="D237" i="7"/>
  <c r="D237" i="6"/>
  <c r="J235" i="7"/>
  <c r="J235" i="6"/>
  <c r="F235" i="7"/>
  <c r="F235" i="6"/>
  <c r="G234" i="7"/>
  <c r="G234" i="6"/>
  <c r="C234" i="6"/>
  <c r="C234" i="7"/>
  <c r="D233" i="7"/>
  <c r="D233" i="6"/>
  <c r="E232" i="7"/>
  <c r="E232" i="6"/>
  <c r="F231" i="7"/>
  <c r="F231" i="6"/>
  <c r="K230" i="7"/>
  <c r="K230" i="6"/>
  <c r="G230" i="7"/>
  <c r="G230" i="6"/>
  <c r="C230" i="7"/>
  <c r="C230" i="6"/>
  <c r="D229" i="7"/>
  <c r="D229" i="6"/>
  <c r="E228" i="6"/>
  <c r="J227" i="6"/>
  <c r="F227" i="6"/>
  <c r="K249" i="6"/>
  <c r="E248" i="6"/>
  <c r="G243" i="6"/>
  <c r="K241" i="6"/>
  <c r="E240" i="6"/>
  <c r="C237" i="6"/>
  <c r="G235" i="6"/>
  <c r="F233" i="6"/>
  <c r="D244" i="7"/>
  <c r="AN114" i="4"/>
  <c r="I114" i="5" s="1"/>
  <c r="AM114" i="4"/>
  <c r="AN81" i="4"/>
  <c r="I81" i="7" s="1"/>
  <c r="AM81" i="4"/>
  <c r="H81" i="5" s="1"/>
  <c r="AN116" i="4"/>
  <c r="I116" i="6" s="1"/>
  <c r="AM99" i="4"/>
  <c r="H99" i="5" s="1"/>
  <c r="AN99" i="4"/>
  <c r="I99" i="5" s="1"/>
  <c r="AM113" i="4"/>
  <c r="AN113" i="4"/>
  <c r="I113" i="7" s="1"/>
  <c r="AM116" i="4"/>
  <c r="H116" i="5" s="1"/>
  <c r="AN32" i="4"/>
  <c r="I32" i="5" s="1"/>
  <c r="AM32" i="4"/>
  <c r="H32" i="5" s="1"/>
  <c r="AN85" i="4"/>
  <c r="I85" i="5" s="1"/>
  <c r="AN84" i="4"/>
  <c r="I84" i="5" s="1"/>
  <c r="AM86" i="4"/>
  <c r="H86" i="5" s="1"/>
  <c r="AM85" i="4"/>
  <c r="H85" i="5" s="1"/>
  <c r="AM84" i="4"/>
  <c r="H84" i="7" s="1"/>
  <c r="AN167" i="4"/>
  <c r="I167" i="5" s="1"/>
  <c r="AN166" i="4"/>
  <c r="I166" i="5" s="1"/>
  <c r="L166" i="5" s="1"/>
  <c r="AN165" i="4"/>
  <c r="I165" i="5" s="1"/>
  <c r="AN164" i="4"/>
  <c r="I164" i="7" s="1"/>
  <c r="AN163" i="4"/>
  <c r="I163" i="5" s="1"/>
  <c r="K187" i="6"/>
  <c r="F172" i="6"/>
  <c r="K171" i="6"/>
  <c r="K103" i="6"/>
  <c r="D94" i="7"/>
  <c r="K71" i="7"/>
  <c r="F40" i="6"/>
  <c r="K31" i="7"/>
  <c r="K23" i="6"/>
  <c r="K3" i="5"/>
  <c r="K3" i="7"/>
  <c r="K3" i="6"/>
  <c r="H214" i="7"/>
  <c r="E212" i="7"/>
  <c r="E212" i="6"/>
  <c r="K210" i="7"/>
  <c r="K210" i="6"/>
  <c r="D209" i="7"/>
  <c r="D209" i="6"/>
  <c r="E208" i="7"/>
  <c r="E208" i="6"/>
  <c r="G206" i="7"/>
  <c r="G206" i="6"/>
  <c r="H205" i="7"/>
  <c r="G202" i="7"/>
  <c r="G202" i="6"/>
  <c r="D201" i="7"/>
  <c r="D201" i="6"/>
  <c r="F199" i="7"/>
  <c r="F199" i="6"/>
  <c r="G198" i="7"/>
  <c r="G198" i="6"/>
  <c r="D197" i="7"/>
  <c r="D197" i="6"/>
  <c r="F195" i="7"/>
  <c r="F195" i="6"/>
  <c r="K194" i="7"/>
  <c r="K194" i="6"/>
  <c r="D193" i="7"/>
  <c r="D193" i="6"/>
  <c r="E192" i="7"/>
  <c r="E192" i="6"/>
  <c r="D189" i="7"/>
  <c r="D189" i="6"/>
  <c r="F184" i="7"/>
  <c r="F184" i="6"/>
  <c r="C183" i="7"/>
  <c r="C183" i="6"/>
  <c r="I181" i="7"/>
  <c r="I181" i="6"/>
  <c r="F180" i="7"/>
  <c r="F180" i="6"/>
  <c r="I177" i="7"/>
  <c r="I177" i="6"/>
  <c r="F176" i="7"/>
  <c r="F176" i="6"/>
  <c r="J99" i="7"/>
  <c r="J99" i="6"/>
  <c r="G98" i="7"/>
  <c r="G98" i="6"/>
  <c r="D97" i="7"/>
  <c r="D97" i="6"/>
  <c r="F95" i="7"/>
  <c r="F95" i="6"/>
  <c r="G93" i="7"/>
  <c r="G93" i="6"/>
  <c r="I91" i="7"/>
  <c r="I91" i="6"/>
  <c r="J90" i="7"/>
  <c r="J90" i="6"/>
  <c r="C89" i="7"/>
  <c r="C89" i="6"/>
  <c r="I87" i="7"/>
  <c r="I87" i="6"/>
  <c r="F86" i="7"/>
  <c r="F86" i="6"/>
  <c r="G85" i="7"/>
  <c r="G85" i="6"/>
  <c r="D84" i="7"/>
  <c r="D84" i="6"/>
  <c r="I83" i="7"/>
  <c r="I83" i="6"/>
  <c r="K79" i="7"/>
  <c r="K79" i="6"/>
  <c r="H78" i="7"/>
  <c r="H78" i="6"/>
  <c r="E77" i="7"/>
  <c r="E77" i="6"/>
  <c r="F76" i="7"/>
  <c r="F76" i="6"/>
  <c r="H74" i="7"/>
  <c r="H74" i="6"/>
  <c r="I73" i="7"/>
  <c r="I73" i="6"/>
  <c r="E67" i="7"/>
  <c r="E67" i="6"/>
  <c r="K65" i="7"/>
  <c r="K65" i="6"/>
  <c r="H62" i="6"/>
  <c r="F60" i="7"/>
  <c r="F60" i="6"/>
  <c r="C59" i="7"/>
  <c r="C59" i="6"/>
  <c r="E57" i="7"/>
  <c r="E57" i="6"/>
  <c r="F56" i="7"/>
  <c r="F56" i="6"/>
  <c r="E53" i="7"/>
  <c r="E53" i="6"/>
  <c r="K51" i="7"/>
  <c r="K51" i="6"/>
  <c r="F48" i="6"/>
  <c r="F48" i="7"/>
  <c r="C47" i="6"/>
  <c r="C47" i="7"/>
  <c r="I45" i="6"/>
  <c r="F44" i="6"/>
  <c r="F44" i="7"/>
  <c r="G43" i="6"/>
  <c r="G43" i="7"/>
  <c r="G38" i="7"/>
  <c r="G38" i="6"/>
  <c r="F11" i="6"/>
  <c r="F11" i="7"/>
  <c r="C10" i="7"/>
  <c r="C10" i="6"/>
  <c r="D9" i="7"/>
  <c r="D9" i="6"/>
  <c r="E8" i="7"/>
  <c r="E8" i="6"/>
  <c r="K6" i="6"/>
  <c r="K6" i="7"/>
  <c r="D5" i="6"/>
  <c r="D5" i="7"/>
  <c r="J3" i="5"/>
  <c r="J3" i="7"/>
  <c r="J3" i="6"/>
  <c r="F3" i="5"/>
  <c r="F3" i="7"/>
  <c r="F3" i="6"/>
  <c r="K214" i="7"/>
  <c r="K214" i="6"/>
  <c r="G214" i="7"/>
  <c r="G214" i="6"/>
  <c r="C214" i="7"/>
  <c r="C214" i="6"/>
  <c r="H212" i="7"/>
  <c r="H212" i="6"/>
  <c r="D212" i="7"/>
  <c r="D212" i="6"/>
  <c r="I211" i="7"/>
  <c r="I211" i="6"/>
  <c r="E211" i="7"/>
  <c r="E211" i="6"/>
  <c r="J210" i="7"/>
  <c r="J210" i="6"/>
  <c r="F210" i="7"/>
  <c r="F210" i="6"/>
  <c r="K209" i="7"/>
  <c r="K209" i="6"/>
  <c r="G209" i="7"/>
  <c r="G209" i="6"/>
  <c r="C209" i="7"/>
  <c r="C209" i="6"/>
  <c r="H208" i="7"/>
  <c r="H208" i="6"/>
  <c r="D208" i="7"/>
  <c r="D208" i="6"/>
  <c r="I207" i="7"/>
  <c r="I207" i="6"/>
  <c r="E207" i="7"/>
  <c r="E207" i="6"/>
  <c r="J206" i="7"/>
  <c r="J206" i="6"/>
  <c r="F206" i="7"/>
  <c r="F206" i="6"/>
  <c r="K205" i="7"/>
  <c r="K205" i="6"/>
  <c r="G205" i="7"/>
  <c r="G205" i="6"/>
  <c r="C205" i="7"/>
  <c r="C205" i="6"/>
  <c r="J202" i="7"/>
  <c r="J202" i="6"/>
  <c r="F202" i="7"/>
  <c r="F202" i="6"/>
  <c r="K201" i="7"/>
  <c r="K201" i="6"/>
  <c r="G201" i="7"/>
  <c r="G201" i="6"/>
  <c r="C201" i="7"/>
  <c r="C201" i="6"/>
  <c r="H200" i="7"/>
  <c r="H200" i="6"/>
  <c r="D200" i="7"/>
  <c r="D200" i="6"/>
  <c r="I199" i="7"/>
  <c r="I199" i="6"/>
  <c r="E199" i="7"/>
  <c r="E199" i="6"/>
  <c r="J198" i="7"/>
  <c r="J198" i="6"/>
  <c r="F198" i="7"/>
  <c r="F198" i="6"/>
  <c r="K197" i="7"/>
  <c r="K197" i="6"/>
  <c r="G197" i="7"/>
  <c r="G197" i="6"/>
  <c r="C197" i="7"/>
  <c r="C197" i="6"/>
  <c r="E195" i="7"/>
  <c r="E195" i="6"/>
  <c r="J194" i="7"/>
  <c r="J194" i="6"/>
  <c r="F194" i="7"/>
  <c r="F194" i="6"/>
  <c r="K193" i="7"/>
  <c r="K193" i="6"/>
  <c r="G193" i="7"/>
  <c r="G193" i="6"/>
  <c r="C193" i="7"/>
  <c r="C193" i="6"/>
  <c r="H192" i="7"/>
  <c r="H192" i="6"/>
  <c r="D192" i="7"/>
  <c r="D192" i="6"/>
  <c r="I191" i="6"/>
  <c r="E191" i="7"/>
  <c r="E191" i="6"/>
  <c r="K189" i="7"/>
  <c r="K189" i="6"/>
  <c r="G189" i="7"/>
  <c r="G189" i="6"/>
  <c r="C189" i="7"/>
  <c r="C189" i="6"/>
  <c r="I184" i="7"/>
  <c r="I184" i="6"/>
  <c r="E184" i="7"/>
  <c r="E184" i="6"/>
  <c r="J183" i="7"/>
  <c r="J183" i="6"/>
  <c r="F183" i="7"/>
  <c r="F183" i="6"/>
  <c r="K182" i="7"/>
  <c r="K182" i="6"/>
  <c r="G182" i="7"/>
  <c r="G182" i="6"/>
  <c r="C182" i="7"/>
  <c r="C182" i="6"/>
  <c r="D181" i="7"/>
  <c r="D181" i="6"/>
  <c r="E180" i="7"/>
  <c r="E180" i="6"/>
  <c r="J179" i="7"/>
  <c r="J179" i="6"/>
  <c r="F179" i="7"/>
  <c r="F179" i="6"/>
  <c r="K178" i="7"/>
  <c r="K178" i="6"/>
  <c r="G178" i="7"/>
  <c r="G178" i="6"/>
  <c r="H177" i="6"/>
  <c r="D177" i="7"/>
  <c r="D177" i="6"/>
  <c r="E176" i="7"/>
  <c r="E176" i="6"/>
  <c r="K170" i="7"/>
  <c r="K170" i="6"/>
  <c r="G170" i="7"/>
  <c r="G170" i="6"/>
  <c r="H169" i="7"/>
  <c r="H169" i="6"/>
  <c r="D169" i="7"/>
  <c r="D169" i="6"/>
  <c r="E168" i="7"/>
  <c r="E168" i="6"/>
  <c r="J167" i="7"/>
  <c r="J167" i="6"/>
  <c r="F167" i="7"/>
  <c r="F167" i="6"/>
  <c r="K166" i="7"/>
  <c r="K166" i="6"/>
  <c r="G166" i="7"/>
  <c r="G166" i="6"/>
  <c r="D165" i="7"/>
  <c r="D165" i="6"/>
  <c r="E164" i="7"/>
  <c r="E164" i="6"/>
  <c r="J163" i="7"/>
  <c r="J163" i="6"/>
  <c r="F163" i="7"/>
  <c r="F163" i="6"/>
  <c r="K161" i="7"/>
  <c r="K161" i="6"/>
  <c r="G161" i="7"/>
  <c r="G161" i="6"/>
  <c r="C161" i="7"/>
  <c r="C161" i="6"/>
  <c r="H160" i="7"/>
  <c r="H160" i="6"/>
  <c r="D160" i="7"/>
  <c r="D160" i="6"/>
  <c r="J158" i="7"/>
  <c r="J158" i="6"/>
  <c r="F158" i="7"/>
  <c r="F158" i="6"/>
  <c r="K157" i="7"/>
  <c r="K157" i="6"/>
  <c r="G157" i="7"/>
  <c r="G157" i="6"/>
  <c r="C157" i="7"/>
  <c r="C157" i="6"/>
  <c r="H156" i="7"/>
  <c r="H156" i="6"/>
  <c r="D156" i="7"/>
  <c r="D156" i="6"/>
  <c r="I154" i="7"/>
  <c r="I154" i="6"/>
  <c r="E154" i="7"/>
  <c r="E154" i="6"/>
  <c r="J153" i="7"/>
  <c r="J153" i="6"/>
  <c r="F153" i="7"/>
  <c r="F153" i="6"/>
  <c r="K152" i="7"/>
  <c r="K152" i="6"/>
  <c r="G152" i="7"/>
  <c r="G152" i="6"/>
  <c r="C152" i="7"/>
  <c r="C152" i="6"/>
  <c r="D151" i="7"/>
  <c r="D151" i="6"/>
  <c r="E150" i="7"/>
  <c r="E150" i="6"/>
  <c r="J149" i="7"/>
  <c r="J149" i="6"/>
  <c r="F149" i="7"/>
  <c r="F149" i="6"/>
  <c r="K148" i="7"/>
  <c r="K148" i="6"/>
  <c r="G148" i="7"/>
  <c r="G148" i="6"/>
  <c r="C148" i="7"/>
  <c r="C148" i="6"/>
  <c r="H147" i="7"/>
  <c r="H147" i="6"/>
  <c r="D147" i="7"/>
  <c r="D147" i="6"/>
  <c r="I146" i="7"/>
  <c r="E146" i="7"/>
  <c r="E146" i="6"/>
  <c r="J145" i="7"/>
  <c r="J145" i="6"/>
  <c r="F145" i="7"/>
  <c r="F145" i="6"/>
  <c r="K144" i="7"/>
  <c r="K144" i="6"/>
  <c r="G144" i="7"/>
  <c r="G144" i="6"/>
  <c r="C144" i="7"/>
  <c r="C144" i="6"/>
  <c r="H143" i="7"/>
  <c r="H143" i="6"/>
  <c r="D143" i="7"/>
  <c r="D143" i="6"/>
  <c r="E142" i="7"/>
  <c r="E142" i="6"/>
  <c r="J141" i="7"/>
  <c r="J141" i="6"/>
  <c r="F141" i="7"/>
  <c r="F141" i="6"/>
  <c r="K140" i="7"/>
  <c r="K140" i="6"/>
  <c r="G140" i="7"/>
  <c r="G140" i="6"/>
  <c r="C140" i="7"/>
  <c r="C140" i="6"/>
  <c r="D139" i="7"/>
  <c r="D139" i="6"/>
  <c r="E138" i="7"/>
  <c r="E138" i="6"/>
  <c r="J137" i="7"/>
  <c r="J137" i="6"/>
  <c r="F137" i="7"/>
  <c r="F137" i="6"/>
  <c r="K136" i="7"/>
  <c r="K136" i="6"/>
  <c r="G136" i="7"/>
  <c r="G136" i="6"/>
  <c r="C136" i="7"/>
  <c r="C136" i="6"/>
  <c r="D135" i="7"/>
  <c r="D135" i="6"/>
  <c r="E134" i="7"/>
  <c r="E134" i="6"/>
  <c r="J133" i="7"/>
  <c r="J133" i="6"/>
  <c r="F133" i="7"/>
  <c r="F133" i="6"/>
  <c r="K132" i="7"/>
  <c r="K132" i="6"/>
  <c r="G132" i="7"/>
  <c r="G132" i="6"/>
  <c r="C132" i="7"/>
  <c r="C132" i="6"/>
  <c r="D131" i="7"/>
  <c r="D131" i="6"/>
  <c r="I130" i="7"/>
  <c r="I130" i="6"/>
  <c r="E130" i="7"/>
  <c r="E130" i="6"/>
  <c r="J129" i="7"/>
  <c r="J129" i="6"/>
  <c r="F129" i="7"/>
  <c r="F129" i="6"/>
  <c r="K128" i="7"/>
  <c r="K128" i="6"/>
  <c r="G128" i="7"/>
  <c r="G128" i="6"/>
  <c r="C128" i="7"/>
  <c r="C128" i="6"/>
  <c r="D127" i="7"/>
  <c r="D127" i="6"/>
  <c r="E126" i="7"/>
  <c r="E126" i="6"/>
  <c r="J125" i="7"/>
  <c r="J125" i="6"/>
  <c r="F125" i="7"/>
  <c r="F125" i="6"/>
  <c r="K124" i="7"/>
  <c r="K124" i="6"/>
  <c r="G124" i="7"/>
  <c r="G124" i="6"/>
  <c r="C124" i="7"/>
  <c r="C124" i="6"/>
  <c r="D123" i="7"/>
  <c r="D123" i="6"/>
  <c r="E122" i="7"/>
  <c r="E122" i="6"/>
  <c r="J121" i="7"/>
  <c r="J121" i="6"/>
  <c r="F121" i="7"/>
  <c r="F121" i="6"/>
  <c r="K120" i="7"/>
  <c r="K120" i="6"/>
  <c r="G120" i="7"/>
  <c r="G120" i="6"/>
  <c r="C120" i="7"/>
  <c r="C120" i="6"/>
  <c r="D119" i="7"/>
  <c r="D119" i="6"/>
  <c r="E118" i="7"/>
  <c r="E118" i="6"/>
  <c r="J116" i="7"/>
  <c r="J116" i="6"/>
  <c r="F116" i="7"/>
  <c r="F116" i="6"/>
  <c r="K115" i="7"/>
  <c r="K115" i="6"/>
  <c r="G115" i="7"/>
  <c r="G115" i="6"/>
  <c r="C115" i="7"/>
  <c r="C115" i="6"/>
  <c r="D114" i="7"/>
  <c r="D114" i="6"/>
  <c r="E113" i="7"/>
  <c r="E113" i="6"/>
  <c r="J112" i="7"/>
  <c r="J112" i="6"/>
  <c r="F112" i="7"/>
  <c r="F112" i="6"/>
  <c r="K111" i="7"/>
  <c r="K111" i="6"/>
  <c r="G111" i="7"/>
  <c r="G111" i="6"/>
  <c r="C111" i="7"/>
  <c r="C111" i="6"/>
  <c r="H110" i="6"/>
  <c r="D110" i="7"/>
  <c r="D110" i="6"/>
  <c r="I109" i="7"/>
  <c r="I109" i="6"/>
  <c r="E109" i="7"/>
  <c r="E109" i="6"/>
  <c r="J108" i="7"/>
  <c r="J108" i="6"/>
  <c r="F108" i="7"/>
  <c r="F108" i="6"/>
  <c r="K107" i="7"/>
  <c r="K107" i="6"/>
  <c r="G107" i="7"/>
  <c r="G107" i="6"/>
  <c r="C107" i="7"/>
  <c r="C107" i="6"/>
  <c r="D106" i="7"/>
  <c r="D106" i="6"/>
  <c r="I105" i="7"/>
  <c r="I105" i="6"/>
  <c r="E105" i="7"/>
  <c r="E105" i="6"/>
  <c r="J104" i="7"/>
  <c r="J104" i="6"/>
  <c r="F104" i="7"/>
  <c r="F104" i="6"/>
  <c r="G101" i="7"/>
  <c r="G101" i="6"/>
  <c r="E99" i="7"/>
  <c r="E99" i="6"/>
  <c r="J98" i="7"/>
  <c r="J98" i="6"/>
  <c r="F98" i="7"/>
  <c r="F98" i="6"/>
  <c r="K97" i="7"/>
  <c r="K97" i="6"/>
  <c r="G97" i="7"/>
  <c r="G97" i="6"/>
  <c r="C97" i="7"/>
  <c r="C97" i="6"/>
  <c r="H96" i="7"/>
  <c r="H96" i="6"/>
  <c r="D96" i="7"/>
  <c r="D96" i="6"/>
  <c r="I95" i="7"/>
  <c r="I95" i="6"/>
  <c r="E95" i="7"/>
  <c r="E95" i="6"/>
  <c r="J93" i="7"/>
  <c r="J93" i="6"/>
  <c r="F93" i="7"/>
  <c r="F93" i="6"/>
  <c r="G92" i="7"/>
  <c r="G92" i="6"/>
  <c r="D91" i="7"/>
  <c r="D91" i="6"/>
  <c r="I90" i="7"/>
  <c r="I90" i="6"/>
  <c r="E90" i="7"/>
  <c r="E90" i="6"/>
  <c r="J89" i="7"/>
  <c r="J89" i="6"/>
  <c r="F89" i="7"/>
  <c r="F89" i="6"/>
  <c r="K88" i="7"/>
  <c r="K88" i="6"/>
  <c r="G88" i="7"/>
  <c r="G88" i="6"/>
  <c r="C88" i="7"/>
  <c r="C88" i="6"/>
  <c r="H87" i="6"/>
  <c r="D87" i="7"/>
  <c r="D87" i="6"/>
  <c r="E86" i="7"/>
  <c r="E86" i="6"/>
  <c r="J85" i="7"/>
  <c r="J85" i="6"/>
  <c r="F85" i="7"/>
  <c r="F85" i="6"/>
  <c r="K84" i="7"/>
  <c r="K84" i="6"/>
  <c r="G84" i="7"/>
  <c r="G84" i="6"/>
  <c r="C84" i="7"/>
  <c r="C84" i="6"/>
  <c r="H83" i="7"/>
  <c r="H83" i="6"/>
  <c r="D83" i="7"/>
  <c r="D83" i="6"/>
  <c r="D81" i="7"/>
  <c r="D81" i="6"/>
  <c r="E80" i="7"/>
  <c r="E80" i="6"/>
  <c r="J79" i="7"/>
  <c r="J79" i="6"/>
  <c r="F79" i="7"/>
  <c r="F79" i="6"/>
  <c r="K78" i="7"/>
  <c r="K78" i="6"/>
  <c r="G78" i="7"/>
  <c r="G78" i="6"/>
  <c r="C78" i="7"/>
  <c r="C78" i="6"/>
  <c r="D77" i="7"/>
  <c r="D77" i="6"/>
  <c r="E76" i="7"/>
  <c r="E76" i="6"/>
  <c r="J75" i="7"/>
  <c r="J75" i="6"/>
  <c r="F75" i="7"/>
  <c r="F75" i="6"/>
  <c r="K74" i="7"/>
  <c r="K74" i="6"/>
  <c r="G74" i="7"/>
  <c r="G74" i="6"/>
  <c r="C74" i="7"/>
  <c r="C74" i="6"/>
  <c r="D73" i="7"/>
  <c r="D73" i="6"/>
  <c r="J70" i="7"/>
  <c r="J70" i="6"/>
  <c r="F70" i="7"/>
  <c r="F70" i="6"/>
  <c r="K69" i="7"/>
  <c r="K69" i="6"/>
  <c r="G69" i="7"/>
  <c r="G69" i="6"/>
  <c r="C69" i="7"/>
  <c r="C69" i="6"/>
  <c r="D67" i="7"/>
  <c r="D67" i="6"/>
  <c r="E66" i="7"/>
  <c r="E66" i="6"/>
  <c r="J65" i="7"/>
  <c r="J65" i="6"/>
  <c r="F65" i="7"/>
  <c r="F65" i="6"/>
  <c r="K62" i="7"/>
  <c r="K62" i="6"/>
  <c r="G62" i="7"/>
  <c r="G62" i="6"/>
  <c r="C62" i="7"/>
  <c r="C62" i="6"/>
  <c r="D61" i="7"/>
  <c r="D61" i="6"/>
  <c r="E60" i="7"/>
  <c r="E60" i="6"/>
  <c r="J59" i="7"/>
  <c r="J59" i="6"/>
  <c r="F59" i="7"/>
  <c r="F59" i="6"/>
  <c r="K58" i="7"/>
  <c r="K58" i="6"/>
  <c r="G58" i="7"/>
  <c r="G58" i="6"/>
  <c r="C58" i="7"/>
  <c r="C58" i="6"/>
  <c r="D57" i="7"/>
  <c r="D57" i="6"/>
  <c r="I56" i="7"/>
  <c r="E56" i="7"/>
  <c r="E56" i="6"/>
  <c r="J55" i="7"/>
  <c r="J55" i="6"/>
  <c r="F55" i="7"/>
  <c r="F55" i="6"/>
  <c r="K54" i="7"/>
  <c r="K54" i="6"/>
  <c r="G54" i="7"/>
  <c r="G54" i="6"/>
  <c r="C54" i="7"/>
  <c r="C54" i="6"/>
  <c r="D53" i="7"/>
  <c r="D53" i="6"/>
  <c r="E52" i="7"/>
  <c r="E52" i="6"/>
  <c r="J51" i="7"/>
  <c r="J51" i="6"/>
  <c r="F51" i="7"/>
  <c r="F51" i="6"/>
  <c r="K50" i="7"/>
  <c r="K50" i="6"/>
  <c r="G50" i="7"/>
  <c r="G50" i="6"/>
  <c r="C50" i="7"/>
  <c r="C50" i="6"/>
  <c r="D49" i="7"/>
  <c r="D49" i="6"/>
  <c r="J34" i="7"/>
  <c r="J34" i="6"/>
  <c r="F34" i="7"/>
  <c r="F34" i="6"/>
  <c r="K33" i="7"/>
  <c r="K33" i="6"/>
  <c r="G33" i="7"/>
  <c r="G33" i="6"/>
  <c r="C33" i="7"/>
  <c r="C33" i="6"/>
  <c r="H32" i="7"/>
  <c r="D32" i="7"/>
  <c r="D32" i="6"/>
  <c r="I30" i="7"/>
  <c r="I30" i="6"/>
  <c r="E30" i="7"/>
  <c r="E30" i="6"/>
  <c r="J29" i="7"/>
  <c r="J29" i="6"/>
  <c r="F29" i="7"/>
  <c r="F29" i="6"/>
  <c r="K27" i="7"/>
  <c r="K27" i="6"/>
  <c r="G27" i="7"/>
  <c r="G27" i="6"/>
  <c r="C27" i="7"/>
  <c r="C27" i="6"/>
  <c r="D26" i="7"/>
  <c r="D26" i="6"/>
  <c r="I25" i="7"/>
  <c r="I25" i="6"/>
  <c r="E25" i="7"/>
  <c r="E25" i="6"/>
  <c r="J24" i="7"/>
  <c r="J24" i="6"/>
  <c r="F24" i="7"/>
  <c r="F24" i="6"/>
  <c r="K22" i="7"/>
  <c r="K22" i="6"/>
  <c r="G22" i="7"/>
  <c r="G22" i="6"/>
  <c r="C22" i="7"/>
  <c r="C22" i="6"/>
  <c r="D21" i="7"/>
  <c r="D21" i="6"/>
  <c r="E20" i="7"/>
  <c r="E20" i="6"/>
  <c r="J19" i="7"/>
  <c r="J19" i="6"/>
  <c r="F19" i="7"/>
  <c r="F19" i="6"/>
  <c r="K18" i="7"/>
  <c r="K18" i="6"/>
  <c r="G18" i="7"/>
  <c r="G18" i="6"/>
  <c r="C18" i="7"/>
  <c r="C18" i="6"/>
  <c r="D17" i="7"/>
  <c r="D17" i="6"/>
  <c r="I11" i="7"/>
  <c r="I11" i="6"/>
  <c r="E11" i="7"/>
  <c r="E11" i="6"/>
  <c r="J10" i="7"/>
  <c r="J10" i="6"/>
  <c r="F10" i="7"/>
  <c r="F10" i="6"/>
  <c r="K9" i="7"/>
  <c r="K9" i="6"/>
  <c r="G9" i="7"/>
  <c r="G9" i="6"/>
  <c r="C9" i="7"/>
  <c r="C9" i="6"/>
  <c r="H8" i="6"/>
  <c r="D8" i="7"/>
  <c r="D8" i="6"/>
  <c r="I7" i="7"/>
  <c r="I7" i="6"/>
  <c r="E7" i="7"/>
  <c r="E7" i="6"/>
  <c r="J6" i="7"/>
  <c r="J6" i="6"/>
  <c r="F6" i="7"/>
  <c r="F6" i="6"/>
  <c r="K5" i="7"/>
  <c r="K5" i="6"/>
  <c r="G5" i="7"/>
  <c r="G5" i="6"/>
  <c r="C5" i="7"/>
  <c r="C5" i="6"/>
  <c r="G3" i="5"/>
  <c r="G3" i="7"/>
  <c r="G3" i="6"/>
  <c r="I212" i="7"/>
  <c r="F211" i="7"/>
  <c r="F211" i="6"/>
  <c r="C210" i="7"/>
  <c r="C210" i="6"/>
  <c r="F207" i="7"/>
  <c r="F207" i="6"/>
  <c r="C206" i="7"/>
  <c r="C206" i="6"/>
  <c r="K202" i="7"/>
  <c r="K202" i="6"/>
  <c r="H201" i="7"/>
  <c r="E200" i="7"/>
  <c r="E200" i="6"/>
  <c r="K198" i="7"/>
  <c r="K198" i="6"/>
  <c r="H197" i="7"/>
  <c r="H197" i="6"/>
  <c r="C194" i="7"/>
  <c r="C194" i="6"/>
  <c r="I192" i="7"/>
  <c r="I192" i="6"/>
  <c r="F191" i="7"/>
  <c r="F191" i="6"/>
  <c r="J184" i="7"/>
  <c r="J184" i="6"/>
  <c r="G183" i="7"/>
  <c r="G183" i="6"/>
  <c r="D182" i="7"/>
  <c r="D182" i="6"/>
  <c r="J180" i="7"/>
  <c r="J180" i="6"/>
  <c r="G179" i="7"/>
  <c r="G179" i="6"/>
  <c r="D178" i="7"/>
  <c r="D178" i="6"/>
  <c r="J176" i="7"/>
  <c r="J176" i="6"/>
  <c r="K98" i="7"/>
  <c r="K98" i="6"/>
  <c r="E96" i="7"/>
  <c r="E96" i="6"/>
  <c r="E91" i="7"/>
  <c r="E91" i="6"/>
  <c r="K89" i="7"/>
  <c r="K89" i="6"/>
  <c r="H88" i="7"/>
  <c r="H88" i="6"/>
  <c r="E87" i="7"/>
  <c r="E87" i="6"/>
  <c r="K85" i="7"/>
  <c r="K85" i="6"/>
  <c r="J80" i="7"/>
  <c r="J80" i="6"/>
  <c r="G79" i="7"/>
  <c r="G79" i="6"/>
  <c r="D78" i="7"/>
  <c r="D78" i="6"/>
  <c r="J76" i="7"/>
  <c r="J76" i="6"/>
  <c r="G75" i="7"/>
  <c r="G75" i="6"/>
  <c r="D74" i="7"/>
  <c r="D74" i="6"/>
  <c r="G70" i="7"/>
  <c r="G70" i="6"/>
  <c r="D69" i="7"/>
  <c r="D69" i="6"/>
  <c r="J66" i="7"/>
  <c r="J66" i="6"/>
  <c r="G65" i="7"/>
  <c r="G65" i="6"/>
  <c r="D62" i="7"/>
  <c r="D62" i="6"/>
  <c r="J60" i="7"/>
  <c r="J60" i="6"/>
  <c r="G59" i="7"/>
  <c r="G59" i="6"/>
  <c r="D58" i="7"/>
  <c r="D58" i="6"/>
  <c r="J56" i="7"/>
  <c r="J56" i="6"/>
  <c r="G55" i="7"/>
  <c r="G55" i="6"/>
  <c r="D54" i="7"/>
  <c r="D54" i="6"/>
  <c r="J52" i="7"/>
  <c r="J52" i="6"/>
  <c r="G51" i="7"/>
  <c r="G51" i="6"/>
  <c r="D50" i="7"/>
  <c r="D50" i="6"/>
  <c r="J48" i="6"/>
  <c r="J48" i="7"/>
  <c r="G47" i="7"/>
  <c r="G47" i="6"/>
  <c r="D46" i="6"/>
  <c r="D46" i="7"/>
  <c r="J44" i="6"/>
  <c r="J44" i="7"/>
  <c r="C43" i="6"/>
  <c r="C43" i="7"/>
  <c r="K10" i="7"/>
  <c r="K10" i="6"/>
  <c r="I8" i="6"/>
  <c r="I8" i="7"/>
  <c r="F7" i="7"/>
  <c r="F7" i="6"/>
  <c r="C6" i="6"/>
  <c r="C6" i="7"/>
  <c r="J214" i="7"/>
  <c r="J214" i="6"/>
  <c r="F214" i="7"/>
  <c r="F214" i="6"/>
  <c r="K212" i="7"/>
  <c r="K212" i="6"/>
  <c r="G212" i="7"/>
  <c r="G212" i="6"/>
  <c r="C212" i="7"/>
  <c r="C212" i="6"/>
  <c r="D211" i="7"/>
  <c r="D211" i="6"/>
  <c r="I210" i="7"/>
  <c r="I210" i="6"/>
  <c r="E210" i="7"/>
  <c r="E210" i="6"/>
  <c r="J209" i="7"/>
  <c r="J209" i="6"/>
  <c r="F209" i="7"/>
  <c r="F209" i="6"/>
  <c r="K208" i="7"/>
  <c r="K208" i="6"/>
  <c r="G208" i="7"/>
  <c r="G208" i="6"/>
  <c r="C208" i="7"/>
  <c r="C208" i="6"/>
  <c r="H207" i="7"/>
  <c r="D207" i="7"/>
  <c r="D207" i="6"/>
  <c r="E206" i="7"/>
  <c r="E206" i="6"/>
  <c r="J205" i="7"/>
  <c r="J205" i="6"/>
  <c r="F205" i="7"/>
  <c r="F205" i="6"/>
  <c r="I202" i="7"/>
  <c r="I202" i="6"/>
  <c r="J201" i="7"/>
  <c r="J201" i="6"/>
  <c r="F201" i="7"/>
  <c r="F201" i="6"/>
  <c r="K200" i="7"/>
  <c r="K200" i="6"/>
  <c r="G200" i="7"/>
  <c r="G200" i="6"/>
  <c r="C200" i="7"/>
  <c r="C200" i="6"/>
  <c r="D199" i="7"/>
  <c r="D199" i="6"/>
  <c r="E198" i="7"/>
  <c r="E198" i="6"/>
  <c r="J197" i="7"/>
  <c r="J197" i="6"/>
  <c r="F197" i="7"/>
  <c r="F197" i="6"/>
  <c r="H195" i="7"/>
  <c r="H195" i="6"/>
  <c r="D195" i="7"/>
  <c r="D195" i="6"/>
  <c r="I194" i="7"/>
  <c r="I194" i="6"/>
  <c r="E194" i="7"/>
  <c r="E194" i="6"/>
  <c r="J193" i="7"/>
  <c r="J193" i="6"/>
  <c r="F193" i="7"/>
  <c r="F193" i="6"/>
  <c r="K192" i="7"/>
  <c r="K192" i="6"/>
  <c r="G192" i="7"/>
  <c r="G192" i="6"/>
  <c r="C192" i="7"/>
  <c r="C192" i="6"/>
  <c r="D191" i="7"/>
  <c r="D191" i="6"/>
  <c r="J189" i="7"/>
  <c r="J189" i="6"/>
  <c r="F189" i="7"/>
  <c r="F189" i="6"/>
  <c r="J170" i="7"/>
  <c r="J170" i="6"/>
  <c r="F170" i="7"/>
  <c r="F170" i="6"/>
  <c r="K169" i="7"/>
  <c r="K169" i="6"/>
  <c r="G169" i="7"/>
  <c r="G169" i="6"/>
  <c r="C169" i="7"/>
  <c r="C169" i="6"/>
  <c r="H168" i="7"/>
  <c r="H168" i="6"/>
  <c r="D168" i="7"/>
  <c r="D168" i="6"/>
  <c r="I167" i="6"/>
  <c r="E167" i="7"/>
  <c r="E167" i="6"/>
  <c r="J166" i="7"/>
  <c r="J166" i="6"/>
  <c r="F166" i="7"/>
  <c r="F166" i="6"/>
  <c r="K165" i="7"/>
  <c r="K165" i="6"/>
  <c r="G165" i="7"/>
  <c r="G165" i="6"/>
  <c r="D164" i="7"/>
  <c r="D164" i="6"/>
  <c r="E163" i="7"/>
  <c r="E163" i="6"/>
  <c r="J161" i="7"/>
  <c r="J161" i="6"/>
  <c r="F161" i="7"/>
  <c r="F161" i="6"/>
  <c r="K160" i="7"/>
  <c r="K160" i="6"/>
  <c r="G160" i="7"/>
  <c r="G160" i="6"/>
  <c r="E158" i="7"/>
  <c r="E158" i="6"/>
  <c r="J157" i="7"/>
  <c r="J157" i="6"/>
  <c r="F157" i="7"/>
  <c r="F157" i="6"/>
  <c r="K156" i="7"/>
  <c r="K156" i="6"/>
  <c r="G156" i="7"/>
  <c r="G156" i="6"/>
  <c r="C156" i="6"/>
  <c r="C156" i="7"/>
  <c r="H154" i="7"/>
  <c r="D154" i="7"/>
  <c r="D154" i="6"/>
  <c r="I153" i="7"/>
  <c r="I153" i="6"/>
  <c r="E153" i="7"/>
  <c r="E153" i="6"/>
  <c r="J152" i="7"/>
  <c r="J152" i="6"/>
  <c r="F152" i="7"/>
  <c r="F152" i="6"/>
  <c r="K151" i="7"/>
  <c r="K151" i="6"/>
  <c r="G151" i="7"/>
  <c r="G151" i="6"/>
  <c r="C151" i="7"/>
  <c r="C151" i="6"/>
  <c r="D150" i="7"/>
  <c r="D150" i="6"/>
  <c r="I149" i="7"/>
  <c r="I149" i="6"/>
  <c r="E149" i="7"/>
  <c r="E149" i="6"/>
  <c r="J148" i="7"/>
  <c r="J148" i="6"/>
  <c r="F148" i="7"/>
  <c r="F148" i="6"/>
  <c r="K147" i="7"/>
  <c r="K147" i="6"/>
  <c r="G147" i="7"/>
  <c r="G147" i="6"/>
  <c r="C147" i="7"/>
  <c r="C147" i="6"/>
  <c r="H146" i="7"/>
  <c r="H146" i="6"/>
  <c r="D146" i="7"/>
  <c r="D146" i="6"/>
  <c r="I145" i="7"/>
  <c r="E145" i="7"/>
  <c r="E145" i="6"/>
  <c r="J144" i="7"/>
  <c r="J144" i="6"/>
  <c r="F144" i="7"/>
  <c r="F144" i="6"/>
  <c r="K143" i="7"/>
  <c r="K143" i="6"/>
  <c r="G143" i="7"/>
  <c r="G143" i="6"/>
  <c r="C143" i="7"/>
  <c r="C143" i="6"/>
  <c r="H142" i="7"/>
  <c r="H142" i="6"/>
  <c r="D142" i="7"/>
  <c r="D142" i="6"/>
  <c r="E141" i="7"/>
  <c r="E141" i="6"/>
  <c r="J140" i="7"/>
  <c r="J140" i="6"/>
  <c r="F140" i="7"/>
  <c r="F140" i="6"/>
  <c r="K139" i="7"/>
  <c r="K139" i="6"/>
  <c r="G139" i="7"/>
  <c r="G139" i="6"/>
  <c r="C139" i="7"/>
  <c r="C139" i="6"/>
  <c r="H138" i="7"/>
  <c r="H138" i="6"/>
  <c r="D138" i="7"/>
  <c r="D138" i="6"/>
  <c r="I137" i="7"/>
  <c r="E137" i="7"/>
  <c r="E137" i="6"/>
  <c r="J136" i="7"/>
  <c r="J136" i="6"/>
  <c r="F136" i="7"/>
  <c r="F136" i="6"/>
  <c r="K135" i="7"/>
  <c r="K135" i="6"/>
  <c r="G135" i="7"/>
  <c r="G135" i="6"/>
  <c r="C135" i="7"/>
  <c r="C135" i="6"/>
  <c r="H134" i="7"/>
  <c r="H134" i="6"/>
  <c r="D134" i="7"/>
  <c r="D134" i="6"/>
  <c r="E133" i="7"/>
  <c r="E133" i="6"/>
  <c r="J132" i="7"/>
  <c r="J132" i="6"/>
  <c r="F132" i="7"/>
  <c r="F132" i="6"/>
  <c r="K131" i="7"/>
  <c r="K131" i="6"/>
  <c r="G131" i="7"/>
  <c r="G131" i="6"/>
  <c r="C131" i="7"/>
  <c r="C131" i="6"/>
  <c r="H130" i="7"/>
  <c r="H130" i="6"/>
  <c r="D130" i="7"/>
  <c r="D130" i="6"/>
  <c r="I129" i="7"/>
  <c r="E129" i="7"/>
  <c r="E129" i="6"/>
  <c r="J128" i="7"/>
  <c r="J128" i="6"/>
  <c r="F128" i="7"/>
  <c r="F128" i="6"/>
  <c r="K127" i="7"/>
  <c r="K127" i="6"/>
  <c r="G127" i="7"/>
  <c r="G127" i="6"/>
  <c r="C127" i="7"/>
  <c r="C127" i="6"/>
  <c r="H126" i="7"/>
  <c r="H126" i="6"/>
  <c r="D126" i="7"/>
  <c r="D126" i="6"/>
  <c r="E125" i="7"/>
  <c r="E125" i="6"/>
  <c r="J124" i="7"/>
  <c r="J124" i="6"/>
  <c r="F124" i="7"/>
  <c r="F124" i="6"/>
  <c r="K123" i="7"/>
  <c r="K123" i="6"/>
  <c r="G123" i="7"/>
  <c r="G123" i="6"/>
  <c r="C123" i="7"/>
  <c r="C123" i="6"/>
  <c r="H122" i="7"/>
  <c r="H122" i="6"/>
  <c r="D122" i="7"/>
  <c r="D122" i="6"/>
  <c r="I121" i="6"/>
  <c r="E121" i="7"/>
  <c r="E121" i="6"/>
  <c r="J120" i="7"/>
  <c r="J120" i="6"/>
  <c r="F120" i="7"/>
  <c r="F120" i="6"/>
  <c r="K119" i="6"/>
  <c r="K119" i="7"/>
  <c r="G119" i="7"/>
  <c r="G119" i="6"/>
  <c r="C119" i="7"/>
  <c r="C119" i="6"/>
  <c r="H118" i="7"/>
  <c r="H118" i="6"/>
  <c r="D118" i="6"/>
  <c r="D118" i="7"/>
  <c r="E116" i="7"/>
  <c r="E116" i="6"/>
  <c r="J115" i="7"/>
  <c r="J115" i="6"/>
  <c r="F115" i="7"/>
  <c r="F115" i="6"/>
  <c r="K114" i="7"/>
  <c r="K114" i="6"/>
  <c r="G114" i="7"/>
  <c r="G114" i="6"/>
  <c r="C114" i="7"/>
  <c r="C114" i="6"/>
  <c r="D113" i="7"/>
  <c r="D113" i="6"/>
  <c r="E112" i="7"/>
  <c r="E112" i="6"/>
  <c r="J111" i="7"/>
  <c r="J111" i="6"/>
  <c r="F111" i="7"/>
  <c r="F111" i="6"/>
  <c r="K110" i="7"/>
  <c r="K110" i="6"/>
  <c r="G110" i="7"/>
  <c r="G110" i="6"/>
  <c r="C110" i="7"/>
  <c r="C110" i="6"/>
  <c r="D109" i="7"/>
  <c r="D109" i="6"/>
  <c r="I108" i="7"/>
  <c r="I108" i="6"/>
  <c r="E108" i="7"/>
  <c r="E108" i="6"/>
  <c r="J107" i="7"/>
  <c r="J107" i="6"/>
  <c r="F107" i="7"/>
  <c r="F107" i="6"/>
  <c r="K106" i="7"/>
  <c r="K106" i="6"/>
  <c r="G106" i="7"/>
  <c r="G106" i="6"/>
  <c r="C106" i="7"/>
  <c r="C106" i="6"/>
  <c r="D105" i="7"/>
  <c r="D105" i="6"/>
  <c r="I104" i="7"/>
  <c r="I104" i="6"/>
  <c r="E104" i="7"/>
  <c r="E104" i="6"/>
  <c r="J101" i="7"/>
  <c r="J101" i="6"/>
  <c r="F101" i="7"/>
  <c r="F101" i="6"/>
  <c r="H99" i="7"/>
  <c r="D99" i="7"/>
  <c r="D99" i="6"/>
  <c r="E98" i="7"/>
  <c r="E98" i="6"/>
  <c r="J97" i="7"/>
  <c r="J97" i="6"/>
  <c r="F97" i="7"/>
  <c r="F97" i="6"/>
  <c r="K96" i="7"/>
  <c r="K96" i="6"/>
  <c r="G96" i="7"/>
  <c r="G96" i="6"/>
  <c r="C96" i="7"/>
  <c r="C96" i="6"/>
  <c r="D95" i="7"/>
  <c r="D95" i="6"/>
  <c r="E93" i="7"/>
  <c r="E93" i="6"/>
  <c r="J92" i="7"/>
  <c r="J92" i="6"/>
  <c r="F92" i="7"/>
  <c r="F92" i="6"/>
  <c r="K91" i="7"/>
  <c r="K91" i="6"/>
  <c r="G91" i="7"/>
  <c r="G91" i="6"/>
  <c r="C91" i="7"/>
  <c r="C91" i="6"/>
  <c r="H90" i="7"/>
  <c r="H90" i="6"/>
  <c r="D90" i="7"/>
  <c r="D90" i="6"/>
  <c r="I89" i="6"/>
  <c r="E89" i="7"/>
  <c r="E89" i="6"/>
  <c r="J88" i="7"/>
  <c r="J88" i="6"/>
  <c r="F88" i="7"/>
  <c r="F88" i="6"/>
  <c r="K87" i="7"/>
  <c r="K87" i="6"/>
  <c r="G87" i="7"/>
  <c r="G87" i="6"/>
  <c r="C87" i="7"/>
  <c r="C87" i="6"/>
  <c r="D86" i="7"/>
  <c r="D86" i="6"/>
  <c r="E85" i="7"/>
  <c r="E85" i="6"/>
  <c r="J84" i="7"/>
  <c r="J84" i="6"/>
  <c r="F84" i="7"/>
  <c r="F84" i="6"/>
  <c r="K83" i="7"/>
  <c r="K83" i="6"/>
  <c r="G83" i="7"/>
  <c r="G83" i="6"/>
  <c r="C83" i="7"/>
  <c r="C83" i="6"/>
  <c r="K81" i="7"/>
  <c r="K81" i="6"/>
  <c r="G81" i="7"/>
  <c r="G81" i="6"/>
  <c r="C81" i="7"/>
  <c r="C81" i="6"/>
  <c r="H80" i="7"/>
  <c r="H80" i="6"/>
  <c r="D80" i="7"/>
  <c r="D80" i="6"/>
  <c r="I79" i="7"/>
  <c r="I79" i="6"/>
  <c r="E79" i="7"/>
  <c r="E79" i="6"/>
  <c r="J78" i="7"/>
  <c r="J78" i="6"/>
  <c r="F78" i="7"/>
  <c r="F78" i="6"/>
  <c r="K77" i="7"/>
  <c r="K77" i="6"/>
  <c r="G77" i="7"/>
  <c r="G77" i="6"/>
  <c r="C77" i="7"/>
  <c r="C77" i="6"/>
  <c r="H76" i="7"/>
  <c r="H76" i="6"/>
  <c r="D76" i="7"/>
  <c r="D76" i="6"/>
  <c r="I75" i="7"/>
  <c r="I75" i="6"/>
  <c r="E75" i="7"/>
  <c r="E75" i="6"/>
  <c r="J74" i="7"/>
  <c r="J74" i="6"/>
  <c r="F74" i="7"/>
  <c r="F74" i="6"/>
  <c r="K73" i="7"/>
  <c r="K73" i="6"/>
  <c r="G73" i="7"/>
  <c r="G73" i="6"/>
  <c r="C73" i="7"/>
  <c r="C73" i="6"/>
  <c r="E70" i="7"/>
  <c r="E70" i="6"/>
  <c r="J69" i="7"/>
  <c r="J69" i="6"/>
  <c r="F69" i="7"/>
  <c r="F69" i="6"/>
  <c r="K67" i="7"/>
  <c r="K67" i="6"/>
  <c r="G67" i="6"/>
  <c r="G67" i="7"/>
  <c r="C67" i="7"/>
  <c r="C67" i="6"/>
  <c r="H66" i="7"/>
  <c r="H66" i="6"/>
  <c r="D66" i="7"/>
  <c r="D66" i="6"/>
  <c r="I65" i="7"/>
  <c r="I65" i="6"/>
  <c r="E65" i="7"/>
  <c r="E65" i="6"/>
  <c r="J62" i="7"/>
  <c r="J62" i="6"/>
  <c r="F62" i="7"/>
  <c r="F62" i="6"/>
  <c r="K61" i="7"/>
  <c r="K61" i="6"/>
  <c r="G61" i="7"/>
  <c r="G61" i="6"/>
  <c r="C61" i="7"/>
  <c r="C61" i="6"/>
  <c r="D60" i="7"/>
  <c r="D60" i="6"/>
  <c r="E59" i="7"/>
  <c r="E59" i="6"/>
  <c r="J58" i="7"/>
  <c r="J58" i="6"/>
  <c r="F58" i="6"/>
  <c r="F58" i="7"/>
  <c r="K57" i="7"/>
  <c r="K57" i="6"/>
  <c r="G57" i="7"/>
  <c r="G57" i="6"/>
  <c r="C57" i="7"/>
  <c r="C57" i="6"/>
  <c r="H56" i="7"/>
  <c r="H56" i="6"/>
  <c r="D56" i="7"/>
  <c r="D56" i="6"/>
  <c r="E55" i="7"/>
  <c r="E55" i="6"/>
  <c r="J54" i="7"/>
  <c r="J54" i="6"/>
  <c r="F54" i="7"/>
  <c r="F54" i="6"/>
  <c r="K53" i="7"/>
  <c r="K53" i="6"/>
  <c r="G53" i="7"/>
  <c r="G53" i="6"/>
  <c r="C53" i="7"/>
  <c r="C53" i="6"/>
  <c r="D52" i="7"/>
  <c r="D52" i="6"/>
  <c r="I51" i="7"/>
  <c r="I51" i="6"/>
  <c r="E51" i="6"/>
  <c r="E51" i="7"/>
  <c r="J50" i="7"/>
  <c r="J50" i="6"/>
  <c r="F50" i="7"/>
  <c r="F50" i="6"/>
  <c r="K49" i="7"/>
  <c r="K49" i="6"/>
  <c r="G49" i="7"/>
  <c r="G49" i="6"/>
  <c r="C49" i="7"/>
  <c r="C49" i="6"/>
  <c r="H48" i="7"/>
  <c r="I47" i="7"/>
  <c r="I47" i="6"/>
  <c r="J46" i="7"/>
  <c r="J46" i="6"/>
  <c r="K45" i="7"/>
  <c r="K45" i="6"/>
  <c r="C45" i="7"/>
  <c r="C45" i="6"/>
  <c r="D44" i="7"/>
  <c r="D44" i="6"/>
  <c r="E43" i="7"/>
  <c r="E43" i="6"/>
  <c r="H39" i="6"/>
  <c r="D39" i="7"/>
  <c r="D39" i="6"/>
  <c r="E38" i="7"/>
  <c r="E38" i="6"/>
  <c r="J37" i="6"/>
  <c r="J37" i="7"/>
  <c r="F37" i="7"/>
  <c r="F37" i="6"/>
  <c r="K36" i="7"/>
  <c r="K36" i="6"/>
  <c r="G36" i="7"/>
  <c r="G36" i="6"/>
  <c r="C36" i="6"/>
  <c r="C36" i="7"/>
  <c r="K12" i="7"/>
  <c r="K12" i="6"/>
  <c r="G12" i="7"/>
  <c r="G12" i="6"/>
  <c r="C12" i="7"/>
  <c r="C12" i="6"/>
  <c r="H11" i="7"/>
  <c r="D11" i="7"/>
  <c r="D11" i="6"/>
  <c r="E10" i="7"/>
  <c r="E10" i="6"/>
  <c r="J9" i="7"/>
  <c r="J9" i="6"/>
  <c r="F9" i="7"/>
  <c r="F9" i="6"/>
  <c r="K8" i="7"/>
  <c r="K8" i="6"/>
  <c r="G8" i="7"/>
  <c r="G8" i="6"/>
  <c r="C8" i="7"/>
  <c r="C8" i="6"/>
  <c r="H7" i="7"/>
  <c r="D7" i="7"/>
  <c r="D7" i="6"/>
  <c r="E6" i="7"/>
  <c r="E6" i="6"/>
  <c r="J5" i="7"/>
  <c r="J5" i="6"/>
  <c r="F5" i="7"/>
  <c r="F5" i="6"/>
  <c r="D214" i="7"/>
  <c r="D214" i="6"/>
  <c r="J211" i="7"/>
  <c r="J211" i="6"/>
  <c r="G210" i="7"/>
  <c r="G210" i="6"/>
  <c r="H209" i="7"/>
  <c r="H209" i="6"/>
  <c r="J207" i="7"/>
  <c r="J207" i="6"/>
  <c r="K206" i="7"/>
  <c r="K206" i="6"/>
  <c r="D205" i="7"/>
  <c r="D205" i="6"/>
  <c r="C202" i="7"/>
  <c r="C202" i="6"/>
  <c r="J199" i="7"/>
  <c r="J199" i="6"/>
  <c r="C198" i="7"/>
  <c r="C198" i="6"/>
  <c r="J195" i="7"/>
  <c r="J195" i="6"/>
  <c r="G194" i="7"/>
  <c r="G194" i="6"/>
  <c r="J191" i="7"/>
  <c r="J191" i="6"/>
  <c r="K183" i="7"/>
  <c r="K183" i="6"/>
  <c r="H182" i="7"/>
  <c r="H182" i="6"/>
  <c r="E181" i="7"/>
  <c r="E181" i="6"/>
  <c r="K179" i="7"/>
  <c r="K179" i="6"/>
  <c r="H178" i="7"/>
  <c r="H178" i="6"/>
  <c r="E177" i="7"/>
  <c r="E177" i="6"/>
  <c r="F99" i="7"/>
  <c r="F99" i="6"/>
  <c r="C98" i="7"/>
  <c r="C98" i="6"/>
  <c r="J95" i="7"/>
  <c r="J95" i="6"/>
  <c r="D92" i="7"/>
  <c r="D92" i="6"/>
  <c r="F90" i="7"/>
  <c r="F90" i="6"/>
  <c r="G89" i="7"/>
  <c r="G89" i="6"/>
  <c r="D88" i="7"/>
  <c r="D88" i="6"/>
  <c r="J86" i="7"/>
  <c r="J86" i="6"/>
  <c r="C85" i="7"/>
  <c r="C85" i="6"/>
  <c r="E83" i="7"/>
  <c r="E83" i="6"/>
  <c r="E81" i="7"/>
  <c r="E81" i="6"/>
  <c r="F80" i="7"/>
  <c r="F80" i="6"/>
  <c r="C79" i="7"/>
  <c r="C79" i="6"/>
  <c r="I77" i="6"/>
  <c r="K75" i="7"/>
  <c r="K75" i="6"/>
  <c r="C75" i="7"/>
  <c r="C75" i="6"/>
  <c r="E73" i="7"/>
  <c r="E73" i="6"/>
  <c r="H69" i="7"/>
  <c r="H69" i="6"/>
  <c r="I67" i="7"/>
  <c r="I67" i="6"/>
  <c r="F66" i="7"/>
  <c r="F66" i="6"/>
  <c r="C65" i="7"/>
  <c r="C65" i="6"/>
  <c r="E61" i="7"/>
  <c r="E61" i="6"/>
  <c r="K59" i="7"/>
  <c r="K59" i="6"/>
  <c r="H58" i="7"/>
  <c r="H58" i="6"/>
  <c r="I57" i="7"/>
  <c r="I57" i="6"/>
  <c r="K55" i="7"/>
  <c r="K55" i="6"/>
  <c r="C55" i="7"/>
  <c r="C55" i="6"/>
  <c r="I53" i="7"/>
  <c r="I53" i="6"/>
  <c r="F52" i="7"/>
  <c r="F52" i="6"/>
  <c r="C51" i="7"/>
  <c r="C51" i="6"/>
  <c r="E49" i="7"/>
  <c r="E49" i="6"/>
  <c r="K47" i="6"/>
  <c r="K47" i="7"/>
  <c r="E45" i="6"/>
  <c r="E45" i="7"/>
  <c r="K43" i="7"/>
  <c r="K43" i="6"/>
  <c r="F39" i="7"/>
  <c r="F39" i="6"/>
  <c r="I36" i="7"/>
  <c r="I36" i="6"/>
  <c r="J11" i="7"/>
  <c r="J11" i="6"/>
  <c r="G10" i="6"/>
  <c r="G10" i="7"/>
  <c r="J7" i="6"/>
  <c r="J7" i="7"/>
  <c r="G6" i="7"/>
  <c r="G6" i="6"/>
  <c r="E202" i="7"/>
  <c r="E202" i="6"/>
  <c r="C3" i="5"/>
  <c r="C3" i="7"/>
  <c r="C3" i="6"/>
  <c r="H3" i="6"/>
  <c r="D3" i="5"/>
  <c r="D3" i="7"/>
  <c r="D3" i="6"/>
  <c r="D202" i="7"/>
  <c r="D202" i="6"/>
  <c r="I201" i="7"/>
  <c r="I201" i="6"/>
  <c r="E201" i="7"/>
  <c r="E201" i="6"/>
  <c r="J200" i="7"/>
  <c r="J200" i="6"/>
  <c r="F200" i="7"/>
  <c r="F200" i="6"/>
  <c r="K199" i="7"/>
  <c r="K199" i="6"/>
  <c r="G199" i="7"/>
  <c r="G199" i="6"/>
  <c r="C199" i="7"/>
  <c r="C199" i="6"/>
  <c r="H198" i="6"/>
  <c r="D198" i="7"/>
  <c r="D198" i="6"/>
  <c r="I197" i="7"/>
  <c r="I197" i="6"/>
  <c r="E197" i="7"/>
  <c r="E197" i="6"/>
  <c r="K195" i="7"/>
  <c r="K195" i="6"/>
  <c r="G195" i="7"/>
  <c r="G195" i="6"/>
  <c r="C195" i="7"/>
  <c r="C195" i="6"/>
  <c r="H194" i="7"/>
  <c r="H194" i="6"/>
  <c r="D194" i="7"/>
  <c r="D194" i="6"/>
  <c r="I193" i="6"/>
  <c r="E193" i="7"/>
  <c r="E193" i="6"/>
  <c r="J192" i="7"/>
  <c r="J192" i="6"/>
  <c r="F192" i="7"/>
  <c r="F192" i="6"/>
  <c r="K191" i="7"/>
  <c r="K191" i="6"/>
  <c r="G191" i="7"/>
  <c r="G191" i="6"/>
  <c r="C191" i="7"/>
  <c r="C191" i="6"/>
  <c r="E189" i="7"/>
  <c r="E189" i="6"/>
  <c r="K184" i="7"/>
  <c r="K184" i="6"/>
  <c r="G184" i="7"/>
  <c r="G184" i="6"/>
  <c r="C184" i="7"/>
  <c r="C184" i="6"/>
  <c r="D183" i="7"/>
  <c r="D183" i="6"/>
  <c r="I182" i="7"/>
  <c r="I182" i="6"/>
  <c r="E182" i="7"/>
  <c r="E182" i="6"/>
  <c r="J181" i="7"/>
  <c r="J181" i="6"/>
  <c r="F181" i="7"/>
  <c r="F181" i="6"/>
  <c r="K180" i="7"/>
  <c r="K180" i="6"/>
  <c r="G180" i="7"/>
  <c r="G180" i="6"/>
  <c r="D179" i="7"/>
  <c r="D179" i="6"/>
  <c r="I178" i="7"/>
  <c r="I178" i="6"/>
  <c r="E178" i="7"/>
  <c r="E178" i="6"/>
  <c r="J177" i="7"/>
  <c r="J177" i="6"/>
  <c r="F177" i="7"/>
  <c r="F177" i="6"/>
  <c r="K176" i="7"/>
  <c r="K176" i="6"/>
  <c r="G176" i="7"/>
  <c r="G176" i="6"/>
  <c r="E170" i="7"/>
  <c r="E170" i="6"/>
  <c r="J169" i="7"/>
  <c r="J169" i="6"/>
  <c r="F169" i="7"/>
  <c r="F169" i="6"/>
  <c r="K168" i="7"/>
  <c r="K168" i="6"/>
  <c r="G168" i="7"/>
  <c r="G168" i="6"/>
  <c r="C168" i="7"/>
  <c r="C168" i="6"/>
  <c r="D167" i="7"/>
  <c r="D167" i="6"/>
  <c r="I166" i="7"/>
  <c r="E166" i="7"/>
  <c r="E166" i="6"/>
  <c r="J165" i="7"/>
  <c r="J165" i="6"/>
  <c r="F165" i="7"/>
  <c r="F165" i="6"/>
  <c r="K164" i="7"/>
  <c r="K164" i="6"/>
  <c r="G164" i="7"/>
  <c r="G164" i="6"/>
  <c r="D163" i="7"/>
  <c r="D163" i="6"/>
  <c r="I161" i="7"/>
  <c r="I161" i="6"/>
  <c r="E161" i="7"/>
  <c r="E161" i="6"/>
  <c r="J160" i="7"/>
  <c r="J160" i="6"/>
  <c r="F160" i="7"/>
  <c r="F160" i="6"/>
  <c r="H158" i="7"/>
  <c r="H158" i="6"/>
  <c r="D158" i="7"/>
  <c r="D158" i="6"/>
  <c r="I157" i="7"/>
  <c r="I157" i="6"/>
  <c r="E157" i="7"/>
  <c r="E157" i="6"/>
  <c r="J156" i="7"/>
  <c r="J156" i="6"/>
  <c r="F156" i="7"/>
  <c r="F156" i="6"/>
  <c r="K154" i="7"/>
  <c r="K154" i="6"/>
  <c r="G154" i="7"/>
  <c r="G154" i="6"/>
  <c r="C154" i="7"/>
  <c r="C154" i="6"/>
  <c r="H153" i="7"/>
  <c r="H153" i="6"/>
  <c r="D153" i="7"/>
  <c r="D153" i="6"/>
  <c r="I152" i="7"/>
  <c r="E152" i="7"/>
  <c r="E152" i="6"/>
  <c r="J151" i="7"/>
  <c r="J151" i="6"/>
  <c r="F151" i="7"/>
  <c r="F151" i="6"/>
  <c r="K150" i="7"/>
  <c r="K150" i="6"/>
  <c r="G150" i="7"/>
  <c r="G150" i="6"/>
  <c r="C150" i="7"/>
  <c r="C150" i="6"/>
  <c r="H149" i="7"/>
  <c r="H149" i="6"/>
  <c r="D149" i="7"/>
  <c r="D149" i="6"/>
  <c r="E148" i="7"/>
  <c r="E148" i="6"/>
  <c r="J147" i="7"/>
  <c r="J147" i="6"/>
  <c r="F147" i="7"/>
  <c r="F147" i="6"/>
  <c r="K146" i="7"/>
  <c r="K146" i="6"/>
  <c r="G146" i="7"/>
  <c r="G146" i="6"/>
  <c r="C146" i="7"/>
  <c r="C146" i="6"/>
  <c r="D145" i="7"/>
  <c r="D145" i="6"/>
  <c r="E144" i="7"/>
  <c r="E144" i="6"/>
  <c r="J143" i="7"/>
  <c r="J143" i="6"/>
  <c r="F143" i="7"/>
  <c r="F143" i="6"/>
  <c r="K142" i="7"/>
  <c r="K142" i="6"/>
  <c r="G142" i="7"/>
  <c r="G142" i="6"/>
  <c r="C142" i="7"/>
  <c r="C142" i="6"/>
  <c r="D141" i="7"/>
  <c r="D141" i="6"/>
  <c r="I140" i="7"/>
  <c r="I140" i="6"/>
  <c r="E140" i="7"/>
  <c r="E140" i="6"/>
  <c r="J139" i="7"/>
  <c r="J139" i="6"/>
  <c r="F139" i="7"/>
  <c r="F139" i="6"/>
  <c r="K138" i="7"/>
  <c r="K138" i="6"/>
  <c r="G138" i="7"/>
  <c r="G138" i="6"/>
  <c r="C138" i="7"/>
  <c r="C138" i="6"/>
  <c r="H137" i="7"/>
  <c r="D137" i="7"/>
  <c r="D137" i="6"/>
  <c r="I136" i="7"/>
  <c r="I136" i="6"/>
  <c r="E136" i="7"/>
  <c r="E136" i="6"/>
  <c r="J135" i="7"/>
  <c r="J135" i="6"/>
  <c r="F135" i="7"/>
  <c r="F135" i="6"/>
  <c r="K134" i="7"/>
  <c r="K134" i="6"/>
  <c r="G134" i="7"/>
  <c r="G134" i="6"/>
  <c r="C134" i="7"/>
  <c r="C134" i="6"/>
  <c r="D133" i="7"/>
  <c r="D133" i="6"/>
  <c r="I132" i="7"/>
  <c r="I132" i="6"/>
  <c r="E132" i="7"/>
  <c r="E132" i="6"/>
  <c r="J131" i="7"/>
  <c r="J131" i="6"/>
  <c r="F131" i="7"/>
  <c r="F131" i="6"/>
  <c r="K130" i="7"/>
  <c r="K130" i="6"/>
  <c r="G130" i="7"/>
  <c r="G130" i="6"/>
  <c r="C130" i="7"/>
  <c r="C130" i="6"/>
  <c r="H129" i="7"/>
  <c r="H129" i="6"/>
  <c r="D129" i="7"/>
  <c r="D129" i="6"/>
  <c r="E128" i="7"/>
  <c r="E128" i="6"/>
  <c r="J127" i="7"/>
  <c r="J127" i="6"/>
  <c r="F127" i="7"/>
  <c r="F127" i="6"/>
  <c r="K126" i="7"/>
  <c r="K126" i="6"/>
  <c r="G126" i="6"/>
  <c r="G126" i="7"/>
  <c r="C126" i="7"/>
  <c r="C126" i="6"/>
  <c r="H125" i="7"/>
  <c r="H125" i="6"/>
  <c r="D125" i="7"/>
  <c r="D125" i="6"/>
  <c r="I124" i="7"/>
  <c r="E124" i="7"/>
  <c r="E124" i="6"/>
  <c r="J123" i="7"/>
  <c r="J123" i="6"/>
  <c r="F123" i="7"/>
  <c r="F123" i="6"/>
  <c r="K122" i="7"/>
  <c r="K122" i="6"/>
  <c r="G122" i="7"/>
  <c r="G122" i="6"/>
  <c r="C122" i="7"/>
  <c r="C122" i="6"/>
  <c r="H121" i="7"/>
  <c r="H121" i="6"/>
  <c r="D121" i="7"/>
  <c r="D121" i="6"/>
  <c r="I120" i="7"/>
  <c r="E120" i="7"/>
  <c r="E120" i="6"/>
  <c r="J119" i="7"/>
  <c r="J119" i="6"/>
  <c r="F119" i="7"/>
  <c r="F119" i="6"/>
  <c r="K118" i="7"/>
  <c r="K118" i="6"/>
  <c r="G118" i="7"/>
  <c r="G118" i="6"/>
  <c r="C118" i="7"/>
  <c r="C118" i="6"/>
  <c r="H116" i="6"/>
  <c r="D116" i="7"/>
  <c r="D116" i="6"/>
  <c r="I115" i="7"/>
  <c r="I115" i="6"/>
  <c r="E115" i="7"/>
  <c r="E115" i="6"/>
  <c r="J114" i="7"/>
  <c r="J114" i="6"/>
  <c r="F114" i="7"/>
  <c r="F114" i="6"/>
  <c r="K113" i="7"/>
  <c r="K113" i="6"/>
  <c r="G113" i="7"/>
  <c r="G113" i="6"/>
  <c r="C113" i="7"/>
  <c r="C113" i="6"/>
  <c r="H112" i="7"/>
  <c r="H112" i="6"/>
  <c r="D112" i="7"/>
  <c r="D112" i="6"/>
  <c r="I111" i="7"/>
  <c r="I111" i="6"/>
  <c r="E111" i="7"/>
  <c r="E111" i="6"/>
  <c r="J110" i="7"/>
  <c r="J110" i="6"/>
  <c r="F110" i="7"/>
  <c r="F110" i="6"/>
  <c r="K109" i="7"/>
  <c r="K109" i="6"/>
  <c r="G109" i="7"/>
  <c r="G109" i="6"/>
  <c r="C109" i="7"/>
  <c r="C109" i="6"/>
  <c r="H108" i="7"/>
  <c r="H108" i="6"/>
  <c r="D108" i="7"/>
  <c r="D108" i="6"/>
  <c r="I107" i="7"/>
  <c r="I107" i="6"/>
  <c r="E107" i="7"/>
  <c r="E107" i="6"/>
  <c r="J106" i="7"/>
  <c r="J106" i="6"/>
  <c r="F106" i="7"/>
  <c r="F106" i="6"/>
  <c r="K105" i="7"/>
  <c r="K105" i="6"/>
  <c r="G105" i="7"/>
  <c r="G105" i="6"/>
  <c r="C105" i="7"/>
  <c r="C105" i="6"/>
  <c r="H104" i="7"/>
  <c r="H104" i="6"/>
  <c r="D104" i="7"/>
  <c r="D104" i="6"/>
  <c r="E101" i="7"/>
  <c r="E101" i="6"/>
  <c r="K99" i="6"/>
  <c r="K99" i="7"/>
  <c r="G99" i="7"/>
  <c r="G99" i="6"/>
  <c r="C99" i="7"/>
  <c r="C99" i="6"/>
  <c r="H98" i="7"/>
  <c r="H98" i="6"/>
  <c r="D98" i="7"/>
  <c r="D98" i="6"/>
  <c r="I97" i="7"/>
  <c r="E97" i="7"/>
  <c r="E97" i="6"/>
  <c r="J96" i="7"/>
  <c r="J96" i="6"/>
  <c r="F96" i="7"/>
  <c r="F96" i="6"/>
  <c r="K95" i="7"/>
  <c r="K95" i="6"/>
  <c r="G95" i="7"/>
  <c r="G95" i="6"/>
  <c r="C95" i="7"/>
  <c r="C95" i="6"/>
  <c r="D93" i="7"/>
  <c r="D93" i="6"/>
  <c r="E92" i="7"/>
  <c r="E92" i="6"/>
  <c r="J91" i="6"/>
  <c r="J91" i="7"/>
  <c r="F91" i="7"/>
  <c r="F91" i="6"/>
  <c r="K90" i="7"/>
  <c r="K90" i="6"/>
  <c r="G90" i="7"/>
  <c r="G90" i="6"/>
  <c r="C90" i="7"/>
  <c r="C90" i="6"/>
  <c r="H89" i="7"/>
  <c r="H89" i="6"/>
  <c r="D89" i="7"/>
  <c r="D89" i="6"/>
  <c r="I88" i="7"/>
  <c r="E88" i="7"/>
  <c r="E88" i="6"/>
  <c r="J87" i="7"/>
  <c r="J87" i="6"/>
  <c r="F87" i="7"/>
  <c r="F87" i="6"/>
  <c r="K86" i="7"/>
  <c r="K86" i="6"/>
  <c r="G86" i="7"/>
  <c r="G86" i="6"/>
  <c r="C86" i="7"/>
  <c r="C86" i="6"/>
  <c r="D85" i="7"/>
  <c r="D85" i="6"/>
  <c r="I84" i="7"/>
  <c r="E84" i="7"/>
  <c r="E84" i="6"/>
  <c r="J83" i="7"/>
  <c r="J83" i="6"/>
  <c r="F83" i="7"/>
  <c r="F83" i="6"/>
  <c r="H34" i="7"/>
  <c r="D34" i="7"/>
  <c r="D34" i="6"/>
  <c r="E33" i="6"/>
  <c r="E33" i="7"/>
  <c r="J32" i="7"/>
  <c r="J32" i="6"/>
  <c r="F32" i="7"/>
  <c r="F32" i="6"/>
  <c r="K30" i="7"/>
  <c r="K30" i="6"/>
  <c r="G30" i="7"/>
  <c r="G30" i="6"/>
  <c r="C30" i="7"/>
  <c r="C30" i="6"/>
  <c r="D29" i="6"/>
  <c r="D29" i="7"/>
  <c r="E27" i="7"/>
  <c r="E27" i="6"/>
  <c r="J26" i="7"/>
  <c r="J26" i="6"/>
  <c r="F26" i="6"/>
  <c r="F26" i="7"/>
  <c r="K25" i="6"/>
  <c r="K25" i="7"/>
  <c r="G25" i="7"/>
  <c r="G25" i="6"/>
  <c r="C25" i="6"/>
  <c r="C25" i="7"/>
  <c r="D24" i="6"/>
  <c r="D24" i="7"/>
  <c r="K11" i="6"/>
  <c r="K11" i="7"/>
  <c r="G11" i="6"/>
  <c r="G11" i="7"/>
  <c r="C11" i="6"/>
  <c r="C11" i="7"/>
  <c r="H10" i="7"/>
  <c r="D10" i="6"/>
  <c r="D10" i="7"/>
  <c r="E9" i="6"/>
  <c r="E9" i="7"/>
  <c r="J8" i="6"/>
  <c r="J8" i="7"/>
  <c r="F8" i="6"/>
  <c r="F8" i="7"/>
  <c r="K7" i="6"/>
  <c r="K7" i="7"/>
  <c r="G7" i="6"/>
  <c r="G7" i="7"/>
  <c r="C7" i="6"/>
  <c r="C7" i="7"/>
  <c r="H6" i="6"/>
  <c r="H6" i="7"/>
  <c r="D6" i="6"/>
  <c r="D6" i="7"/>
  <c r="E5" i="6"/>
  <c r="E5" i="7"/>
  <c r="J47" i="7"/>
  <c r="J47" i="6"/>
  <c r="G46" i="7"/>
  <c r="G46" i="6"/>
  <c r="D45" i="7"/>
  <c r="D45" i="6"/>
  <c r="J43" i="7"/>
  <c r="I39" i="7"/>
  <c r="F38" i="7"/>
  <c r="F38" i="6"/>
  <c r="C37" i="7"/>
  <c r="C37" i="6"/>
  <c r="E3" i="5"/>
  <c r="E3" i="7"/>
  <c r="E3" i="6"/>
  <c r="E214" i="7"/>
  <c r="E214" i="6"/>
  <c r="F212" i="7"/>
  <c r="F212" i="6"/>
  <c r="G211" i="7"/>
  <c r="G211" i="6"/>
  <c r="F208" i="7"/>
  <c r="F208" i="6"/>
  <c r="H184" i="7"/>
  <c r="H184" i="6"/>
  <c r="E183" i="7"/>
  <c r="E183" i="6"/>
  <c r="K181" i="7"/>
  <c r="K181" i="6"/>
  <c r="H180" i="7"/>
  <c r="H180" i="6"/>
  <c r="E179" i="7"/>
  <c r="E179" i="6"/>
  <c r="K177" i="7"/>
  <c r="K177" i="6"/>
  <c r="H176" i="7"/>
  <c r="H176" i="6"/>
  <c r="E169" i="7"/>
  <c r="E169" i="6"/>
  <c r="K167" i="7"/>
  <c r="K167" i="6"/>
  <c r="E165" i="7"/>
  <c r="E165" i="6"/>
  <c r="K163" i="7"/>
  <c r="K163" i="6"/>
  <c r="H161" i="7"/>
  <c r="H161" i="6"/>
  <c r="K153" i="7"/>
  <c r="K153" i="6"/>
  <c r="D152" i="7"/>
  <c r="D152" i="6"/>
  <c r="J150" i="7"/>
  <c r="J150" i="6"/>
  <c r="G149" i="7"/>
  <c r="G149" i="6"/>
  <c r="D148" i="7"/>
  <c r="D148" i="6"/>
  <c r="J146" i="7"/>
  <c r="J146" i="6"/>
  <c r="G145" i="7"/>
  <c r="G145" i="6"/>
  <c r="D144" i="7"/>
  <c r="D144" i="6"/>
  <c r="J142" i="7"/>
  <c r="J142" i="6"/>
  <c r="G141" i="7"/>
  <c r="G141" i="6"/>
  <c r="D140" i="7"/>
  <c r="D140" i="6"/>
  <c r="J138" i="7"/>
  <c r="J138" i="6"/>
  <c r="H136" i="7"/>
  <c r="H136" i="6"/>
  <c r="E135" i="7"/>
  <c r="E135" i="6"/>
  <c r="K133" i="7"/>
  <c r="K133" i="6"/>
  <c r="H132" i="7"/>
  <c r="H132" i="6"/>
  <c r="E131" i="7"/>
  <c r="E131" i="6"/>
  <c r="K129" i="7"/>
  <c r="K129" i="6"/>
  <c r="D128" i="7"/>
  <c r="D128" i="6"/>
  <c r="F126" i="7"/>
  <c r="F126" i="6"/>
  <c r="C125" i="7"/>
  <c r="C125" i="6"/>
  <c r="I123" i="7"/>
  <c r="I123" i="6"/>
  <c r="F122" i="7"/>
  <c r="F122" i="6"/>
  <c r="C121" i="7"/>
  <c r="C121" i="6"/>
  <c r="I119" i="7"/>
  <c r="I119" i="6"/>
  <c r="F118" i="7"/>
  <c r="F118" i="6"/>
  <c r="C116" i="7"/>
  <c r="C116" i="6"/>
  <c r="F113" i="7"/>
  <c r="F113" i="6"/>
  <c r="C112" i="7"/>
  <c r="C112" i="6"/>
  <c r="F109" i="7"/>
  <c r="F109" i="6"/>
  <c r="E106" i="7"/>
  <c r="E106" i="6"/>
  <c r="G104" i="7"/>
  <c r="G104" i="6"/>
  <c r="D101" i="7"/>
  <c r="D101" i="6"/>
  <c r="J81" i="7"/>
  <c r="J81" i="6"/>
  <c r="E78" i="7"/>
  <c r="E78" i="6"/>
  <c r="K76" i="7"/>
  <c r="K76" i="6"/>
  <c r="H75" i="7"/>
  <c r="J73" i="7"/>
  <c r="J73" i="6"/>
  <c r="D70" i="7"/>
  <c r="D70" i="6"/>
  <c r="J67" i="7"/>
  <c r="J67" i="6"/>
  <c r="G66" i="7"/>
  <c r="G66" i="6"/>
  <c r="D65" i="7"/>
  <c r="D65" i="6"/>
  <c r="J61" i="7"/>
  <c r="J61" i="6"/>
  <c r="G60" i="7"/>
  <c r="G60" i="6"/>
  <c r="D59" i="7"/>
  <c r="D59" i="6"/>
  <c r="J57" i="7"/>
  <c r="J57" i="6"/>
  <c r="G56" i="7"/>
  <c r="G56" i="6"/>
  <c r="D55" i="7"/>
  <c r="D55" i="6"/>
  <c r="J53" i="7"/>
  <c r="J53" i="6"/>
  <c r="G52" i="7"/>
  <c r="G52" i="6"/>
  <c r="E50" i="7"/>
  <c r="E50" i="6"/>
  <c r="K48" i="7"/>
  <c r="K48" i="6"/>
  <c r="F46" i="7"/>
  <c r="F46" i="6"/>
  <c r="D37" i="7"/>
  <c r="D37" i="6"/>
  <c r="C211" i="6"/>
  <c r="J43" i="6"/>
  <c r="I34" i="7"/>
  <c r="E34" i="7"/>
  <c r="E34" i="6"/>
  <c r="J33" i="7"/>
  <c r="J33" i="6"/>
  <c r="F33" i="7"/>
  <c r="F33" i="6"/>
  <c r="K32" i="7"/>
  <c r="K32" i="6"/>
  <c r="G32" i="7"/>
  <c r="G32" i="6"/>
  <c r="C32" i="7"/>
  <c r="C32" i="6"/>
  <c r="H30" i="7"/>
  <c r="H30" i="6"/>
  <c r="D30" i="7"/>
  <c r="D30" i="6"/>
  <c r="I29" i="7"/>
  <c r="I29" i="6"/>
  <c r="E29" i="6"/>
  <c r="E29" i="7"/>
  <c r="J27" i="6"/>
  <c r="J27" i="7"/>
  <c r="F27" i="6"/>
  <c r="F27" i="7"/>
  <c r="K26" i="6"/>
  <c r="K26" i="7"/>
  <c r="G26" i="6"/>
  <c r="G26" i="7"/>
  <c r="C26" i="6"/>
  <c r="C26" i="7"/>
  <c r="D25" i="6"/>
  <c r="D25" i="7"/>
  <c r="I24" i="6"/>
  <c r="I24" i="7"/>
  <c r="E24" i="6"/>
  <c r="E24" i="7"/>
  <c r="J22" i="6"/>
  <c r="J22" i="7"/>
  <c r="F22" i="6"/>
  <c r="F22" i="7"/>
  <c r="K21" i="6"/>
  <c r="K21" i="7"/>
  <c r="G21" i="6"/>
  <c r="G21" i="7"/>
  <c r="D20" i="6"/>
  <c r="D20" i="7"/>
  <c r="I19" i="6"/>
  <c r="I19" i="7"/>
  <c r="E19" i="6"/>
  <c r="E19" i="7"/>
  <c r="J18" i="6"/>
  <c r="J18" i="7"/>
  <c r="F18" i="6"/>
  <c r="F18" i="7"/>
  <c r="K17" i="6"/>
  <c r="K17" i="7"/>
  <c r="G17" i="6"/>
  <c r="G17" i="7"/>
  <c r="C17" i="6"/>
  <c r="C17" i="7"/>
  <c r="E209" i="6"/>
  <c r="I48" i="6"/>
  <c r="K46" i="7"/>
  <c r="K46" i="6"/>
  <c r="I44" i="7"/>
  <c r="I44" i="6"/>
  <c r="F43" i="7"/>
  <c r="F43" i="6"/>
  <c r="J38" i="7"/>
  <c r="J38" i="6"/>
  <c r="H36" i="7"/>
  <c r="H36" i="6"/>
  <c r="I209" i="7"/>
  <c r="I209" i="6"/>
  <c r="E205" i="7"/>
  <c r="E205" i="6"/>
  <c r="D184" i="7"/>
  <c r="D184" i="6"/>
  <c r="J182" i="7"/>
  <c r="J182" i="6"/>
  <c r="C181" i="7"/>
  <c r="C181" i="6"/>
  <c r="I179" i="7"/>
  <c r="I179" i="6"/>
  <c r="J178" i="7"/>
  <c r="J178" i="6"/>
  <c r="G177" i="7"/>
  <c r="G177" i="6"/>
  <c r="D176" i="7"/>
  <c r="D176" i="6"/>
  <c r="D170" i="7"/>
  <c r="D170" i="6"/>
  <c r="J168" i="7"/>
  <c r="J168" i="6"/>
  <c r="G167" i="7"/>
  <c r="G167" i="6"/>
  <c r="D166" i="7"/>
  <c r="D166" i="6"/>
  <c r="F164" i="7"/>
  <c r="F164" i="6"/>
  <c r="G158" i="7"/>
  <c r="G158" i="6"/>
  <c r="F154" i="7"/>
  <c r="F154" i="6"/>
  <c r="C153" i="6"/>
  <c r="I151" i="7"/>
  <c r="I151" i="6"/>
  <c r="F150" i="7"/>
  <c r="F150" i="6"/>
  <c r="I147" i="7"/>
  <c r="I147" i="6"/>
  <c r="F146" i="7"/>
  <c r="F146" i="6"/>
  <c r="C145" i="7"/>
  <c r="C145" i="6"/>
  <c r="E143" i="7"/>
  <c r="E143" i="6"/>
  <c r="K141" i="7"/>
  <c r="K141" i="6"/>
  <c r="C141" i="7"/>
  <c r="C141" i="6"/>
  <c r="I139" i="7"/>
  <c r="I139" i="6"/>
  <c r="F138" i="7"/>
  <c r="F138" i="6"/>
  <c r="D136" i="7"/>
  <c r="D136" i="6"/>
  <c r="G133" i="7"/>
  <c r="D132" i="7"/>
  <c r="D132" i="6"/>
  <c r="J130" i="7"/>
  <c r="J130" i="6"/>
  <c r="H128" i="7"/>
  <c r="H128" i="6"/>
  <c r="E127" i="7"/>
  <c r="E127" i="6"/>
  <c r="G125" i="7"/>
  <c r="G125" i="6"/>
  <c r="H124" i="7"/>
  <c r="H124" i="6"/>
  <c r="E123" i="7"/>
  <c r="E123" i="6"/>
  <c r="K121" i="7"/>
  <c r="K121" i="6"/>
  <c r="H120" i="7"/>
  <c r="H120" i="6"/>
  <c r="E119" i="7"/>
  <c r="E119" i="6"/>
  <c r="G116" i="7"/>
  <c r="G116" i="6"/>
  <c r="H115" i="7"/>
  <c r="H115" i="6"/>
  <c r="J113" i="7"/>
  <c r="J113" i="6"/>
  <c r="G112" i="7"/>
  <c r="G112" i="6"/>
  <c r="D111" i="7"/>
  <c r="D111" i="6"/>
  <c r="J109" i="7"/>
  <c r="J109" i="6"/>
  <c r="G108" i="7"/>
  <c r="G108" i="6"/>
  <c r="D107" i="7"/>
  <c r="D107" i="6"/>
  <c r="J105" i="7"/>
  <c r="J105" i="6"/>
  <c r="K104" i="7"/>
  <c r="K104" i="6"/>
  <c r="F81" i="7"/>
  <c r="F81" i="6"/>
  <c r="G80" i="7"/>
  <c r="G80" i="6"/>
  <c r="I78" i="7"/>
  <c r="I78" i="6"/>
  <c r="F77" i="7"/>
  <c r="F77" i="6"/>
  <c r="C76" i="7"/>
  <c r="C76" i="6"/>
  <c r="I74" i="7"/>
  <c r="I74" i="6"/>
  <c r="I69" i="7"/>
  <c r="I69" i="6"/>
  <c r="F67" i="7"/>
  <c r="F67" i="6"/>
  <c r="C66" i="7"/>
  <c r="C66" i="6"/>
  <c r="F61" i="7"/>
  <c r="F61" i="6"/>
  <c r="C60" i="7"/>
  <c r="C60" i="6"/>
  <c r="I58" i="6"/>
  <c r="K56" i="7"/>
  <c r="K56" i="6"/>
  <c r="H55" i="6"/>
  <c r="F53" i="7"/>
  <c r="F53" i="6"/>
  <c r="C52" i="7"/>
  <c r="C52" i="6"/>
  <c r="F49" i="7"/>
  <c r="F49" i="6"/>
  <c r="D48" i="7"/>
  <c r="D48" i="6"/>
  <c r="G45" i="7"/>
  <c r="G45" i="6"/>
  <c r="J39" i="7"/>
  <c r="J39" i="6"/>
  <c r="C38" i="7"/>
  <c r="C38" i="6"/>
  <c r="G48" i="7"/>
  <c r="G48" i="6"/>
  <c r="C48" i="7"/>
  <c r="C48" i="6"/>
  <c r="H47" i="6"/>
  <c r="D47" i="7"/>
  <c r="D47" i="6"/>
  <c r="I46" i="6"/>
  <c r="E46" i="7"/>
  <c r="E46" i="6"/>
  <c r="J45" i="7"/>
  <c r="J45" i="6"/>
  <c r="F45" i="7"/>
  <c r="F45" i="6"/>
  <c r="K44" i="7"/>
  <c r="K44" i="6"/>
  <c r="G44" i="7"/>
  <c r="G44" i="6"/>
  <c r="C44" i="7"/>
  <c r="C44" i="6"/>
  <c r="H43" i="7"/>
  <c r="H43" i="6"/>
  <c r="D43" i="7"/>
  <c r="D43" i="6"/>
  <c r="K39" i="7"/>
  <c r="K39" i="6"/>
  <c r="G39" i="7"/>
  <c r="G39" i="6"/>
  <c r="C39" i="7"/>
  <c r="C39" i="6"/>
  <c r="D38" i="7"/>
  <c r="D38" i="6"/>
  <c r="E37" i="7"/>
  <c r="E37" i="6"/>
  <c r="J36" i="7"/>
  <c r="J36" i="6"/>
  <c r="F36" i="7"/>
  <c r="F36" i="6"/>
  <c r="E22" i="6"/>
  <c r="E22" i="7"/>
  <c r="J21" i="7"/>
  <c r="J21" i="6"/>
  <c r="F21" i="6"/>
  <c r="F21" i="7"/>
  <c r="K20" i="7"/>
  <c r="K20" i="6"/>
  <c r="G20" i="6"/>
  <c r="G20" i="7"/>
  <c r="C20" i="7"/>
  <c r="C20" i="6"/>
  <c r="H19" i="7"/>
  <c r="D19" i="7"/>
  <c r="D19" i="6"/>
  <c r="E18" i="7"/>
  <c r="J17" i="6"/>
  <c r="J17" i="7"/>
  <c r="F17" i="7"/>
  <c r="F17" i="6"/>
  <c r="J12" i="6"/>
  <c r="J12" i="7"/>
  <c r="F12" i="6"/>
  <c r="F12" i="7"/>
  <c r="G207" i="6"/>
  <c r="E156" i="6"/>
  <c r="E48" i="7"/>
  <c r="E48" i="6"/>
  <c r="F47" i="7"/>
  <c r="F47" i="6"/>
  <c r="C46" i="7"/>
  <c r="C46" i="6"/>
  <c r="E44" i="7"/>
  <c r="E44" i="6"/>
  <c r="E39" i="7"/>
  <c r="E39" i="6"/>
  <c r="K37" i="7"/>
  <c r="K37" i="6"/>
  <c r="D36" i="7"/>
  <c r="D36" i="6"/>
  <c r="D12" i="7"/>
  <c r="D12" i="6"/>
  <c r="I3" i="6"/>
  <c r="K211" i="7"/>
  <c r="K211" i="6"/>
  <c r="H210" i="6"/>
  <c r="D210" i="7"/>
  <c r="D210" i="6"/>
  <c r="J208" i="7"/>
  <c r="J208" i="6"/>
  <c r="K207" i="7"/>
  <c r="K207" i="6"/>
  <c r="C207" i="7"/>
  <c r="C207" i="6"/>
  <c r="D206" i="7"/>
  <c r="D206" i="6"/>
  <c r="I183" i="7"/>
  <c r="I183" i="6"/>
  <c r="F182" i="7"/>
  <c r="F182" i="6"/>
  <c r="G181" i="7"/>
  <c r="G181" i="6"/>
  <c r="D180" i="7"/>
  <c r="D180" i="6"/>
  <c r="F178" i="7"/>
  <c r="F178" i="6"/>
  <c r="C177" i="7"/>
  <c r="C177" i="6"/>
  <c r="I169" i="7"/>
  <c r="I169" i="6"/>
  <c r="F168" i="7"/>
  <c r="F168" i="6"/>
  <c r="J164" i="7"/>
  <c r="J164" i="6"/>
  <c r="G163" i="7"/>
  <c r="G163" i="6"/>
  <c r="D161" i="7"/>
  <c r="D161" i="6"/>
  <c r="E160" i="7"/>
  <c r="E160" i="6"/>
  <c r="K158" i="7"/>
  <c r="K158" i="6"/>
  <c r="C158" i="7"/>
  <c r="C158" i="6"/>
  <c r="D157" i="7"/>
  <c r="D157" i="6"/>
  <c r="J154" i="7"/>
  <c r="J154" i="6"/>
  <c r="G153" i="7"/>
  <c r="G153" i="6"/>
  <c r="H152" i="7"/>
  <c r="H152" i="6"/>
  <c r="K149" i="7"/>
  <c r="K149" i="6"/>
  <c r="H148" i="7"/>
  <c r="H148" i="6"/>
  <c r="K145" i="7"/>
  <c r="K145" i="6"/>
  <c r="H144" i="7"/>
  <c r="H144" i="6"/>
  <c r="I143" i="7"/>
  <c r="I143" i="6"/>
  <c r="F142" i="7"/>
  <c r="F142" i="6"/>
  <c r="H140" i="7"/>
  <c r="H140" i="6"/>
  <c r="E139" i="7"/>
  <c r="E139" i="6"/>
  <c r="K137" i="7"/>
  <c r="K137" i="6"/>
  <c r="G137" i="7"/>
  <c r="G137" i="6"/>
  <c r="I135" i="7"/>
  <c r="I135" i="6"/>
  <c r="F134" i="7"/>
  <c r="F134" i="6"/>
  <c r="I131" i="7"/>
  <c r="I131" i="6"/>
  <c r="F130" i="7"/>
  <c r="F130" i="6"/>
  <c r="C129" i="7"/>
  <c r="C129" i="6"/>
  <c r="I127" i="7"/>
  <c r="I127" i="6"/>
  <c r="J126" i="7"/>
  <c r="J126" i="6"/>
  <c r="K125" i="7"/>
  <c r="K125" i="6"/>
  <c r="D124" i="7"/>
  <c r="D124" i="6"/>
  <c r="J122" i="7"/>
  <c r="J122" i="6"/>
  <c r="G121" i="7"/>
  <c r="G121" i="6"/>
  <c r="D120" i="7"/>
  <c r="D120" i="6"/>
  <c r="J118" i="7"/>
  <c r="J118" i="6"/>
  <c r="K116" i="7"/>
  <c r="K116" i="6"/>
  <c r="D115" i="7"/>
  <c r="D115" i="6"/>
  <c r="E114" i="7"/>
  <c r="E114" i="6"/>
  <c r="K112" i="7"/>
  <c r="K112" i="6"/>
  <c r="H111" i="7"/>
  <c r="H111" i="6"/>
  <c r="E110" i="7"/>
  <c r="E110" i="6"/>
  <c r="K108" i="7"/>
  <c r="K108" i="6"/>
  <c r="C108" i="7"/>
  <c r="C108" i="6"/>
  <c r="I106" i="6"/>
  <c r="F105" i="7"/>
  <c r="F105" i="6"/>
  <c r="C104" i="7"/>
  <c r="C104" i="6"/>
  <c r="K80" i="7"/>
  <c r="K80" i="6"/>
  <c r="C80" i="7"/>
  <c r="C80" i="6"/>
  <c r="D79" i="7"/>
  <c r="D79" i="6"/>
  <c r="J77" i="7"/>
  <c r="J77" i="6"/>
  <c r="G76" i="7"/>
  <c r="G76" i="6"/>
  <c r="D75" i="7"/>
  <c r="D75" i="6"/>
  <c r="E74" i="7"/>
  <c r="E74" i="6"/>
  <c r="F73" i="7"/>
  <c r="F73" i="6"/>
  <c r="E69" i="7"/>
  <c r="E69" i="6"/>
  <c r="K66" i="7"/>
  <c r="K66" i="6"/>
  <c r="E62" i="7"/>
  <c r="E62" i="6"/>
  <c r="K60" i="7"/>
  <c r="K60" i="6"/>
  <c r="E58" i="7"/>
  <c r="E58" i="6"/>
  <c r="F57" i="7"/>
  <c r="F57" i="6"/>
  <c r="C56" i="7"/>
  <c r="C56" i="6"/>
  <c r="E54" i="7"/>
  <c r="E54" i="6"/>
  <c r="K52" i="7"/>
  <c r="K52" i="6"/>
  <c r="H51" i="6"/>
  <c r="D51" i="7"/>
  <c r="D51" i="6"/>
  <c r="J49" i="7"/>
  <c r="J49" i="6"/>
  <c r="E47" i="7"/>
  <c r="E47" i="6"/>
  <c r="K38" i="7"/>
  <c r="K38" i="6"/>
  <c r="E36" i="7"/>
  <c r="E36" i="6"/>
  <c r="K34" i="7"/>
  <c r="K34" i="6"/>
  <c r="G34" i="7"/>
  <c r="G34" i="6"/>
  <c r="C34" i="7"/>
  <c r="C34" i="6"/>
  <c r="D33" i="7"/>
  <c r="D33" i="6"/>
  <c r="I32" i="6"/>
  <c r="E32" i="7"/>
  <c r="E32" i="6"/>
  <c r="J30" i="7"/>
  <c r="J30" i="6"/>
  <c r="F30" i="7"/>
  <c r="F30" i="6"/>
  <c r="K29" i="7"/>
  <c r="K29" i="6"/>
  <c r="G29" i="7"/>
  <c r="G29" i="6"/>
  <c r="C29" i="7"/>
  <c r="C29" i="6"/>
  <c r="H27" i="7"/>
  <c r="D27" i="7"/>
  <c r="D27" i="6"/>
  <c r="I26" i="6"/>
  <c r="E26" i="7"/>
  <c r="E26" i="6"/>
  <c r="J25" i="7"/>
  <c r="J25" i="6"/>
  <c r="F25" i="7"/>
  <c r="F25" i="6"/>
  <c r="K24" i="7"/>
  <c r="K24" i="6"/>
  <c r="G24" i="7"/>
  <c r="G24" i="6"/>
  <c r="C24" i="7"/>
  <c r="C24" i="6"/>
  <c r="D22" i="7"/>
  <c r="D22" i="6"/>
  <c r="E21" i="7"/>
  <c r="E21" i="6"/>
  <c r="J20" i="7"/>
  <c r="J20" i="6"/>
  <c r="F20" i="7"/>
  <c r="F20" i="6"/>
  <c r="K19" i="7"/>
  <c r="K19" i="6"/>
  <c r="G19" i="7"/>
  <c r="G19" i="6"/>
  <c r="C19" i="7"/>
  <c r="C19" i="6"/>
  <c r="H18" i="6"/>
  <c r="D18" i="7"/>
  <c r="D18" i="6"/>
  <c r="I17" i="6"/>
  <c r="E17" i="7"/>
  <c r="E17" i="6"/>
  <c r="E12" i="6"/>
  <c r="E12" i="7"/>
  <c r="J212" i="6"/>
  <c r="I205" i="6"/>
  <c r="E18" i="6"/>
  <c r="D100" i="6"/>
  <c r="D100" i="7"/>
  <c r="I100" i="7"/>
  <c r="H100" i="6"/>
  <c r="H100" i="7"/>
  <c r="E100" i="7"/>
  <c r="F100" i="6"/>
  <c r="E100" i="6"/>
  <c r="F100" i="7"/>
  <c r="J100" i="7"/>
  <c r="J100" i="6"/>
  <c r="I100" i="6"/>
  <c r="K100" i="6"/>
  <c r="G100" i="6"/>
  <c r="C100" i="6"/>
  <c r="J94" i="6"/>
  <c r="J94" i="7"/>
  <c r="F94" i="6"/>
  <c r="F94" i="7"/>
  <c r="I94" i="6"/>
  <c r="E94" i="6"/>
  <c r="C94" i="7"/>
  <c r="G94" i="7"/>
  <c r="K94" i="7"/>
  <c r="H94" i="6"/>
  <c r="D94" i="6"/>
  <c r="J82" i="7"/>
  <c r="D82" i="7"/>
  <c r="D82" i="6"/>
  <c r="H82" i="6"/>
  <c r="F82" i="7"/>
  <c r="K82" i="6"/>
  <c r="G82" i="6"/>
  <c r="C82" i="6"/>
  <c r="C82" i="7"/>
  <c r="G82" i="7"/>
  <c r="K82" i="7"/>
  <c r="J82" i="6"/>
  <c r="F82" i="6"/>
  <c r="I82" i="6"/>
  <c r="E82" i="6"/>
  <c r="J71" i="6"/>
  <c r="J71" i="7"/>
  <c r="D71" i="7"/>
  <c r="D71" i="6"/>
  <c r="H71" i="6"/>
  <c r="F71" i="6"/>
  <c r="F71" i="7"/>
  <c r="I71" i="6"/>
  <c r="E71" i="6"/>
  <c r="K71" i="6"/>
  <c r="G71" i="6"/>
  <c r="C71" i="6"/>
  <c r="J68" i="6"/>
  <c r="D68" i="6"/>
  <c r="D68" i="7"/>
  <c r="I68" i="7"/>
  <c r="I68" i="6"/>
  <c r="H68" i="6"/>
  <c r="H68" i="7"/>
  <c r="F68" i="6"/>
  <c r="E68" i="7"/>
  <c r="E68" i="6"/>
  <c r="F68" i="7"/>
  <c r="J68" i="7"/>
  <c r="K68" i="6"/>
  <c r="G68" i="6"/>
  <c r="C68" i="6"/>
  <c r="J64" i="7"/>
  <c r="J64" i="6"/>
  <c r="C64" i="6"/>
  <c r="C64" i="7"/>
  <c r="D64" i="7"/>
  <c r="H64" i="7"/>
  <c r="G64" i="6"/>
  <c r="G64" i="7"/>
  <c r="F64" i="6"/>
  <c r="F64" i="7"/>
  <c r="K64" i="6"/>
  <c r="K64" i="7"/>
  <c r="E64" i="6"/>
  <c r="H64" i="6"/>
  <c r="D64" i="6"/>
  <c r="G203" i="7"/>
  <c r="G203" i="6"/>
  <c r="C203" i="7"/>
  <c r="C203" i="6"/>
  <c r="K203" i="7"/>
  <c r="K203" i="6"/>
  <c r="I203" i="6"/>
  <c r="I203" i="7"/>
  <c r="E203" i="6"/>
  <c r="E203" i="7"/>
  <c r="J203" i="6"/>
  <c r="F203" i="6"/>
  <c r="F203" i="7"/>
  <c r="J203" i="7"/>
  <c r="D203" i="6"/>
  <c r="D41" i="6"/>
  <c r="D41" i="7"/>
  <c r="K41" i="7"/>
  <c r="K41" i="6"/>
  <c r="G41" i="7"/>
  <c r="G41" i="6"/>
  <c r="C41" i="7"/>
  <c r="C41" i="6"/>
  <c r="J41" i="6"/>
  <c r="J41" i="7"/>
  <c r="I41" i="7"/>
  <c r="I41" i="6"/>
  <c r="E41" i="7"/>
  <c r="E41" i="6"/>
  <c r="F41" i="7"/>
  <c r="F41" i="6"/>
  <c r="J187" i="6"/>
  <c r="J187" i="7"/>
  <c r="D187" i="7"/>
  <c r="F187" i="6"/>
  <c r="F187" i="7"/>
  <c r="I187" i="6"/>
  <c r="D187" i="6"/>
  <c r="C187" i="7"/>
  <c r="G187" i="7"/>
  <c r="K187" i="7"/>
  <c r="J186" i="6"/>
  <c r="J186" i="7"/>
  <c r="I186" i="6"/>
  <c r="F186" i="6"/>
  <c r="F186" i="7"/>
  <c r="E186" i="7"/>
  <c r="E186" i="6"/>
  <c r="H186" i="6"/>
  <c r="D186" i="6"/>
  <c r="C186" i="7"/>
  <c r="G186" i="7"/>
  <c r="K186" i="7"/>
  <c r="K186" i="6"/>
  <c r="D186" i="7"/>
  <c r="H186" i="7"/>
  <c r="I185" i="6"/>
  <c r="E185" i="6"/>
  <c r="F185" i="7"/>
  <c r="J185" i="7"/>
  <c r="D185" i="6"/>
  <c r="C185" i="7"/>
  <c r="G185" i="7"/>
  <c r="K185" i="7"/>
  <c r="K185" i="6"/>
  <c r="G185" i="6"/>
  <c r="C185" i="6"/>
  <c r="J172" i="6"/>
  <c r="J172" i="7"/>
  <c r="H172" i="7"/>
  <c r="H172" i="6"/>
  <c r="E172" i="6"/>
  <c r="D172" i="7"/>
  <c r="D172" i="6"/>
  <c r="F172" i="7"/>
  <c r="C172" i="7"/>
  <c r="G172" i="7"/>
  <c r="K172" i="7"/>
  <c r="J171" i="6"/>
  <c r="J171" i="7"/>
  <c r="F171" i="7"/>
  <c r="D171" i="6"/>
  <c r="C171" i="7"/>
  <c r="G171" i="7"/>
  <c r="K171" i="7"/>
  <c r="I171" i="6"/>
  <c r="D102" i="7"/>
  <c r="D102" i="6"/>
  <c r="H102" i="6"/>
  <c r="J103" i="6"/>
  <c r="F103" i="6"/>
  <c r="F103" i="7"/>
  <c r="J103" i="7"/>
  <c r="I103" i="6"/>
  <c r="E103" i="6"/>
  <c r="C103" i="7"/>
  <c r="G103" i="7"/>
  <c r="K103" i="7"/>
  <c r="D103" i="6"/>
  <c r="F102" i="7"/>
  <c r="K102" i="6"/>
  <c r="G102" i="6"/>
  <c r="C102" i="6"/>
  <c r="C102" i="7"/>
  <c r="G102" i="7"/>
  <c r="K102" i="7"/>
  <c r="F102" i="6"/>
  <c r="E102" i="6"/>
  <c r="I40" i="6"/>
  <c r="E40" i="6"/>
  <c r="E40" i="7"/>
  <c r="I40" i="7"/>
  <c r="D40" i="6"/>
  <c r="F40" i="7"/>
  <c r="J40" i="7"/>
  <c r="K40" i="6"/>
  <c r="G40" i="6"/>
  <c r="C40" i="6"/>
  <c r="E35" i="7"/>
  <c r="I35" i="7"/>
  <c r="D35" i="6"/>
  <c r="F35" i="7"/>
  <c r="J35" i="7"/>
  <c r="K35" i="6"/>
  <c r="G35" i="6"/>
  <c r="C35" i="6"/>
  <c r="C35" i="7"/>
  <c r="G35" i="7"/>
  <c r="K35" i="7"/>
  <c r="H31" i="6"/>
  <c r="D31" i="6"/>
  <c r="K31" i="6"/>
  <c r="G31" i="6"/>
  <c r="C31" i="6"/>
  <c r="J31" i="6"/>
  <c r="F31" i="6"/>
  <c r="J28" i="6"/>
  <c r="J28" i="7"/>
  <c r="F28" i="7"/>
  <c r="F28" i="6"/>
  <c r="I28" i="6"/>
  <c r="E28" i="6"/>
  <c r="C28" i="7"/>
  <c r="G28" i="7"/>
  <c r="K28" i="7"/>
  <c r="D28" i="6"/>
  <c r="J23" i="6"/>
  <c r="J23" i="7"/>
  <c r="D23" i="7"/>
  <c r="H23" i="7"/>
  <c r="F23" i="7"/>
  <c r="F23" i="6"/>
  <c r="E23" i="6"/>
  <c r="C23" i="7"/>
  <c r="G23" i="7"/>
  <c r="K23" i="7"/>
  <c r="H23" i="6"/>
  <c r="D23" i="6"/>
  <c r="C14" i="7"/>
  <c r="C14" i="6"/>
  <c r="D14" i="7"/>
  <c r="H14" i="7"/>
  <c r="G14" i="7"/>
  <c r="G14" i="6"/>
  <c r="E14" i="7"/>
  <c r="K14" i="7"/>
  <c r="K14" i="6"/>
  <c r="J14" i="6"/>
  <c r="F14" i="6"/>
  <c r="F14" i="7"/>
  <c r="E14" i="6"/>
  <c r="D14" i="6"/>
  <c r="J13" i="6"/>
  <c r="J13" i="7"/>
  <c r="F13" i="7"/>
  <c r="F13" i="6"/>
  <c r="E13" i="6"/>
  <c r="C13" i="7"/>
  <c r="K13" i="7"/>
  <c r="D13" i="6"/>
  <c r="J4" i="6"/>
  <c r="F4" i="6"/>
  <c r="F4" i="7"/>
  <c r="J4" i="7"/>
  <c r="I4" i="6"/>
  <c r="E4" i="6"/>
  <c r="C4" i="7"/>
  <c r="G4" i="7"/>
  <c r="K4" i="7"/>
  <c r="H4" i="6"/>
  <c r="D4" i="6"/>
  <c r="L76" i="5" l="1"/>
  <c r="L80" i="5"/>
  <c r="L92" i="5"/>
  <c r="L128" i="5"/>
  <c r="L140" i="5"/>
  <c r="L202" i="5"/>
  <c r="L25" i="5"/>
  <c r="L41" i="5"/>
  <c r="L120" i="5"/>
  <c r="L201" i="5"/>
  <c r="L290" i="5"/>
  <c r="L115" i="5"/>
  <c r="L136" i="5"/>
  <c r="L96" i="5"/>
  <c r="L287" i="7"/>
  <c r="L291" i="5"/>
  <c r="L292" i="7"/>
  <c r="L292" i="5"/>
  <c r="L292" i="6"/>
  <c r="L291" i="6"/>
  <c r="L291" i="7"/>
  <c r="L290" i="6"/>
  <c r="L290" i="7"/>
  <c r="L289" i="5"/>
  <c r="L289" i="6"/>
  <c r="L289" i="7"/>
  <c r="L288" i="7"/>
  <c r="L288" i="5"/>
  <c r="L288" i="6"/>
  <c r="L287" i="5"/>
  <c r="L287" i="6"/>
  <c r="H18" i="7"/>
  <c r="L18" i="7" s="1"/>
  <c r="H210" i="7"/>
  <c r="L210" i="7" s="1"/>
  <c r="I3" i="7"/>
  <c r="H10" i="6"/>
  <c r="H133" i="6"/>
  <c r="H141" i="6"/>
  <c r="I193" i="7"/>
  <c r="H198" i="7"/>
  <c r="H46" i="7"/>
  <c r="I77" i="7"/>
  <c r="I85" i="6"/>
  <c r="I89" i="7"/>
  <c r="L89" i="7" s="1"/>
  <c r="H95" i="7"/>
  <c r="I125" i="6"/>
  <c r="I133" i="6"/>
  <c r="I141" i="6"/>
  <c r="H150" i="6"/>
  <c r="I158" i="6"/>
  <c r="H199" i="6"/>
  <c r="H110" i="7"/>
  <c r="I126" i="7"/>
  <c r="I176" i="7"/>
  <c r="H177" i="7"/>
  <c r="H50" i="6"/>
  <c r="L137" i="5"/>
  <c r="L97" i="5"/>
  <c r="L106" i="5"/>
  <c r="L110" i="5"/>
  <c r="L145" i="5"/>
  <c r="L210" i="5"/>
  <c r="I247" i="7"/>
  <c r="L247" i="7" s="1"/>
  <c r="H252" i="7"/>
  <c r="L154" i="5"/>
  <c r="H280" i="5"/>
  <c r="H285" i="6"/>
  <c r="L285" i="6" s="1"/>
  <c r="I276" i="6"/>
  <c r="H14" i="6"/>
  <c r="I35" i="6"/>
  <c r="J102" i="7"/>
  <c r="E147" i="6"/>
  <c r="H206" i="6"/>
  <c r="H45" i="6"/>
  <c r="H133" i="7"/>
  <c r="H141" i="7"/>
  <c r="L141" i="7" s="1"/>
  <c r="H179" i="6"/>
  <c r="H202" i="6"/>
  <c r="L202" i="6" s="1"/>
  <c r="H46" i="6"/>
  <c r="L46" i="6" s="1"/>
  <c r="H52" i="6"/>
  <c r="H60" i="7"/>
  <c r="I125" i="7"/>
  <c r="L125" i="7" s="1"/>
  <c r="I133" i="7"/>
  <c r="I141" i="7"/>
  <c r="H150" i="7"/>
  <c r="I158" i="7"/>
  <c r="L158" i="7" s="1"/>
  <c r="H199" i="7"/>
  <c r="H106" i="6"/>
  <c r="I122" i="7"/>
  <c r="I138" i="7"/>
  <c r="L138" i="7" s="1"/>
  <c r="I150" i="7"/>
  <c r="L150" i="7" s="1"/>
  <c r="H50" i="7"/>
  <c r="L207" i="5"/>
  <c r="I247" i="5"/>
  <c r="L252" i="5"/>
  <c r="H276" i="6"/>
  <c r="H286" i="5"/>
  <c r="L286" i="5" s="1"/>
  <c r="H102" i="7"/>
  <c r="L102" i="7" s="1"/>
  <c r="H171" i="7"/>
  <c r="H41" i="6"/>
  <c r="H82" i="7"/>
  <c r="I156" i="6"/>
  <c r="L156" i="6" s="1"/>
  <c r="H206" i="7"/>
  <c r="I97" i="6"/>
  <c r="H137" i="6"/>
  <c r="H202" i="7"/>
  <c r="I55" i="7"/>
  <c r="H105" i="6"/>
  <c r="L105" i="6" s="1"/>
  <c r="I121" i="7"/>
  <c r="L121" i="7" s="1"/>
  <c r="I129" i="6"/>
  <c r="I137" i="6"/>
  <c r="I145" i="6"/>
  <c r="H154" i="6"/>
  <c r="L154" i="6" s="1"/>
  <c r="H207" i="6"/>
  <c r="I212" i="6"/>
  <c r="H21" i="6"/>
  <c r="I86" i="6"/>
  <c r="I99" i="7"/>
  <c r="H106" i="7"/>
  <c r="H214" i="6"/>
  <c r="L214" i="6" s="1"/>
  <c r="I243" i="6"/>
  <c r="L121" i="5"/>
  <c r="L125" i="5"/>
  <c r="H215" i="7"/>
  <c r="L198" i="5"/>
  <c r="L206" i="5"/>
  <c r="L214" i="5"/>
  <c r="L89" i="5"/>
  <c r="L111" i="5"/>
  <c r="I279" i="5"/>
  <c r="L286" i="6"/>
  <c r="L286" i="7"/>
  <c r="L285" i="5"/>
  <c r="L285" i="7"/>
  <c r="L284" i="7"/>
  <c r="L284" i="5"/>
  <c r="L284" i="6"/>
  <c r="L283" i="6"/>
  <c r="L283" i="5"/>
  <c r="L283" i="7"/>
  <c r="I274" i="7"/>
  <c r="L274" i="7" s="1"/>
  <c r="H281" i="7"/>
  <c r="L281" i="7" s="1"/>
  <c r="H281" i="5"/>
  <c r="L281" i="5" s="1"/>
  <c r="I282" i="5"/>
  <c r="I275" i="5"/>
  <c r="I275" i="6"/>
  <c r="L275" i="6" s="1"/>
  <c r="H278" i="5"/>
  <c r="L278" i="5" s="1"/>
  <c r="H278" i="7"/>
  <c r="L278" i="7" s="1"/>
  <c r="H275" i="7"/>
  <c r="H274" i="5"/>
  <c r="L274" i="5" s="1"/>
  <c r="H274" i="6"/>
  <c r="L274" i="6" s="1"/>
  <c r="I280" i="5"/>
  <c r="I280" i="6"/>
  <c r="H282" i="5"/>
  <c r="H282" i="7"/>
  <c r="L282" i="7" s="1"/>
  <c r="H277" i="6"/>
  <c r="L277" i="6" s="1"/>
  <c r="H277" i="7"/>
  <c r="L277" i="7" s="1"/>
  <c r="L279" i="7"/>
  <c r="L276" i="7"/>
  <c r="L265" i="6"/>
  <c r="L251" i="6"/>
  <c r="L266" i="5"/>
  <c r="L147" i="5"/>
  <c r="L212" i="5"/>
  <c r="L265" i="5"/>
  <c r="L268" i="7"/>
  <c r="L273" i="6"/>
  <c r="L251" i="5"/>
  <c r="L10" i="5"/>
  <c r="L18" i="5"/>
  <c r="L46" i="5"/>
  <c r="L50" i="5"/>
  <c r="L205" i="5"/>
  <c r="L270" i="7"/>
  <c r="L282" i="6"/>
  <c r="L281" i="6"/>
  <c r="L280" i="7"/>
  <c r="L280" i="6"/>
  <c r="L279" i="5"/>
  <c r="L279" i="6"/>
  <c r="L278" i="6"/>
  <c r="L277" i="5"/>
  <c r="L276" i="5"/>
  <c r="L276" i="6"/>
  <c r="L275" i="7"/>
  <c r="L275" i="5"/>
  <c r="L267" i="5"/>
  <c r="L267" i="6"/>
  <c r="L269" i="7"/>
  <c r="L272" i="7"/>
  <c r="L267" i="7"/>
  <c r="L273" i="5"/>
  <c r="L272" i="6"/>
  <c r="L269" i="6"/>
  <c r="L273" i="7"/>
  <c r="L272" i="5"/>
  <c r="L266" i="7"/>
  <c r="L266" i="6"/>
  <c r="I269" i="5"/>
  <c r="L269" i="5" s="1"/>
  <c r="H270" i="5"/>
  <c r="L270" i="5" s="1"/>
  <c r="H271" i="7"/>
  <c r="H271" i="5"/>
  <c r="H271" i="6"/>
  <c r="H270" i="6"/>
  <c r="L270" i="6" s="1"/>
  <c r="I271" i="7"/>
  <c r="I271" i="6"/>
  <c r="I271" i="5"/>
  <c r="J14" i="7"/>
  <c r="E35" i="6"/>
  <c r="I32" i="7"/>
  <c r="H51" i="7"/>
  <c r="L51" i="7" s="1"/>
  <c r="I165" i="7"/>
  <c r="H19" i="6"/>
  <c r="H47" i="7"/>
  <c r="L47" i="7" s="1"/>
  <c r="H55" i="7"/>
  <c r="L55" i="7" s="1"/>
  <c r="C153" i="7"/>
  <c r="L153" i="7" s="1"/>
  <c r="G37" i="6"/>
  <c r="I9" i="7"/>
  <c r="H85" i="6"/>
  <c r="L85" i="6" s="1"/>
  <c r="I96" i="6"/>
  <c r="H39" i="7"/>
  <c r="H86" i="6"/>
  <c r="I98" i="6"/>
  <c r="L98" i="6" s="1"/>
  <c r="I112" i="6"/>
  <c r="H127" i="6"/>
  <c r="L127" i="6" s="1"/>
  <c r="H135" i="6"/>
  <c r="L135" i="6" s="1"/>
  <c r="I142" i="6"/>
  <c r="I168" i="6"/>
  <c r="I49" i="7"/>
  <c r="H62" i="7"/>
  <c r="I252" i="6"/>
  <c r="H262" i="7"/>
  <c r="I268" i="6"/>
  <c r="L268" i="6" s="1"/>
  <c r="H35" i="6"/>
  <c r="L35" i="6" s="1"/>
  <c r="H187" i="7"/>
  <c r="H27" i="6"/>
  <c r="H38" i="6"/>
  <c r="G37" i="7"/>
  <c r="H34" i="6"/>
  <c r="H85" i="7"/>
  <c r="I120" i="6"/>
  <c r="L120" i="6" s="1"/>
  <c r="I152" i="6"/>
  <c r="L152" i="6" s="1"/>
  <c r="I166" i="6"/>
  <c r="I96" i="7"/>
  <c r="L96" i="7" s="1"/>
  <c r="H11" i="6"/>
  <c r="L11" i="6" s="1"/>
  <c r="H86" i="7"/>
  <c r="I98" i="7"/>
  <c r="L98" i="7" s="1"/>
  <c r="I112" i="7"/>
  <c r="L112" i="7" s="1"/>
  <c r="H127" i="7"/>
  <c r="L127" i="7" s="1"/>
  <c r="I146" i="6"/>
  <c r="H181" i="6"/>
  <c r="L45" i="5"/>
  <c r="L49" i="5"/>
  <c r="L53" i="5"/>
  <c r="I252" i="7"/>
  <c r="I260" i="6"/>
  <c r="L260" i="7"/>
  <c r="H262" i="6"/>
  <c r="I268" i="5"/>
  <c r="L268" i="5" s="1"/>
  <c r="L62" i="5"/>
  <c r="L265" i="7"/>
  <c r="I248" i="5"/>
  <c r="I248" i="7"/>
  <c r="I99" i="6"/>
  <c r="L165" i="7"/>
  <c r="I231" i="7"/>
  <c r="I240" i="6"/>
  <c r="I236" i="6"/>
  <c r="I249" i="5"/>
  <c r="L249" i="5" s="1"/>
  <c r="I249" i="7"/>
  <c r="L14" i="5"/>
  <c r="L22" i="5"/>
  <c r="L38" i="5"/>
  <c r="H249" i="5"/>
  <c r="H249" i="7"/>
  <c r="L251" i="7"/>
  <c r="I176" i="6"/>
  <c r="L176" i="6" s="1"/>
  <c r="H181" i="7"/>
  <c r="L181" i="7" s="1"/>
  <c r="H205" i="6"/>
  <c r="L205" i="6" s="1"/>
  <c r="H244" i="7"/>
  <c r="L244" i="7" s="1"/>
  <c r="L181" i="5"/>
  <c r="I217" i="6"/>
  <c r="H248" i="6"/>
  <c r="H248" i="7"/>
  <c r="I250" i="5"/>
  <c r="L250" i="5" s="1"/>
  <c r="I250" i="7"/>
  <c r="L250" i="7" s="1"/>
  <c r="L252" i="6"/>
  <c r="H261" i="6"/>
  <c r="L261" i="6" s="1"/>
  <c r="I261" i="7"/>
  <c r="L261" i="7" s="1"/>
  <c r="I261" i="5"/>
  <c r="L262" i="6"/>
  <c r="L260" i="6"/>
  <c r="I262" i="5"/>
  <c r="L262" i="5" s="1"/>
  <c r="I262" i="7"/>
  <c r="H261" i="5"/>
  <c r="L261" i="5" s="1"/>
  <c r="L263" i="7"/>
  <c r="L260" i="5"/>
  <c r="L56" i="7"/>
  <c r="L257" i="7"/>
  <c r="L258" i="7"/>
  <c r="L259" i="6"/>
  <c r="L256" i="7"/>
  <c r="L257" i="6"/>
  <c r="L256" i="6"/>
  <c r="L258" i="6"/>
  <c r="L259" i="7"/>
  <c r="L254" i="6"/>
  <c r="L149" i="5"/>
  <c r="L153" i="5"/>
  <c r="L11" i="5"/>
  <c r="L19" i="5"/>
  <c r="L30" i="5"/>
  <c r="L47" i="5"/>
  <c r="L51" i="5"/>
  <c r="L36" i="5"/>
  <c r="I191" i="7"/>
  <c r="I61" i="6"/>
  <c r="H237" i="6"/>
  <c r="L217" i="5"/>
  <c r="I61" i="7"/>
  <c r="H237" i="7"/>
  <c r="I248" i="6"/>
  <c r="H41" i="7"/>
  <c r="L41" i="7" s="1"/>
  <c r="H203" i="6"/>
  <c r="H65" i="6"/>
  <c r="L65" i="6" s="1"/>
  <c r="I37" i="6"/>
  <c r="L101" i="6"/>
  <c r="I156" i="7"/>
  <c r="L156" i="7" s="1"/>
  <c r="H45" i="7"/>
  <c r="H25" i="7"/>
  <c r="L25" i="7" s="1"/>
  <c r="H79" i="6"/>
  <c r="L79" i="6" s="1"/>
  <c r="I114" i="6"/>
  <c r="H211" i="6"/>
  <c r="L211" i="6" s="1"/>
  <c r="H8" i="7"/>
  <c r="L8" i="7" s="1"/>
  <c r="H53" i="6"/>
  <c r="H73" i="6"/>
  <c r="L26" i="5"/>
  <c r="J102" i="6"/>
  <c r="I186" i="7"/>
  <c r="L186" i="7" s="1"/>
  <c r="I21" i="6"/>
  <c r="H44" i="6"/>
  <c r="L44" i="6" s="1"/>
  <c r="E147" i="7"/>
  <c r="L147" i="7" s="1"/>
  <c r="H179" i="7"/>
  <c r="L179" i="7" s="1"/>
  <c r="I85" i="7"/>
  <c r="H105" i="7"/>
  <c r="L105" i="7" s="1"/>
  <c r="H26" i="6"/>
  <c r="H91" i="6"/>
  <c r="L91" i="6" s="1"/>
  <c r="L85" i="5"/>
  <c r="I232" i="6"/>
  <c r="L232" i="6" s="1"/>
  <c r="H171" i="6"/>
  <c r="I21" i="7"/>
  <c r="H44" i="7"/>
  <c r="L44" i="7" s="1"/>
  <c r="H65" i="7"/>
  <c r="L65" i="7" s="1"/>
  <c r="I214" i="7"/>
  <c r="L214" i="7" s="1"/>
  <c r="I18" i="7"/>
  <c r="I37" i="7"/>
  <c r="G129" i="6"/>
  <c r="L129" i="6" s="1"/>
  <c r="H157" i="7"/>
  <c r="I160" i="6"/>
  <c r="C21" i="6"/>
  <c r="H25" i="6"/>
  <c r="L25" i="6" s="1"/>
  <c r="H79" i="7"/>
  <c r="L79" i="7" s="1"/>
  <c r="I114" i="7"/>
  <c r="H170" i="7"/>
  <c r="H12" i="6"/>
  <c r="I5" i="7"/>
  <c r="H24" i="6"/>
  <c r="I33" i="7"/>
  <c r="I144" i="6"/>
  <c r="H183" i="7"/>
  <c r="L183" i="7" s="1"/>
  <c r="H9" i="7"/>
  <c r="H193" i="7"/>
  <c r="L193" i="7" s="1"/>
  <c r="H52" i="7"/>
  <c r="H109" i="6"/>
  <c r="L109" i="6" s="1"/>
  <c r="H191" i="6"/>
  <c r="H211" i="7"/>
  <c r="L211" i="7" s="1"/>
  <c r="H97" i="6"/>
  <c r="L97" i="6" s="1"/>
  <c r="H26" i="7"/>
  <c r="H49" i="7"/>
  <c r="H53" i="7"/>
  <c r="L53" i="7" s="1"/>
  <c r="H81" i="6"/>
  <c r="H91" i="7"/>
  <c r="L91" i="7" s="1"/>
  <c r="I118" i="6"/>
  <c r="H119" i="7"/>
  <c r="L119" i="7" s="1"/>
  <c r="H131" i="6"/>
  <c r="L131" i="6" s="1"/>
  <c r="I45" i="7"/>
  <c r="L86" i="5"/>
  <c r="H234" i="6"/>
  <c r="L234" i="6" s="1"/>
  <c r="H238" i="6"/>
  <c r="L55" i="5"/>
  <c r="H203" i="7"/>
  <c r="L203" i="5"/>
  <c r="L211" i="5"/>
  <c r="H170" i="6"/>
  <c r="H183" i="6"/>
  <c r="L183" i="6" s="1"/>
  <c r="H49" i="6"/>
  <c r="I86" i="7"/>
  <c r="H131" i="7"/>
  <c r="I165" i="6"/>
  <c r="L165" i="6" s="1"/>
  <c r="I50" i="6"/>
  <c r="L50" i="6" s="1"/>
  <c r="G129" i="7"/>
  <c r="L129" i="7" s="1"/>
  <c r="C149" i="7"/>
  <c r="H75" i="6"/>
  <c r="L75" i="6" s="1"/>
  <c r="H12" i="7"/>
  <c r="I5" i="6"/>
  <c r="I22" i="6"/>
  <c r="H24" i="7"/>
  <c r="L24" i="7" s="1"/>
  <c r="I144" i="7"/>
  <c r="L144" i="7" s="1"/>
  <c r="H9" i="6"/>
  <c r="H48" i="6"/>
  <c r="L48" i="6" s="1"/>
  <c r="I55" i="6"/>
  <c r="H60" i="6"/>
  <c r="H95" i="6"/>
  <c r="L95" i="6" s="1"/>
  <c r="H109" i="7"/>
  <c r="L109" i="7" s="1"/>
  <c r="H191" i="7"/>
  <c r="H201" i="6"/>
  <c r="H32" i="6"/>
  <c r="L32" i="6" s="1"/>
  <c r="H81" i="7"/>
  <c r="L81" i="7" s="1"/>
  <c r="I118" i="7"/>
  <c r="L118" i="7" s="1"/>
  <c r="I122" i="6"/>
  <c r="I126" i="6"/>
  <c r="L126" i="6" s="1"/>
  <c r="I134" i="7"/>
  <c r="I138" i="6"/>
  <c r="L138" i="6" s="1"/>
  <c r="H139" i="6"/>
  <c r="I150" i="6"/>
  <c r="L150" i="6" s="1"/>
  <c r="I49" i="6"/>
  <c r="L99" i="5"/>
  <c r="H236" i="6"/>
  <c r="I231" i="6"/>
  <c r="H234" i="7"/>
  <c r="L8" i="5"/>
  <c r="L44" i="5"/>
  <c r="L100" i="5"/>
  <c r="I13" i="5"/>
  <c r="I13" i="7"/>
  <c r="H71" i="7"/>
  <c r="L71" i="7" s="1"/>
  <c r="I17" i="7"/>
  <c r="I26" i="7"/>
  <c r="I106" i="7"/>
  <c r="I18" i="6"/>
  <c r="H38" i="7"/>
  <c r="I46" i="7"/>
  <c r="L46" i="7" s="1"/>
  <c r="I50" i="7"/>
  <c r="I58" i="7"/>
  <c r="J134" i="6"/>
  <c r="C137" i="6"/>
  <c r="I160" i="7"/>
  <c r="L160" i="7" s="1"/>
  <c r="L184" i="6"/>
  <c r="H20" i="7"/>
  <c r="I43" i="6"/>
  <c r="I9" i="6"/>
  <c r="I22" i="7"/>
  <c r="H116" i="7"/>
  <c r="I128" i="6"/>
  <c r="L128" i="6" s="1"/>
  <c r="H145" i="6"/>
  <c r="I189" i="6"/>
  <c r="H3" i="7"/>
  <c r="L3" i="7" s="1"/>
  <c r="I10" i="6"/>
  <c r="I38" i="6"/>
  <c r="I59" i="6"/>
  <c r="I163" i="6"/>
  <c r="L163" i="6" s="1"/>
  <c r="I167" i="7"/>
  <c r="I198" i="6"/>
  <c r="L198" i="6" s="1"/>
  <c r="I206" i="6"/>
  <c r="H97" i="7"/>
  <c r="L97" i="7" s="1"/>
  <c r="I66" i="6"/>
  <c r="L66" i="6" s="1"/>
  <c r="H73" i="7"/>
  <c r="L73" i="7" s="1"/>
  <c r="H87" i="7"/>
  <c r="H123" i="6"/>
  <c r="L123" i="6" s="1"/>
  <c r="H139" i="7"/>
  <c r="L139" i="7" s="1"/>
  <c r="H151" i="6"/>
  <c r="I195" i="6"/>
  <c r="L195" i="6" s="1"/>
  <c r="H54" i="6"/>
  <c r="I232" i="7"/>
  <c r="H238" i="7"/>
  <c r="L176" i="5"/>
  <c r="L27" i="5"/>
  <c r="L43" i="5"/>
  <c r="L24" i="5"/>
  <c r="L191" i="5"/>
  <c r="L237" i="5"/>
  <c r="L35" i="5"/>
  <c r="I23" i="5"/>
  <c r="L23" i="5" s="1"/>
  <c r="I23" i="7"/>
  <c r="L23" i="7" s="1"/>
  <c r="H28" i="5"/>
  <c r="L28" i="5" s="1"/>
  <c r="H28" i="7"/>
  <c r="H40" i="5"/>
  <c r="L40" i="5" s="1"/>
  <c r="H40" i="7"/>
  <c r="L40" i="7" s="1"/>
  <c r="L134" i="5"/>
  <c r="L167" i="5"/>
  <c r="L54" i="5"/>
  <c r="I14" i="7"/>
  <c r="I13" i="6"/>
  <c r="I14" i="6"/>
  <c r="H187" i="6"/>
  <c r="L187" i="6" s="1"/>
  <c r="H22" i="6"/>
  <c r="I54" i="6"/>
  <c r="I62" i="6"/>
  <c r="J134" i="7"/>
  <c r="C137" i="7"/>
  <c r="L137" i="7" s="1"/>
  <c r="H20" i="6"/>
  <c r="I43" i="7"/>
  <c r="I110" i="6"/>
  <c r="L110" i="6" s="1"/>
  <c r="I27" i="7"/>
  <c r="L27" i="7" s="1"/>
  <c r="H29" i="6"/>
  <c r="L29" i="6" s="1"/>
  <c r="I128" i="7"/>
  <c r="L128" i="7" s="1"/>
  <c r="H145" i="7"/>
  <c r="L145" i="7" s="1"/>
  <c r="I189" i="7"/>
  <c r="I200" i="6"/>
  <c r="L200" i="6" s="1"/>
  <c r="I10" i="7"/>
  <c r="L10" i="7" s="1"/>
  <c r="I38" i="7"/>
  <c r="I59" i="7"/>
  <c r="I163" i="7"/>
  <c r="L163" i="7" s="1"/>
  <c r="I198" i="7"/>
  <c r="L198" i="7" s="1"/>
  <c r="I206" i="7"/>
  <c r="I208" i="6"/>
  <c r="I66" i="7"/>
  <c r="L66" i="7" s="1"/>
  <c r="I76" i="6"/>
  <c r="L76" i="6" s="1"/>
  <c r="I80" i="6"/>
  <c r="L80" i="6" s="1"/>
  <c r="H123" i="7"/>
  <c r="L123" i="7" s="1"/>
  <c r="H151" i="7"/>
  <c r="I195" i="7"/>
  <c r="L195" i="7" s="1"/>
  <c r="H54" i="7"/>
  <c r="L32" i="5"/>
  <c r="H233" i="6"/>
  <c r="H242" i="6"/>
  <c r="L242" i="6" s="1"/>
  <c r="L39" i="5"/>
  <c r="L163" i="5"/>
  <c r="L215" i="7"/>
  <c r="L186" i="5"/>
  <c r="L209" i="5"/>
  <c r="H4" i="5"/>
  <c r="H4" i="7"/>
  <c r="H22" i="7"/>
  <c r="I214" i="6"/>
  <c r="I54" i="7"/>
  <c r="I62" i="7"/>
  <c r="G133" i="6"/>
  <c r="L146" i="6"/>
  <c r="C149" i="6"/>
  <c r="L149" i="6" s="1"/>
  <c r="H157" i="6"/>
  <c r="L157" i="6" s="1"/>
  <c r="C21" i="7"/>
  <c r="I34" i="6"/>
  <c r="L34" i="6" s="1"/>
  <c r="I110" i="7"/>
  <c r="L110" i="7" s="1"/>
  <c r="I39" i="6"/>
  <c r="L39" i="6" s="1"/>
  <c r="I27" i="6"/>
  <c r="I33" i="6"/>
  <c r="L33" i="6" s="1"/>
  <c r="I84" i="6"/>
  <c r="I200" i="7"/>
  <c r="L200" i="7" s="1"/>
  <c r="H99" i="6"/>
  <c r="I208" i="7"/>
  <c r="L208" i="7" s="1"/>
  <c r="I76" i="7"/>
  <c r="L76" i="7" s="1"/>
  <c r="I80" i="7"/>
  <c r="L80" i="7" s="1"/>
  <c r="H119" i="6"/>
  <c r="L119" i="6" s="1"/>
  <c r="I134" i="6"/>
  <c r="H233" i="7"/>
  <c r="H242" i="7"/>
  <c r="L9" i="5"/>
  <c r="L165" i="5"/>
  <c r="L34" i="5"/>
  <c r="L58" i="5"/>
  <c r="L195" i="5"/>
  <c r="L215" i="6"/>
  <c r="I31" i="5"/>
  <c r="I31" i="6"/>
  <c r="H114" i="7"/>
  <c r="H114" i="5"/>
  <c r="L114" i="5" s="1"/>
  <c r="I170" i="7"/>
  <c r="I170" i="5"/>
  <c r="L170" i="5" s="1"/>
  <c r="I233" i="7"/>
  <c r="I233" i="5"/>
  <c r="L233" i="5" s="1"/>
  <c r="I241" i="6"/>
  <c r="L241" i="6" s="1"/>
  <c r="I241" i="5"/>
  <c r="L241" i="5" s="1"/>
  <c r="L21" i="5"/>
  <c r="E187" i="7"/>
  <c r="E187" i="5"/>
  <c r="L187" i="5" s="1"/>
  <c r="I6" i="7"/>
  <c r="L6" i="7" s="1"/>
  <c r="I6" i="5"/>
  <c r="L6" i="5" s="1"/>
  <c r="I102" i="7"/>
  <c r="I102" i="5"/>
  <c r="L102" i="5" s="1"/>
  <c r="I180" i="7"/>
  <c r="L180" i="7" s="1"/>
  <c r="I180" i="5"/>
  <c r="L180" i="5" s="1"/>
  <c r="E31" i="6"/>
  <c r="L31" i="6" s="1"/>
  <c r="E31" i="5"/>
  <c r="E171" i="7"/>
  <c r="L171" i="7" s="1"/>
  <c r="E171" i="5"/>
  <c r="L171" i="5" s="1"/>
  <c r="L223" i="5"/>
  <c r="L222" i="5"/>
  <c r="H232" i="7"/>
  <c r="H232" i="5"/>
  <c r="L232" i="5" s="1"/>
  <c r="I242" i="7"/>
  <c r="I242" i="5"/>
  <c r="L242" i="5" s="1"/>
  <c r="I164" i="6"/>
  <c r="I164" i="5"/>
  <c r="L164" i="5" s="1"/>
  <c r="H84" i="6"/>
  <c r="H84" i="5"/>
  <c r="L84" i="5" s="1"/>
  <c r="I113" i="6"/>
  <c r="I113" i="5"/>
  <c r="I116" i="7"/>
  <c r="I116" i="5"/>
  <c r="L116" i="5" s="1"/>
  <c r="H227" i="7"/>
  <c r="H227" i="5"/>
  <c r="H235" i="7"/>
  <c r="H235" i="5"/>
  <c r="L235" i="5" s="1"/>
  <c r="H243" i="6"/>
  <c r="L243" i="6" s="1"/>
  <c r="H243" i="5"/>
  <c r="L243" i="5" s="1"/>
  <c r="H7" i="6"/>
  <c r="L7" i="6" s="1"/>
  <c r="H7" i="5"/>
  <c r="L7" i="5" s="1"/>
  <c r="H59" i="7"/>
  <c r="H59" i="5"/>
  <c r="L59" i="5" s="1"/>
  <c r="H67" i="6"/>
  <c r="L67" i="6" s="1"/>
  <c r="H67" i="5"/>
  <c r="L67" i="5" s="1"/>
  <c r="H77" i="7"/>
  <c r="H77" i="5"/>
  <c r="L77" i="5" s="1"/>
  <c r="I82" i="7"/>
  <c r="I82" i="5"/>
  <c r="L82" i="5" s="1"/>
  <c r="I88" i="6"/>
  <c r="L88" i="6" s="1"/>
  <c r="I88" i="5"/>
  <c r="L88" i="5" s="1"/>
  <c r="L93" i="6"/>
  <c r="L93" i="5"/>
  <c r="H103" i="7"/>
  <c r="H103" i="5"/>
  <c r="H107" i="7"/>
  <c r="H107" i="5"/>
  <c r="L107" i="5" s="1"/>
  <c r="I124" i="6"/>
  <c r="L124" i="6" s="1"/>
  <c r="I124" i="5"/>
  <c r="L124" i="5" s="1"/>
  <c r="I148" i="7"/>
  <c r="L148" i="7" s="1"/>
  <c r="I148" i="5"/>
  <c r="L148" i="5" s="1"/>
  <c r="H189" i="7"/>
  <c r="H189" i="5"/>
  <c r="L189" i="5" s="1"/>
  <c r="I227" i="7"/>
  <c r="I227" i="5"/>
  <c r="L220" i="5"/>
  <c r="I234" i="7"/>
  <c r="I234" i="5"/>
  <c r="L234" i="5" s="1"/>
  <c r="I172" i="7"/>
  <c r="L172" i="7" s="1"/>
  <c r="I172" i="5"/>
  <c r="L172" i="5" s="1"/>
  <c r="I238" i="7"/>
  <c r="I238" i="5"/>
  <c r="L238" i="5" s="1"/>
  <c r="H240" i="7"/>
  <c r="L240" i="7" s="1"/>
  <c r="H240" i="5"/>
  <c r="L240" i="5" s="1"/>
  <c r="L225" i="5"/>
  <c r="L216" i="5"/>
  <c r="H113" i="7"/>
  <c r="L113" i="7" s="1"/>
  <c r="H113" i="5"/>
  <c r="L221" i="5"/>
  <c r="C13" i="6"/>
  <c r="C13" i="5"/>
  <c r="L129" i="5"/>
  <c r="I4" i="7"/>
  <c r="I4" i="5"/>
  <c r="I12" i="7"/>
  <c r="I12" i="5"/>
  <c r="L12" i="5" s="1"/>
  <c r="I20" i="7"/>
  <c r="I20" i="5"/>
  <c r="L20" i="5" s="1"/>
  <c r="H31" i="7"/>
  <c r="L31" i="7" s="1"/>
  <c r="H31" i="5"/>
  <c r="I48" i="7"/>
  <c r="L48" i="7" s="1"/>
  <c r="I48" i="5"/>
  <c r="L48" i="5" s="1"/>
  <c r="I52" i="6"/>
  <c r="L52" i="6" s="1"/>
  <c r="I52" i="5"/>
  <c r="L52" i="5" s="1"/>
  <c r="I56" i="6"/>
  <c r="I56" i="5"/>
  <c r="L56" i="5" s="1"/>
  <c r="I60" i="7"/>
  <c r="I60" i="5"/>
  <c r="L60" i="5" s="1"/>
  <c r="I94" i="7"/>
  <c r="L94" i="7" s="1"/>
  <c r="I94" i="5"/>
  <c r="L94" i="5" s="1"/>
  <c r="E103" i="7"/>
  <c r="E103" i="5"/>
  <c r="L224" i="5"/>
  <c r="H228" i="7"/>
  <c r="H228" i="5"/>
  <c r="I228" i="7"/>
  <c r="I228" i="5"/>
  <c r="I217" i="7"/>
  <c r="L217" i="7" s="1"/>
  <c r="I244" i="6"/>
  <c r="L244" i="6" s="1"/>
  <c r="I244" i="5"/>
  <c r="L244" i="5" s="1"/>
  <c r="L215" i="5"/>
  <c r="L56" i="6"/>
  <c r="I81" i="6"/>
  <c r="I81" i="5"/>
  <c r="L81" i="5" s="1"/>
  <c r="H231" i="7"/>
  <c r="H231" i="5"/>
  <c r="L231" i="5" s="1"/>
  <c r="H239" i="6"/>
  <c r="L239" i="6" s="1"/>
  <c r="H239" i="5"/>
  <c r="L239" i="5" s="1"/>
  <c r="G13" i="6"/>
  <c r="G13" i="5"/>
  <c r="C133" i="7"/>
  <c r="C133" i="5"/>
  <c r="L133" i="5" s="1"/>
  <c r="E151" i="7"/>
  <c r="E151" i="5"/>
  <c r="L151" i="5" s="1"/>
  <c r="H5" i="6"/>
  <c r="H5" i="5"/>
  <c r="L5" i="5" s="1"/>
  <c r="H13" i="7"/>
  <c r="H13" i="5"/>
  <c r="H17" i="7"/>
  <c r="H17" i="5"/>
  <c r="L17" i="5" s="1"/>
  <c r="H33" i="7"/>
  <c r="H33" i="5"/>
  <c r="L33" i="5" s="1"/>
  <c r="H37" i="7"/>
  <c r="H37" i="5"/>
  <c r="L37" i="5" s="1"/>
  <c r="H57" i="7"/>
  <c r="L57" i="7" s="1"/>
  <c r="H57" i="5"/>
  <c r="L57" i="5" s="1"/>
  <c r="H61" i="7"/>
  <c r="H61" i="5"/>
  <c r="L61" i="5" s="1"/>
  <c r="H185" i="7"/>
  <c r="L185" i="7" s="1"/>
  <c r="H185" i="5"/>
  <c r="L185" i="5" s="1"/>
  <c r="L219" i="5"/>
  <c r="L218" i="5"/>
  <c r="H230" i="6"/>
  <c r="H230" i="5"/>
  <c r="I230" i="6"/>
  <c r="I230" i="5"/>
  <c r="L236" i="5"/>
  <c r="L229" i="5"/>
  <c r="L226" i="5"/>
  <c r="L71" i="5"/>
  <c r="H248" i="5"/>
  <c r="L248" i="5" s="1"/>
  <c r="L250" i="6"/>
  <c r="L248" i="6"/>
  <c r="H247" i="6"/>
  <c r="L247" i="6" s="1"/>
  <c r="H247" i="5"/>
  <c r="L247" i="5" s="1"/>
  <c r="H240" i="6"/>
  <c r="I236" i="7"/>
  <c r="L236" i="7" s="1"/>
  <c r="I238" i="6"/>
  <c r="I235" i="6"/>
  <c r="H239" i="7"/>
  <c r="L239" i="7" s="1"/>
  <c r="I237" i="6"/>
  <c r="L237" i="6" s="1"/>
  <c r="I216" i="7"/>
  <c r="I216" i="6"/>
  <c r="L191" i="6"/>
  <c r="L192" i="7"/>
  <c r="L209" i="7"/>
  <c r="I237" i="7"/>
  <c r="H216" i="6"/>
  <c r="H216" i="7"/>
  <c r="L153" i="6"/>
  <c r="I230" i="7"/>
  <c r="H230" i="7"/>
  <c r="I235" i="7"/>
  <c r="I249" i="6"/>
  <c r="L249" i="6" s="1"/>
  <c r="H243" i="7"/>
  <c r="L243" i="7" s="1"/>
  <c r="H224" i="6"/>
  <c r="H224" i="7"/>
  <c r="L224" i="7" s="1"/>
  <c r="H219" i="7"/>
  <c r="L219" i="7" s="1"/>
  <c r="H219" i="6"/>
  <c r="H222" i="7"/>
  <c r="L222" i="7" s="1"/>
  <c r="H222" i="6"/>
  <c r="L217" i="6"/>
  <c r="H228" i="6"/>
  <c r="H223" i="6"/>
  <c r="H223" i="7"/>
  <c r="L223" i="7" s="1"/>
  <c r="H221" i="6"/>
  <c r="H221" i="7"/>
  <c r="L221" i="7" s="1"/>
  <c r="H218" i="7"/>
  <c r="L218" i="7" s="1"/>
  <c r="H218" i="6"/>
  <c r="H226" i="7"/>
  <c r="L226" i="7" s="1"/>
  <c r="H226" i="6"/>
  <c r="H225" i="6"/>
  <c r="H225" i="7"/>
  <c r="L225" i="7" s="1"/>
  <c r="H220" i="6"/>
  <c r="H220" i="7"/>
  <c r="L220" i="7" s="1"/>
  <c r="I228" i="6"/>
  <c r="I229" i="6"/>
  <c r="I229" i="7"/>
  <c r="H229" i="6"/>
  <c r="H229" i="7"/>
  <c r="H231" i="6"/>
  <c r="H227" i="6"/>
  <c r="L227" i="6" s="1"/>
  <c r="H193" i="6"/>
  <c r="L193" i="6" s="1"/>
  <c r="L192" i="6"/>
  <c r="L189" i="6"/>
  <c r="L160" i="6"/>
  <c r="L96" i="6"/>
  <c r="H61" i="6"/>
  <c r="H59" i="6"/>
  <c r="L59" i="6" s="1"/>
  <c r="L58" i="7"/>
  <c r="L58" i="6"/>
  <c r="H57" i="6"/>
  <c r="L57" i="6" s="1"/>
  <c r="L55" i="6"/>
  <c r="L53" i="6"/>
  <c r="L39" i="7"/>
  <c r="L34" i="7"/>
  <c r="H29" i="7"/>
  <c r="L29" i="7" s="1"/>
  <c r="L24" i="6"/>
  <c r="I20" i="6"/>
  <c r="I12" i="6"/>
  <c r="L7" i="7"/>
  <c r="I6" i="6"/>
  <c r="L6" i="6" s="1"/>
  <c r="H5" i="7"/>
  <c r="L5" i="7" s="1"/>
  <c r="L149" i="7"/>
  <c r="I64" i="6"/>
  <c r="L64" i="6" s="1"/>
  <c r="H107" i="6"/>
  <c r="L107" i="6" s="1"/>
  <c r="H17" i="6"/>
  <c r="L17" i="6" s="1"/>
  <c r="H21" i="7"/>
  <c r="I52" i="7"/>
  <c r="H77" i="6"/>
  <c r="L77" i="6" s="1"/>
  <c r="H114" i="6"/>
  <c r="L114" i="6" s="1"/>
  <c r="H135" i="7"/>
  <c r="L135" i="7" s="1"/>
  <c r="I142" i="7"/>
  <c r="L142" i="7" s="1"/>
  <c r="I168" i="7"/>
  <c r="L168" i="7" s="1"/>
  <c r="I180" i="6"/>
  <c r="L180" i="6" s="1"/>
  <c r="I241" i="7"/>
  <c r="L241" i="7" s="1"/>
  <c r="I64" i="7"/>
  <c r="L64" i="7" s="1"/>
  <c r="H37" i="6"/>
  <c r="I60" i="6"/>
  <c r="L60" i="6" s="1"/>
  <c r="I233" i="6"/>
  <c r="H235" i="6"/>
  <c r="L170" i="6"/>
  <c r="L176" i="7"/>
  <c r="L181" i="6"/>
  <c r="L43" i="6"/>
  <c r="L161" i="7"/>
  <c r="L89" i="6"/>
  <c r="L78" i="6"/>
  <c r="L197" i="7"/>
  <c r="L161" i="6"/>
  <c r="L121" i="6"/>
  <c r="L182" i="6"/>
  <c r="L131" i="7"/>
  <c r="L104" i="7"/>
  <c r="L130" i="6"/>
  <c r="L140" i="6"/>
  <c r="L206" i="6"/>
  <c r="L212" i="7"/>
  <c r="L199" i="6"/>
  <c r="L199" i="7"/>
  <c r="L43" i="7"/>
  <c r="L194" i="6"/>
  <c r="L201" i="6"/>
  <c r="L209" i="6"/>
  <c r="L51" i="6"/>
  <c r="L106" i="6"/>
  <c r="L111" i="6"/>
  <c r="L115" i="6"/>
  <c r="L122" i="7"/>
  <c r="L125" i="6"/>
  <c r="L132" i="7"/>
  <c r="L139" i="6"/>
  <c r="L143" i="7"/>
  <c r="L144" i="6"/>
  <c r="L152" i="7"/>
  <c r="L169" i="7"/>
  <c r="L205" i="7"/>
  <c r="L208" i="6"/>
  <c r="L212" i="6"/>
  <c r="L69" i="6"/>
  <c r="L88" i="7"/>
  <c r="L111" i="7"/>
  <c r="L120" i="7"/>
  <c r="L132" i="6"/>
  <c r="L136" i="7"/>
  <c r="L147" i="6"/>
  <c r="L95" i="7"/>
  <c r="L83" i="6"/>
  <c r="L87" i="7"/>
  <c r="L179" i="6"/>
  <c r="L178" i="6"/>
  <c r="L178" i="7"/>
  <c r="H113" i="6"/>
  <c r="L99" i="7"/>
  <c r="L116" i="6"/>
  <c r="L32" i="7"/>
  <c r="L101" i="7"/>
  <c r="L93" i="7"/>
  <c r="L92" i="7"/>
  <c r="L92" i="6"/>
  <c r="L70" i="7"/>
  <c r="L70" i="6"/>
  <c r="L84" i="7"/>
  <c r="L167" i="6"/>
  <c r="L166" i="7"/>
  <c r="L166" i="6"/>
  <c r="L164" i="6"/>
  <c r="L164" i="7"/>
  <c r="L36" i="7"/>
  <c r="L177" i="6"/>
  <c r="L141" i="6"/>
  <c r="L122" i="6"/>
  <c r="L83" i="7"/>
  <c r="L108" i="7"/>
  <c r="L142" i="6"/>
  <c r="L184" i="7"/>
  <c r="L148" i="6"/>
  <c r="L73" i="6"/>
  <c r="L158" i="6"/>
  <c r="L207" i="6"/>
  <c r="L143" i="6"/>
  <c r="L28" i="6"/>
  <c r="L41" i="6"/>
  <c r="L18" i="6"/>
  <c r="L74" i="6"/>
  <c r="L104" i="6"/>
  <c r="L115" i="7"/>
  <c r="L207" i="7"/>
  <c r="L49" i="6"/>
  <c r="L168" i="6"/>
  <c r="L108" i="6"/>
  <c r="L118" i="6"/>
  <c r="L100" i="7"/>
  <c r="L177" i="7"/>
  <c r="L154" i="7"/>
  <c r="L75" i="7"/>
  <c r="L90" i="7"/>
  <c r="L78" i="7"/>
  <c r="L182" i="7"/>
  <c r="L126" i="7"/>
  <c r="L130" i="7"/>
  <c r="L146" i="7"/>
  <c r="L202" i="7"/>
  <c r="L194" i="7"/>
  <c r="L74" i="7"/>
  <c r="L21" i="6"/>
  <c r="L30" i="7"/>
  <c r="L112" i="6"/>
  <c r="L11" i="7"/>
  <c r="L30" i="6"/>
  <c r="L90" i="6"/>
  <c r="L36" i="6"/>
  <c r="L45" i="6"/>
  <c r="L67" i="7"/>
  <c r="L87" i="6"/>
  <c r="L151" i="6"/>
  <c r="L169" i="6"/>
  <c r="L206" i="7"/>
  <c r="L210" i="6"/>
  <c r="L8" i="6"/>
  <c r="L62" i="6"/>
  <c r="L69" i="7"/>
  <c r="L107" i="7"/>
  <c r="L124" i="7"/>
  <c r="L136" i="6"/>
  <c r="L140" i="7"/>
  <c r="L157" i="7"/>
  <c r="L197" i="6"/>
  <c r="L201" i="7"/>
  <c r="L47" i="6"/>
  <c r="L3" i="6"/>
  <c r="L19" i="6"/>
  <c r="L38" i="6"/>
  <c r="L26" i="6"/>
  <c r="L19" i="7"/>
  <c r="L3" i="5"/>
  <c r="L14" i="6"/>
  <c r="L82" i="7"/>
  <c r="L100" i="6"/>
  <c r="L94" i="6"/>
  <c r="L82" i="6"/>
  <c r="L71" i="6"/>
  <c r="L68" i="7"/>
  <c r="L68" i="6"/>
  <c r="L203" i="6"/>
  <c r="L203" i="7"/>
  <c r="L4" i="6"/>
  <c r="L186" i="6"/>
  <c r="L185" i="6"/>
  <c r="L172" i="6"/>
  <c r="L171" i="6"/>
  <c r="L103" i="6"/>
  <c r="L102" i="6"/>
  <c r="L40" i="6"/>
  <c r="L35" i="7"/>
  <c r="L28" i="7"/>
  <c r="L23" i="6"/>
  <c r="L133" i="6" l="1"/>
  <c r="L137" i="6"/>
  <c r="L187" i="7"/>
  <c r="L231" i="7"/>
  <c r="L59" i="7"/>
  <c r="L60" i="7"/>
  <c r="L61" i="7"/>
  <c r="L133" i="7"/>
  <c r="L77" i="7"/>
  <c r="L242" i="7"/>
  <c r="L62" i="7"/>
  <c r="L4" i="7"/>
  <c r="L50" i="7"/>
  <c r="L106" i="7"/>
  <c r="L86" i="7"/>
  <c r="L249" i="7"/>
  <c r="L252" i="7"/>
  <c r="L237" i="7"/>
  <c r="L86" i="6"/>
  <c r="L113" i="6"/>
  <c r="L33" i="7"/>
  <c r="L151" i="7"/>
  <c r="L145" i="6"/>
  <c r="L9" i="6"/>
  <c r="L191" i="7"/>
  <c r="L45" i="7"/>
  <c r="L114" i="7"/>
  <c r="L99" i="6"/>
  <c r="L22" i="7"/>
  <c r="L22" i="6"/>
  <c r="L14" i="7"/>
  <c r="L10" i="6"/>
  <c r="L280" i="5"/>
  <c r="L282" i="5"/>
  <c r="L236" i="6"/>
  <c r="L49" i="7"/>
  <c r="L9" i="7"/>
  <c r="L26" i="7"/>
  <c r="L20" i="6"/>
  <c r="L5" i="6"/>
  <c r="L167" i="7"/>
  <c r="L85" i="7"/>
  <c r="L27" i="6"/>
  <c r="L262" i="7"/>
  <c r="L271" i="6"/>
  <c r="L271" i="5"/>
  <c r="L233" i="7"/>
  <c r="L134" i="6"/>
  <c r="L170" i="7"/>
  <c r="L37" i="7"/>
  <c r="L271" i="7"/>
  <c r="L21" i="7"/>
  <c r="L13" i="7"/>
  <c r="L31" i="5"/>
  <c r="L238" i="7"/>
  <c r="L189" i="7"/>
  <c r="L231" i="6"/>
  <c r="L61" i="6"/>
  <c r="L17" i="7"/>
  <c r="L240" i="6"/>
  <c r="L248" i="7"/>
  <c r="L227" i="7"/>
  <c r="L234" i="7"/>
  <c r="L37" i="6"/>
  <c r="L103" i="7"/>
  <c r="L12" i="7"/>
  <c r="L224" i="6"/>
  <c r="L230" i="7"/>
  <c r="L54" i="7"/>
  <c r="L230" i="6"/>
  <c r="L228" i="7"/>
  <c r="L81" i="6"/>
  <c r="L219" i="6"/>
  <c r="L54" i="6"/>
  <c r="L216" i="7"/>
  <c r="L84" i="6"/>
  <c r="L134" i="7"/>
  <c r="L116" i="7"/>
  <c r="L20" i="7"/>
  <c r="L38" i="7"/>
  <c r="L52" i="7"/>
  <c r="L12" i="6"/>
  <c r="L238" i="6"/>
  <c r="L232" i="7"/>
  <c r="L228" i="5"/>
  <c r="L103" i="5"/>
  <c r="L228" i="6"/>
  <c r="L221" i="6"/>
  <c r="L235" i="6"/>
  <c r="L218" i="6"/>
  <c r="L235" i="7"/>
  <c r="L230" i="5"/>
  <c r="L4" i="5"/>
  <c r="L13" i="6"/>
  <c r="L233" i="6"/>
  <c r="L220" i="6"/>
  <c r="L223" i="6"/>
  <c r="L222" i="6"/>
  <c r="L216" i="6"/>
  <c r="L227" i="5"/>
  <c r="L226" i="6"/>
  <c r="L13" i="5"/>
  <c r="L113" i="5"/>
  <c r="L225" i="6"/>
  <c r="L229" i="7"/>
  <c r="L229" i="6"/>
</calcChain>
</file>

<file path=xl/sharedStrings.xml><?xml version="1.0" encoding="utf-8"?>
<sst xmlns="http://schemas.openxmlformats.org/spreadsheetml/2006/main" count="4393" uniqueCount="545">
  <si>
    <t>Food item name</t>
  </si>
  <si>
    <t>Food group</t>
  </si>
  <si>
    <t>Data source</t>
  </si>
  <si>
    <t>Model</t>
  </si>
  <si>
    <t>Method</t>
  </si>
  <si>
    <t>Protein</t>
  </si>
  <si>
    <t>Tryptophan</t>
  </si>
  <si>
    <t>Isoleucine</t>
  </si>
  <si>
    <t>Lysine</t>
  </si>
  <si>
    <t>Histidine</t>
  </si>
  <si>
    <t>Cereal &amp; cereal products</t>
  </si>
  <si>
    <t>Human(Predicted)</t>
  </si>
  <si>
    <t>Standardized Ileal</t>
  </si>
  <si>
    <t>Maize bran</t>
  </si>
  <si>
    <t>Rice</t>
  </si>
  <si>
    <t>True Ileal</t>
  </si>
  <si>
    <t>Human</t>
  </si>
  <si>
    <t>Pig</t>
  </si>
  <si>
    <t>Wheat flour (fibre &lt; 3,5%)</t>
  </si>
  <si>
    <t>Bread</t>
  </si>
  <si>
    <t>Biscuits (CP&gt;12%)</t>
  </si>
  <si>
    <t>Cassava (starch 66-70%)</t>
  </si>
  <si>
    <t xml:space="preserve">Potato fries (fat 4-12%) </t>
  </si>
  <si>
    <t>Potato (dehydrated)</t>
  </si>
  <si>
    <t>Animal products</t>
  </si>
  <si>
    <t>Fish (Chinese)</t>
  </si>
  <si>
    <t>Mealworm larvae, dried</t>
  </si>
  <si>
    <t>Skim milk powder</t>
  </si>
  <si>
    <t>Milk products</t>
  </si>
  <si>
    <t>Cheese whey (CP 17,5-27,5%)</t>
  </si>
  <si>
    <t>Infant formula (cow based)</t>
  </si>
  <si>
    <t>Rat</t>
  </si>
  <si>
    <t>Brewers yeast</t>
  </si>
  <si>
    <t>Others</t>
  </si>
  <si>
    <t>Sources of data</t>
  </si>
  <si>
    <t xml:space="preserve">FAO - the assessment of amino acid digestibility in foods for human and including a collation of published ileal amino acid digestibility data for human foods </t>
  </si>
  <si>
    <t>Kashyap et al - Ileal digestibility of intrinsically labelled hen's egg and meat protein determined with the dual stable isotope tracer method in Indian adults</t>
  </si>
  <si>
    <t xml:space="preserve">Shivakumar et al 2019 - Protein quality evaluation of complementary foods in Indian children </t>
  </si>
  <si>
    <t>Hodgkinson et al 2018 -Cooking conditions affect the true ileal digestible amino acid content and digestible indispensable amino acid score (DIAAS) of bovine meat as determined in pigs</t>
  </si>
  <si>
    <t>Barley (not hulless varieties)</t>
  </si>
  <si>
    <t>Maize/corn</t>
  </si>
  <si>
    <t>Maize (flaked)/flaked corn/rolled corn</t>
  </si>
  <si>
    <t>Maize (extruded)/extruded corn</t>
  </si>
  <si>
    <t>Maize (high moisure)/humid corn - 60-70% dry matter, raw</t>
  </si>
  <si>
    <t>Maize flour/Corn flour</t>
  </si>
  <si>
    <t>Oats, flaked/flaked or rolled oat grain</t>
  </si>
  <si>
    <t>Rice, paddy/whole rice grain with the hulls included</t>
  </si>
  <si>
    <t>Rice, polished, broken (byproduct of the polishing process consisting of small or broken grains)</t>
  </si>
  <si>
    <t xml:space="preserve">Rye (Secale cereale L.) </t>
  </si>
  <si>
    <t>Wheat, durum</t>
  </si>
  <si>
    <t>Wheat, soft</t>
  </si>
  <si>
    <t>Kabuli (also called garbanzo) chickpeas are tan-coated and are grown primarily in the Mediterranean area and in South America. They contain less crude fibre than the smaller and dark-coated desi types grown in the Indian subcontinent.</t>
  </si>
  <si>
    <t>The common bean is known under many names (kidney bean, French bean, navy bean...), depending on the variety.</t>
  </si>
  <si>
    <t>Cowpea is a grain legume popular as human food in Africa and in some regions of Asia and the Americas. Other names: black-eyed pea, black-eyed bean, asparagus bean.</t>
  </si>
  <si>
    <t>Faba bean, low tannin white flowers/horse bean/field bean (Vicia faba L.)</t>
  </si>
  <si>
    <t>From varieties having a low content in erucic acid and glucosinolate</t>
  </si>
  <si>
    <t>Sunflower seeds, whole</t>
  </si>
  <si>
    <t>Byproduct of oil manufacture obtained by extraction of groundnut seeds (Arachis hypogaea L.). This product has a high content in residual oil and results from mechanical pressure only.</t>
  </si>
  <si>
    <t>Groundnut meal, oil 5-20%/groundnut cake, groundnut oil cake, peanut cake, peanut oil cake, peanut meal, peanut oil meal.</t>
  </si>
  <si>
    <t>Groundnut meal, oil &lt; 5%, crude fibre &lt; 9%</t>
  </si>
  <si>
    <t>Byproduct of oil manufacture obtained by extraction of groundnut seeds (Arachis hypogaea L.). The relatively low fibre content is due to the limited amount of skins and shells. It has a low content in residual oil and results from mechanical pressure followed by solvent extraction. Other names: peanut meal, peanut oil meal.</t>
  </si>
  <si>
    <t>Groundnut meal, oil &lt; 5%, crude fibre &gt; 9%</t>
  </si>
  <si>
    <t>Byproduct of oil manufacture obtained by extraction of groundnut seeds (Arachis hypogaea L.). The relatively high fibre content is due to the presence of skins and shells. It has a low content in residual oil and results from mechanical pressure followed by solvent extraction. Other names: peanut meal, peanut oil meal.</t>
  </si>
  <si>
    <t>Soybean meal, oil 5-20%</t>
  </si>
  <si>
    <t>Soybean meal, oil &lt; 5%, 46% protein + oil</t>
  </si>
  <si>
    <t>Byproduct of oil manufacture obtained by extraction of soybean seeds (Glycine max (L.) Merr.), with partial reintroduction of the hulls. This product has a low content in residual oil and results from mechanical pressure followed by solvent extraction. It should contain about 46% (as fed) of protein + oil.</t>
  </si>
  <si>
    <t>Byproduct of oil manufacture obtained by extraction of soybean seeds (Glycine max (L.) Merr.). This product has a high content in residual oil and results from mechanical pressure only</t>
  </si>
  <si>
    <t>Soybean meal, oil &lt; 5%, 48% protein + oil</t>
  </si>
  <si>
    <t>Byproduct of oil manufacture obtained by extraction of soybean seeds (Glycine max (L.) Merr.), with partial reintroduction of the hulls. This product has a low content in residual oil and results from mechanical pressure followed by solvent extraction. It should contain about 48% (as fed) of protein + oil.</t>
  </si>
  <si>
    <t>Soybean meal, oil &lt; 5%, 48% protein + oil, extruded</t>
  </si>
  <si>
    <t>Extuded byproduct of oil manufacture obtained by extraction of soybean seeds (Glycine max (L.) Merr.), with partial reintroduction of the hulls. This product has a low content in residual oil and results from mechanical pressure followed by solvent extraction. It should contain about 46% (as fed) of protein + oil.</t>
  </si>
  <si>
    <t>Soybean meal, oil &lt; 5%, 50% protein + oil</t>
  </si>
  <si>
    <t>Byproduct of oil manufacture obtained by extraction of soybean seeds (Glycine max (L.) Merr.), without reintroduction of the hulls. This product has a low content in residual oil and results from mechanical pressure followed by solvent extraction. It should contain about 50% (as fed) of protein + oil.</t>
  </si>
  <si>
    <t>Canola meal, oil &lt; 5%</t>
  </si>
  <si>
    <t>By-product of the manufacture of rapeseed oil, obtained by solvent extraction of rapeseeds of Canola type.</t>
  </si>
  <si>
    <t>Byproduct of oil manufacture obtained by extraction of rapeseeds (Brassica napus L., Brassica rapa L. and Brassica juncea L., and their crosses) from varieties having a low content in erucic acid and glucosinolates ("00" in Europe, canola in North America). This product has a high content in residual oil and results from mechanical pressure only. </t>
  </si>
  <si>
    <t xml:space="preserve">Rapeseed meal, oil 5-20%/rapeseed cake/rapeseed meal/canola cake/canola meal </t>
  </si>
  <si>
    <t xml:space="preserve">Byproduct of oil manufacture obtained by extraction of rapeseeds (Brassica napus L., Brassica rapa L. and Brassica juncea L., and their crosses) from varieties having a low content in erucic acid and glucosinolates ("00" in Europe, canola in North America). This product has a low content in residual oil and results from mechanical pressure followed by solvent extraction. </t>
  </si>
  <si>
    <t xml:space="preserve">Rapeseed meal, oil &lt; 5%/rapeseed cake/rapeseed meal/canola cake/canola meal </t>
  </si>
  <si>
    <t>Cocoa meal, oil &lt; 5%</t>
  </si>
  <si>
    <t>Byproduct of the manufacture of cocoa butter (Theobroma cacao L.), obtained by complete extraction of cocoa beans.</t>
  </si>
  <si>
    <t>Copra meal, oil 5-20%</t>
  </si>
  <si>
    <t>Byproduct of oil manufacture obtained after extraction from the dried kernels (copra) of the coconut fruit (Cocos nucifera L.). This product has a high content in residual oil and results from mechanical pressure only. Other names: coconut meal, coconut oil meal.</t>
  </si>
  <si>
    <t>Copra meal, oil &lt; 5%</t>
  </si>
  <si>
    <t>Byproduct of oil manufacture obtained after extraction from the dried kernels (copra) of the coconut fruit (Cocos nucifera L.). This product has a low content in residual oil and results from mechanical pressure followed by solvent extraction. Other names: copra oil meal, coconut meal, coconut oil meal.</t>
  </si>
  <si>
    <t>Cottonseed meal, oil 5-20%, crude fibre 15-20%</t>
  </si>
  <si>
    <t>Byproduct of oil manufacture obtained by extraction of partially dehulled cotton seeds (Gossypium spp.). This product has a high content in residual oil and results from mechanical pressure only. </t>
  </si>
  <si>
    <t>Cottonseed meal, oil 5-20%, crude fibre &lt; 15%</t>
  </si>
  <si>
    <t>Byproduct of oil manufacture obtained by extraction of dehulled cottonseeds (Gossypium spp.). This product has a high content in residual oil and results from mechanical pressure only. </t>
  </si>
  <si>
    <t>Cottonseed meal, oil &lt; 5%, crude fibre 15-20%</t>
  </si>
  <si>
    <t>Byproduct of oil manufacture obtained by extraction of partially dehulled cotton seeds (Gossypium spp.). This product has a low content in residual oil and results from mechanical pressure followed by solvent extraction.</t>
  </si>
  <si>
    <t>Cottonseed meal, oil &lt; 5%, crude fibre &lt; 15%</t>
  </si>
  <si>
    <t>Byproduct of oil manufacture obtained by extraction of dehulled cotton seeds (Gossypium spp.). This product has a low content in residual oil and results from mechanical pressure followed by solvent extraction.</t>
  </si>
  <si>
    <t>Camelina oil meal, oil &gt; 5%</t>
  </si>
  <si>
    <t>Byproduct of oil manufacture obtained by extraction of camelina seeds (Camelina sativa Crantz) using mechanical pressure only.</t>
  </si>
  <si>
    <t>Grapeseed oil meal</t>
  </si>
  <si>
    <t>Byproduct of oil manufacture obtained by extraction of grape seeds (Vitis vinifera L.).</t>
  </si>
  <si>
    <t xml:space="preserve">Byproduct of oil manufacture obtained by extraction of linseeds (Linum usitatissimum L.). This product has a low content in residual oil and results from mechanical pressure followed by solvent extraction. </t>
  </si>
  <si>
    <t>Linseed meal, oil &lt; 5%/flaxseed meal, flaxseed oil meal.</t>
  </si>
  <si>
    <t>Linseed meal, oil &gt; 5%/flaxseed meal, flaxseed oil meal.</t>
  </si>
  <si>
    <t>Byproduct of oil manufacture obtained by extraction of linseeds (Linum usitatissimum L.). This product has a high content in residual oil and results from mechanical pressure only.</t>
  </si>
  <si>
    <t xml:space="preserve">Byproduct of oil manufacture obtained by extraction of sesame seeds (Sesamum indicum L.). This product has a high content in residual oil and results from mechanical pressure only. </t>
  </si>
  <si>
    <t>Sesame meal, oil &gt; 5%/sesame cake, sesame oil cake.</t>
  </si>
  <si>
    <t>Sunflower meal, oil 5-20%, dehulled</t>
  </si>
  <si>
    <t>Byproduct of oil manufacture obtained by extraction of dehulled or partially dehulled sunflower seeds (Helianthus annuus L.). This product has a high content in residual oil and results from mechanical pressure only</t>
  </si>
  <si>
    <t>Sunflower meal, oil 5-20%, non dehulled</t>
  </si>
  <si>
    <t>Byproduct of oil manufacture obtained by extraction of whole sunflower seeds (Helianthus annuus L.). This product has a high content in residual oil and results from mechanical pressure only.</t>
  </si>
  <si>
    <t>Sunflower meal, oil &lt; 5%, dehulled</t>
  </si>
  <si>
    <t>Byproduct of oil manufacture obtained by extraction of dehulled or partially dehulled sunflower seeds (Helianthus annuus L.). This product has a low content in residual oil and results from mechanical pressure followed by solvent extraction.</t>
  </si>
  <si>
    <t>Sunflower meal, oil &lt; 5%, non dehulled</t>
  </si>
  <si>
    <t>Byproduct of oil manufacture obtained by extraction of whole (non-dehulled) sunflower seeds (Helianthus annuus L.). This product has a low content in residual oil and results from mechanical pressure followed by solvent extraction.</t>
  </si>
  <si>
    <t>whey permeate</t>
  </si>
  <si>
    <t>whey powder, acid</t>
  </si>
  <si>
    <t>whey powder, sweet</t>
  </si>
  <si>
    <t>whey, dehydrated</t>
  </si>
  <si>
    <t>whey, dried</t>
  </si>
  <si>
    <t>Milk powder, skimmed, dried</t>
  </si>
  <si>
    <t>Milk powder, whole, dried</t>
  </si>
  <si>
    <t>Dried byproduct of ultrafiltration of whey, consisting of low-molecular weight compounds, particularly lactose and minerals. It also includes non-protein nitrogen compounds and vitamins.</t>
  </si>
  <si>
    <t>Dried byproduct of the manufacturing of soft or fresh cheese. Whey is the liquid that separates from the curd.</t>
  </si>
  <si>
    <t>Dried byproduct of the manufacturing of pressed cheese. Whey is the liquid that separates from the curd.</t>
  </si>
  <si>
    <t>Dried byproduct of the manufacturing of cheese, non skimmed or to which milk fat has been reincorporated up to a content of 4-15% (as fed). Whey is the liquid that separates from the curd.</t>
  </si>
  <si>
    <t>Dried byproduct of the manufacturing of cheese, to which milk fat has been reincorporated up to a content of 15-30% (as fed). Whey is the liquid that separates from the curd.</t>
  </si>
  <si>
    <t>Oil byproducts</t>
  </si>
  <si>
    <t>INRAE-CIRAD-AFZ Feed tables</t>
  </si>
  <si>
    <t>Olive oil cake, with pits, oil &lt; 5%</t>
  </si>
  <si>
    <t>Byproduct of oil manufacture obtained by extraction of olive fruits (Olea europaea L.). This product contains pits. It has a low content in residual oil and results from mechanical pressure followed by solvent extraction.</t>
  </si>
  <si>
    <t>Olive oil cake, with pits, oil &gt; 5%</t>
  </si>
  <si>
    <t>Byproduct of oil manufacture obtained by extraction of olive fruits (Olea europaea L.). This product contains pits. It has a high content in residual oil and results from mechanical pressure only.</t>
  </si>
  <si>
    <t>Olive pulp, oil &lt; 10%</t>
  </si>
  <si>
    <t>Byproduct of oil manufacture obtained by extraction of olive fruits (Olea europaea L.). This product does not contain pits. It has a relatively low content in residual oil and results from mechanical pressure, possibly followed by solvent extraction.</t>
  </si>
  <si>
    <t>Olive pulp, oil &gt; 10%</t>
  </si>
  <si>
    <t>Byproduct of oil manufacture obtained by extraction of olive fruits (Olea europaea L.). This product does not contain pits. It has a relatively high content in residual oil and results from mechanical pressure only.</t>
  </si>
  <si>
    <t>Palm kernel meal, oil 5-20%</t>
  </si>
  <si>
    <t>Byproduct of oil manufacture obtained by extraction of palm fruit kernels (Elaeis guineensis Jacq. or Elaeis melanococca auct.). This product has a high content in residual oil and results from mechanical pressure only. </t>
  </si>
  <si>
    <t>Palm kernel meal, oil &lt; 5%</t>
  </si>
  <si>
    <t>Byproduct of oil manufacture obtained by extraction of palm fruit kernels (Elaeis guineensis Jacq. or Elaeis melanococca auct.). This product has a low content in residual oil and results from mechanical pressure followed by solvent extraction. </t>
  </si>
  <si>
    <t>Sheanut oil meal, oil &gt; 5%</t>
  </si>
  <si>
    <t>Byproduct of oil manufacture obtained by extraction of sheanut seeds (Vitellaria paradoxa C. F. Gaertn.) for the production of sheanut butter. This product has a high content in residual oil and results from mechanical pressure only. Value in bold indicates adult pig digestibility not standardised</t>
  </si>
  <si>
    <t>Beet pulp, dried</t>
  </si>
  <si>
    <t>Dried byproduct of sugar manufacture, obtained after extracting the juice from sugar beet roots (Beta vulgaris L.). Other name: sugar beet pulp.</t>
  </si>
  <si>
    <t>Beet pulp, pressed</t>
  </si>
  <si>
    <t>Humid byproduct of sugar manufacture, obtained after extracting the juice from sugar beet roots (Beta vulgaris L.). The resulting solids are pressed to reduce water content down to 70-80%.</t>
  </si>
  <si>
    <t>Cassava pulp, dried</t>
  </si>
  <si>
    <t>Dried cassava pulp is a dried by-product of the extraction of starch from cassava roots (Manihot esculenta Crantz).  This is a highly variable product.</t>
  </si>
  <si>
    <t>Cassava, starch 70-74%</t>
  </si>
  <si>
    <t>Dried cassava roots (Manihot esculenta Crantz), containing 70-74% starch (as fed). Cassava roots are usually provided as chips, pellets or meal (ground chips).</t>
  </si>
  <si>
    <t>Chicory pulp, dehydrated</t>
  </si>
  <si>
    <t>Byproduct of the extraction of fructose and inuline from chicory roots (Cichorium intybus L.).</t>
  </si>
  <si>
    <t>Potato protein concentrate</t>
  </si>
  <si>
    <t>Dried byproduct of starch manufacture from potato tubers (Solanum tuberosum L.) consisting mainly of protein substances obtained after the separation of starch.</t>
  </si>
  <si>
    <t>Potato pulp, dried</t>
  </si>
  <si>
    <t>Dried byproduct of the processing (particularly starch manufacture) of potato tubers (Solanum tuberosum L.).</t>
  </si>
  <si>
    <t>Potato tuber, dried</t>
  </si>
  <si>
    <t>Dried whole potato tuber (Solanum tuberosum L.). These are cull potatoes from potato production and potato processing industries.</t>
  </si>
  <si>
    <t>Sweet potato, dried</t>
  </si>
  <si>
    <t>Dried sweet potato tuber (Ipomea batatas (L.) Lam.).</t>
  </si>
  <si>
    <t>Potato (sweet, dehydrated)</t>
  </si>
  <si>
    <t>Potato crisps</t>
  </si>
  <si>
    <t>Apple pomace, dried</t>
  </si>
  <si>
    <t>Dried byproduct of apple juice or cider manufacture obtained by pressing apples (Malus communis Poir.). Apple pomace contains the peels, pulp and seeds.</t>
  </si>
  <si>
    <t>Bananas, immature, dried</t>
  </si>
  <si>
    <t>Dried, immature fruits of the banana tree (Musa sp.). Starch is the main carbohydrate of immature bananas and is transformed into solubles sugars during ripening.</t>
  </si>
  <si>
    <t>Citrus pulp, dried</t>
  </si>
  <si>
    <t>Dried byproduct of the processing of citrus fruit (Citrus spp.) for juice production or canning. It consists principally of the pulp and can include the skin and the pips. The orange (Citrus × sinensis (L.) Osbeck) is the main cultivated species.</t>
  </si>
  <si>
    <t>Citrus pulp, fresh</t>
  </si>
  <si>
    <t>Fresh byproduct of the processing of citrus fruit (Citrus spp.) for juice production or canning. It consists principally of the pulp and can include the skin and the pips. The orange (Citrus × sinensis (L.) Osbeck) is the main cultivated species.</t>
  </si>
  <si>
    <t>Grape pomace, dried</t>
  </si>
  <si>
    <t>Dried byproduct of winery or grape juice manufacture obtained from the pressure of grapes (Vitis vinifera L.). Grape pomace typically contains the pulp, skins, seeds (pips) and sometimes the branches. Grape pomace without the seeds and branches is often called grape marc or grape pulp, but those terms are also used as synonyms.</t>
  </si>
  <si>
    <t>Grape pulp, dried</t>
  </si>
  <si>
    <t>dried byproduct of winery or grape juice manufacture obtained from the pressure of grapes (Vitis vinifera L.). Grape pulp typically contains the pulp and skins, but not the seeds (pips) or the branches. It is sometimes synonym of grape marc or grape pomace, though the latter product often contains also the seeds and branches.</t>
  </si>
  <si>
    <t>Grape seeds</t>
  </si>
  <si>
    <t>Dried byproduct of wine or grape juice manufacture obtained from the pressure of grapes (Vitis vinifera L.). Grape seeds result from the removal of the seeds in certain processes.</t>
  </si>
  <si>
    <t>Tomato pulp, dehydrated</t>
  </si>
  <si>
    <t>Dried byproduct of the processing of tomato fruits (Solanum lycopersicum Karst.) for juice extraction or canning, consisting of the peels and the fruit pulp.</t>
  </si>
  <si>
    <t>Alfalfa protein concentrate</t>
  </si>
  <si>
    <t>Protein concentrate obtained by pressing the aerial part of alfalfa (Medicago sativa L.). In one commercial process, fresh alfalfa is first pressed to obtain a green juice. This juice is then heated and steamed to produce a protein coagulate. This coagulate is separated from the liquid by centrifugation, and then dried. Alfalfa protein concentrate is used for its high content in protein and pigments (caroten, xanthophylls).</t>
  </si>
  <si>
    <t>Alfalfa, dehydrated, protein 16-18% dry matter</t>
  </si>
  <si>
    <t>Dehydrated aerial part of alfalfa (Medicago sativa L.), containing between 16% and 18% protein (in dry matter).</t>
  </si>
  <si>
    <t>Alfalfa, dehydrated, protein &gt; 25% dry matter</t>
  </si>
  <si>
    <t>Dehydrated aerial part of alfalfa (Medicago sativa L.) containing more than 25% protein (in dry matter).</t>
  </si>
  <si>
    <t>Pea protein concentrate</t>
  </si>
  <si>
    <t>Protein fraction of the pea seed (Pisum sativum L.), extracted by a wet process.</t>
  </si>
  <si>
    <t>Soybean protein concentrate, protein 50-60%</t>
  </si>
  <si>
    <t>Protein concentrate obtained from defatted and ground soybean seeds (Glycine max (L.) Merr.) by the separation of soluble fractions, ash and non-nitrogenous compounds.</t>
  </si>
  <si>
    <t>Soybean protein concentrate, protein 60-70%</t>
  </si>
  <si>
    <t>Protein concentrate obtained from defatted and ground soybean seeds (Glycine max (L.) Merr.) by the separation of soluble fractions, ash and non-nitrogenous compounds. Soybean concentrates with particularly high protein content are sometimes called soybean isolates or soy isolates.</t>
  </si>
  <si>
    <t>Soybean protein concentrate, protein 70-90%/soy isolate</t>
  </si>
  <si>
    <t>Mustard bran</t>
  </si>
  <si>
    <t>Byproduct of mustard manufacture obtained from the processing of the seeds of mustard (Sinapis alba L., Brassica juncea (L.) Czern., Brassica nigra L.), consisting of seed hulls and other seed fractions.</t>
  </si>
  <si>
    <t>Black soldier fly larvae, fat &lt; 20%, dried</t>
  </si>
  <si>
    <t>Black soldier fly larvae, fat &gt; 20%, dried</t>
  </si>
  <si>
    <t>Fish meal, protein 62%</t>
  </si>
  <si>
    <t>Fish product or fishery byproduct obtained by processing whole or parts of fish. This type of fish meal contains 58-63% protein (as fed)</t>
  </si>
  <si>
    <t xml:space="preserve">Larvae of black soldier fly (Hermetia illucens Linnaeus 1758), not defatted, dehydrated. </t>
  </si>
  <si>
    <t>Larvae of black soldier fly (Hermetia illucens Linnaeus 1758), defatted or partially defatted, dehydrated.</t>
  </si>
  <si>
    <t>Fish meal, protein 65%</t>
  </si>
  <si>
    <t>Fish product or fishery byproduct obtained by processing whole or parts of fish. This type of fish meal contains 63-68% protein (as fed). Note: it is recommended to check the regulatory status of this product before using it for livestock feeding.</t>
  </si>
  <si>
    <t>Fish meal, protein 70%</t>
  </si>
  <si>
    <t>Fish product or fishery byproduct obtained by processing whole or parts of fish. This type of fish meal contains 68-75% protein (as fed). Note: it is recommended to check the regulatory status of this product before using it for livestock feeding.</t>
  </si>
  <si>
    <t>Processed animal proteins, pig</t>
  </si>
  <si>
    <t>Slaugherhouse byproduct obtained from healthy pigs slaughtered for human consumption. The product is ground, sterilized by cooking, and dried.</t>
  </si>
  <si>
    <t>Processed animal proteins, poultry, protein 45-60%</t>
  </si>
  <si>
    <t>Slaugherhouse byproduct obtained from healthy poultry slaughtered for human consumption. The product is ground, sterilized by cooking, and dried. The product must be substantially free of feathers</t>
  </si>
  <si>
    <t>Processed animal proteins, poultry, protein 60-70%</t>
  </si>
  <si>
    <t>Slaugherhouse byproduct obtained from healthy poultry slaughtered for human consumption. The product is ground, sterilized by cooking, and dried. The product must be substantially free of feathers.</t>
  </si>
  <si>
    <t>Processed animal proteins, poultry, protein &gt; 70%</t>
  </si>
  <si>
    <t>Shrimp meal</t>
  </si>
  <si>
    <t>Dried byproduct of the shrimp processing industry, consisting of soft tissues and shells of shrimps and prawns</t>
  </si>
  <si>
    <t>Dried larvae of mealworm (Tenebrio molitor Linnaeus 1758), a beetle insect.</t>
  </si>
  <si>
    <t>Egg, whole, boiled</t>
  </si>
  <si>
    <t>Chicken, cooked</t>
  </si>
  <si>
    <t>Fish &amp; fish products</t>
  </si>
  <si>
    <t>Porcine plasma hydrolysate (66 g/100 g dm protein)</t>
  </si>
  <si>
    <t>bovine muscle hydrolysate (90 g/100 g dm protein)</t>
  </si>
  <si>
    <t>bovine collagen hydrolysate (112 g/100 g dm protein, measured as Nitrogen *6,25 so can be slightly above 100)</t>
  </si>
  <si>
    <t>Porcine heart hydrolysate (78 g/100 g dm protein)</t>
  </si>
  <si>
    <t>Porcine muscle hydrolysate (91 g/100 g dm protein)</t>
  </si>
  <si>
    <t>hydrolysates are prototypes from a pilot plant. They are produced by heating, homogenizing raw material followed by fat separation and incubation with an enzyme. Hydrolysis is stopped by heating and thn spray drying</t>
  </si>
  <si>
    <t>Bindari et al., 2017 - standardized ileal digestibility and digestible indispensable amino acid score of porcine and bovine hydrolysates in pigs</t>
  </si>
  <si>
    <t>Barley, dehulled (11,8% protein)</t>
  </si>
  <si>
    <t>Maize, yellow dent (7,5% protein)</t>
  </si>
  <si>
    <t>Maize, nutridense (8,8% protein)</t>
  </si>
  <si>
    <t>Oats, dehulled (13,1% protein)</t>
  </si>
  <si>
    <t>Rice, white, polished (9,0% protein)</t>
  </si>
  <si>
    <t>Rye (12,1% protein)</t>
  </si>
  <si>
    <t>Sorghum (9,8% protein)</t>
  </si>
  <si>
    <t>Wheat (11,9% protein)</t>
  </si>
  <si>
    <t>Procured from Exseed Genetics LLC</t>
  </si>
  <si>
    <t>Procured from Walmart</t>
  </si>
  <si>
    <t>Pocured from Siemer Enterprises Inc</t>
  </si>
  <si>
    <t>Cervantes-Pahm et al., 2014 - digestible indispensable amino acid score and digestible amino acids in eight cereal grains</t>
  </si>
  <si>
    <t>Beef, Boiled (86,3 g/100 g dm protein), topside steak</t>
  </si>
  <si>
    <t>Beef, raw (81,2 g/100 g dm protein), topside steak</t>
  </si>
  <si>
    <t>Beef, grilled (88,4 g/100 g dm protein),  topside steak</t>
  </si>
  <si>
    <t>Beef, pan fried (83,8 g/100 g dm protein), topside steak</t>
  </si>
  <si>
    <t>Beef, roasted (84,6 g/100 g dm protein),  topside steak</t>
  </si>
  <si>
    <t>Egg white protein</t>
  </si>
  <si>
    <t xml:space="preserve">Human </t>
  </si>
  <si>
    <t>(dual stable isotope tracer method)</t>
  </si>
  <si>
    <t>True ileal</t>
  </si>
  <si>
    <t>Commercial origin</t>
  </si>
  <si>
    <t>Emulison was created using a commercial pea isolate (Pisane M9, Cosucra, Belgium) and commercial soybean oil</t>
  </si>
  <si>
    <t>Seitan (wheat based protein), 20,9 g/100 g protein)</t>
  </si>
  <si>
    <t xml:space="preserve">Reynaud et al., 2021- true ilea amino acid digestibility and digestible indispensable amino acid scores (DIAASs) of plant-based protein foods </t>
  </si>
  <si>
    <t>Tofu (soya based protein), 23.7 g/100 g protein)</t>
  </si>
  <si>
    <t>Soya milk (21,83 g/100 g protein)</t>
  </si>
  <si>
    <t>Pea emulsion (soybean oil-in-water emulsion containing a pea isolate), 16.79 g/100 g protein)</t>
  </si>
  <si>
    <t>Kidney bean, cooked (Ziyun No.2, Chinese variety), 26,2% protein</t>
  </si>
  <si>
    <t>Mung bean, cooked (Yulc No.1, Chinese variety), 26,1% protein</t>
  </si>
  <si>
    <t>Adzuki bean, cooked (Jihong No.16, Chinese variety),25,5% protein</t>
  </si>
  <si>
    <t>Broad beans, cooked (Qingcan No.14, Chinese variety), 29,7% protein</t>
  </si>
  <si>
    <t>Peas, cooked (Dingwan No.4, Chinese variety), 24,3% protein</t>
  </si>
  <si>
    <t>Chickpeas (Xinying No1 Y2-12, Chinese variety), 25,3% protein</t>
  </si>
  <si>
    <t>Han et al., 2020 - digestible indispensable amino acid scores of six cooked chinese pulses</t>
  </si>
  <si>
    <t>Additional information</t>
  </si>
  <si>
    <t>Naso-ileal intubation method used to continously collect postprandal ileal digesta from healthy volunteers</t>
  </si>
  <si>
    <t>Zein protein isolate (89% proteins, Sigma-Aldrich)</t>
  </si>
  <si>
    <t>whey protein isolate, (90,6% proteins, Fonterra)</t>
  </si>
  <si>
    <t>Calvez et al., 2021 - very low ileal nitrogen and amino acid digestibility of zein compared to whey protein isolate in healthy volunteers</t>
  </si>
  <si>
    <t>Grown on chicken manure, China</t>
  </si>
  <si>
    <t>House fly, prepupae, Chinese, 52,9% crude protein</t>
  </si>
  <si>
    <t>Black soldier fly, prepupae, Chinese, 43,1% crude protein</t>
  </si>
  <si>
    <t>Tan et al., 2020 - amino acid digestibility in housefly and black soldier fly prepupae by growing pigs</t>
  </si>
  <si>
    <t>Solvent extracted soybean meal</t>
  </si>
  <si>
    <t>Soy bean meal/SBM-43, with hulls (43 g/100 g protein</t>
  </si>
  <si>
    <t>Soy bean meal/SBM-47, without hulls (47 g/100 g protein)</t>
  </si>
  <si>
    <t>Soy bean, full fat, dehulled, extruded (35,8 g/100 g protein)</t>
  </si>
  <si>
    <t>Groundnut flour/peanut flour, dehulled (46,6 g/00 g protein)</t>
  </si>
  <si>
    <t>Park et al., 2017 - comparison of amino acid digestibility in full-fat soybean, two soybean meals and peanut flour between broiler chickens and growing pigs</t>
  </si>
  <si>
    <t>Sourced from CorLine Commodities, Canada</t>
  </si>
  <si>
    <t>Hugman et al., 2021 - Energy and amino acid digestibility of raw, steam-pelleted and extruded red lentil in growing pigs</t>
  </si>
  <si>
    <t>Raw material sourced from CorLine Commodities, Canada</t>
  </si>
  <si>
    <t>Bailey and Stein 2019 - Raw and roasted pistachio nuts are good sources of protein based on their digestible indispensable amino acid score as determined in pigs</t>
  </si>
  <si>
    <t>Kyung Hoon Cho et al., 2020 - Effects of mealworm larvae hydrolysate on nutrient ileal digestibility in growing pigs compared to those of defatted mealworm larvae meal, fermented poultry byproduct and hydrolysed fish soluble</t>
  </si>
  <si>
    <t>Hydrolysate was prepared by addition of enzymes: Alcalase 2,4 AU-A/g, Flavourzyme 500 LAPU/g, Denmark)</t>
  </si>
  <si>
    <t>Mealworm larvae meal, defatted (Korea), 68% crude protein</t>
  </si>
  <si>
    <t>Mealworm larvae hydrolysate, defatted (Tenebrior molitor), 58,9% crude protein</t>
  </si>
  <si>
    <t>Poultry by-product, fermented, Korea, 71.5% protein</t>
  </si>
  <si>
    <t>Fish soluble, hydrolysed, (FS Peptide, France), 89% protein</t>
  </si>
  <si>
    <t>Millet, finger</t>
  </si>
  <si>
    <t>Casein</t>
  </si>
  <si>
    <t>Cheese whey (CP&lt;17,5%)</t>
  </si>
  <si>
    <t>Human (predicted)</t>
  </si>
  <si>
    <t>Cheese whey (CP&gt;27,5%)</t>
  </si>
  <si>
    <t>Coconut (extracted)</t>
  </si>
  <si>
    <t>Corn germ meal</t>
  </si>
  <si>
    <t>Milk protein cocentrate</t>
  </si>
  <si>
    <t>Potato fries (fat 12-18%)</t>
  </si>
  <si>
    <t>Potato fries (fat &gt;18%)</t>
  </si>
  <si>
    <t>Potato peelings, steamed, starch &lt;35%)</t>
  </si>
  <si>
    <t>Potato peelings, steamed, starch 47,5-60%)</t>
  </si>
  <si>
    <t>Potato peelings, steamed, starch 35-47,5%)</t>
  </si>
  <si>
    <t>Potato peelings, steamed, starch &gt;60%)</t>
  </si>
  <si>
    <t>Rice bran</t>
  </si>
  <si>
    <t>Maize, high lysine</t>
  </si>
  <si>
    <t>Roots &amp; tubers</t>
  </si>
  <si>
    <t>Fruits &amp; vegetable products</t>
  </si>
  <si>
    <t>Legumes &amp; oilseeds</t>
  </si>
  <si>
    <r>
      <t>Millet, pearl (</t>
    </r>
    <r>
      <rPr>
        <i/>
        <sz val="11"/>
        <color theme="1"/>
        <rFont val="Calibri"/>
        <family val="2"/>
        <scheme val="minor"/>
      </rPr>
      <t>Penisetum glaucum (l) R. Br</t>
    </r>
    <r>
      <rPr>
        <sz val="11"/>
        <color theme="1"/>
        <rFont val="Calibri"/>
        <family val="2"/>
        <scheme val="minor"/>
      </rPr>
      <t>)/candle millet/dark millet/bajra/Indian millet/horse millet/bulrush millet/cattail millet</t>
    </r>
  </si>
  <si>
    <r>
      <t>Millet, proso (</t>
    </r>
    <r>
      <rPr>
        <i/>
        <sz val="11"/>
        <color theme="1"/>
        <rFont val="Calibri"/>
        <family val="2"/>
        <scheme val="minor"/>
      </rPr>
      <t>Panicum miliaceum L.</t>
    </r>
    <r>
      <rPr>
        <sz val="11"/>
        <color theme="1"/>
        <rFont val="Calibri"/>
        <family val="2"/>
        <scheme val="minor"/>
      </rPr>
      <t>)/common millet/broomtail millet/hog millet/white millet/broomcorn millet</t>
    </r>
  </si>
  <si>
    <r>
      <t>Oat groats (</t>
    </r>
    <r>
      <rPr>
        <i/>
        <sz val="11"/>
        <color theme="1"/>
        <rFont val="Calibri"/>
        <family val="2"/>
        <scheme val="minor"/>
      </rPr>
      <t>Avena sativa L.</t>
    </r>
    <r>
      <rPr>
        <sz val="11"/>
        <color theme="1"/>
        <rFont val="Calibri"/>
        <family val="2"/>
        <scheme val="minor"/>
      </rPr>
      <t>)/oat grain from whuch hulls have been removed</t>
    </r>
  </si>
  <si>
    <r>
      <t>Oats (</t>
    </r>
    <r>
      <rPr>
        <i/>
        <sz val="11"/>
        <color theme="1"/>
        <rFont val="Calibri"/>
        <family val="2"/>
        <scheme val="minor"/>
      </rPr>
      <t>Avena sativa L.</t>
    </r>
    <r>
      <rPr>
        <sz val="11"/>
        <color theme="1"/>
        <rFont val="Calibri"/>
        <family val="2"/>
        <scheme val="minor"/>
      </rPr>
      <t>)</t>
    </r>
  </si>
  <si>
    <r>
      <t>Oats (</t>
    </r>
    <r>
      <rPr>
        <i/>
        <sz val="11"/>
        <color theme="1"/>
        <rFont val="Calibri"/>
        <family val="2"/>
        <scheme val="minor"/>
      </rPr>
      <t>Avena sativa L</t>
    </r>
    <r>
      <rPr>
        <sz val="11"/>
        <color theme="1"/>
        <rFont val="Calibri"/>
        <family val="2"/>
        <scheme val="minor"/>
      </rPr>
      <t>.)</t>
    </r>
  </si>
  <si>
    <r>
      <t>Rice, brown (</t>
    </r>
    <r>
      <rPr>
        <i/>
        <sz val="11"/>
        <color theme="1"/>
        <rFont val="Calibri"/>
        <family val="2"/>
        <scheme val="minor"/>
      </rPr>
      <t>Oryza sativa L</t>
    </r>
    <r>
      <rPr>
        <sz val="11"/>
        <color theme="1"/>
        <rFont val="Calibri"/>
        <family val="2"/>
        <scheme val="minor"/>
      </rPr>
      <t>.)/unpolished rice without the hulls but with the outer grain layers</t>
    </r>
  </si>
  <si>
    <r>
      <t>Sorghum (S</t>
    </r>
    <r>
      <rPr>
        <i/>
        <sz val="11"/>
        <color theme="1"/>
        <rFont val="Calibri"/>
        <family val="2"/>
        <scheme val="minor"/>
      </rPr>
      <t>orghum bicolor (L) Moench</t>
    </r>
    <r>
      <rPr>
        <sz val="11"/>
        <color theme="1"/>
        <rFont val="Calibri"/>
        <family val="2"/>
        <scheme val="minor"/>
      </rPr>
      <t>, low tannin variety</t>
    </r>
  </si>
  <si>
    <r>
      <t>Triticale (</t>
    </r>
    <r>
      <rPr>
        <i/>
        <sz val="11"/>
        <color theme="1"/>
        <rFont val="Calibri"/>
        <family val="2"/>
        <scheme val="minor"/>
      </rPr>
      <t>Triticum x Secale</t>
    </r>
    <r>
      <rPr>
        <sz val="11"/>
        <color theme="1"/>
        <rFont val="Calibri"/>
        <family val="2"/>
        <scheme val="minor"/>
      </rPr>
      <t>)</t>
    </r>
  </si>
  <si>
    <r>
      <t>Chickpea, kabuli type (</t>
    </r>
    <r>
      <rPr>
        <i/>
        <sz val="11"/>
        <color theme="1"/>
        <rFont val="Calibri"/>
        <family val="2"/>
        <scheme val="minor"/>
      </rPr>
      <t>Cicer arietinum L.</t>
    </r>
    <r>
      <rPr>
        <sz val="11"/>
        <color theme="1"/>
        <rFont val="Calibri"/>
        <family val="2"/>
        <scheme val="minor"/>
      </rPr>
      <t>)</t>
    </r>
  </si>
  <si>
    <r>
      <t>Chickpea, pressure cooked (Kabuli), (</t>
    </r>
    <r>
      <rPr>
        <i/>
        <sz val="11"/>
        <color theme="1"/>
        <rFont val="Calibri"/>
        <family val="2"/>
        <scheme val="minor"/>
      </rPr>
      <t>Cicer arietinum</t>
    </r>
    <r>
      <rPr>
        <sz val="11"/>
        <color theme="1"/>
        <rFont val="Calibri"/>
        <family val="2"/>
        <scheme val="minor"/>
      </rPr>
      <t>) garbanzo bean, var KAK-2, India (22,9 g/100 g protein)</t>
    </r>
  </si>
  <si>
    <r>
      <t>Common bean (</t>
    </r>
    <r>
      <rPr>
        <i/>
        <sz val="11"/>
        <color theme="1"/>
        <rFont val="Calibri"/>
        <family val="2"/>
        <scheme val="minor"/>
      </rPr>
      <t>Phaseolus vulgaris L.</t>
    </r>
    <r>
      <rPr>
        <sz val="11"/>
        <color theme="1"/>
        <rFont val="Calibri"/>
        <family val="2"/>
        <scheme val="minor"/>
      </rPr>
      <t>)</t>
    </r>
  </si>
  <si>
    <r>
      <t>Common vetch (</t>
    </r>
    <r>
      <rPr>
        <i/>
        <sz val="11"/>
        <color theme="1"/>
        <rFont val="Calibri"/>
        <family val="2"/>
        <scheme val="minor"/>
      </rPr>
      <t>Vicia sativa L.</t>
    </r>
    <r>
      <rPr>
        <sz val="11"/>
        <color theme="1"/>
        <rFont val="Calibri"/>
        <family val="2"/>
        <scheme val="minor"/>
      </rPr>
      <t>)</t>
    </r>
  </si>
  <si>
    <r>
      <t>Cotton seed, whole/full-fat cotton seed (</t>
    </r>
    <r>
      <rPr>
        <i/>
        <sz val="11"/>
        <color theme="1"/>
        <rFont val="Calibri"/>
        <family val="2"/>
        <scheme val="minor"/>
      </rPr>
      <t>Gossypium spp.</t>
    </r>
    <r>
      <rPr>
        <sz val="11"/>
        <color theme="1"/>
        <rFont val="Calibri"/>
        <family val="2"/>
        <scheme val="minor"/>
      </rPr>
      <t>)</t>
    </r>
  </si>
  <si>
    <r>
      <t>Cotton seed, whole, extruded/full-fat cotton seed (</t>
    </r>
    <r>
      <rPr>
        <i/>
        <sz val="11"/>
        <color theme="1"/>
        <rFont val="Calibri"/>
        <family val="2"/>
        <scheme val="minor"/>
      </rPr>
      <t>Gossypium spp</t>
    </r>
    <r>
      <rPr>
        <sz val="11"/>
        <color theme="1"/>
        <rFont val="Calibri"/>
        <family val="2"/>
        <scheme val="minor"/>
      </rPr>
      <t>)</t>
    </r>
  </si>
  <si>
    <r>
      <t>Cowpea seed (</t>
    </r>
    <r>
      <rPr>
        <i/>
        <sz val="11"/>
        <color theme="1"/>
        <rFont val="Calibri"/>
        <family val="2"/>
        <scheme val="minor"/>
      </rPr>
      <t>Vigna unguicuilata (L) Walp</t>
    </r>
    <r>
      <rPr>
        <sz val="11"/>
        <color theme="1"/>
        <rFont val="Calibri"/>
        <family val="2"/>
        <scheme val="minor"/>
      </rPr>
      <t>)</t>
    </r>
  </si>
  <si>
    <r>
      <t>Lentils (</t>
    </r>
    <r>
      <rPr>
        <i/>
        <sz val="11"/>
        <color theme="1"/>
        <rFont val="Calibri"/>
        <family val="2"/>
        <scheme val="minor"/>
      </rPr>
      <t>Lens esculenta Moench</t>
    </r>
    <r>
      <rPr>
        <sz val="11"/>
        <color theme="1"/>
        <rFont val="Calibri"/>
        <family val="2"/>
        <scheme val="minor"/>
      </rPr>
      <t>)</t>
    </r>
  </si>
  <si>
    <r>
      <t>Lentils, raw, red (</t>
    </r>
    <r>
      <rPr>
        <i/>
        <sz val="11"/>
        <color theme="1"/>
        <rFont val="Calibri"/>
        <family val="2"/>
        <scheme val="minor"/>
      </rPr>
      <t>Lens culinaris</t>
    </r>
    <r>
      <rPr>
        <sz val="11"/>
        <color theme="1"/>
        <rFont val="Calibri"/>
        <family val="2"/>
        <scheme val="minor"/>
      </rPr>
      <t>), 24,7 g/100 g protein</t>
    </r>
  </si>
  <si>
    <r>
      <t>Lentils, steam pelleted at 80-85 oC, (</t>
    </r>
    <r>
      <rPr>
        <i/>
        <sz val="11"/>
        <color theme="1"/>
        <rFont val="Calibri"/>
        <family val="2"/>
        <scheme val="minor"/>
      </rPr>
      <t>Lens culinaris</t>
    </r>
    <r>
      <rPr>
        <sz val="11"/>
        <color theme="1"/>
        <rFont val="Calibri"/>
        <family val="2"/>
        <scheme val="minor"/>
      </rPr>
      <t>), 24,3 g/100 g protein</t>
    </r>
  </si>
  <si>
    <r>
      <t>Lentils, extruded at 115oC (</t>
    </r>
    <r>
      <rPr>
        <i/>
        <sz val="11"/>
        <color theme="1"/>
        <rFont val="Calibri"/>
        <family val="2"/>
        <scheme val="minor"/>
      </rPr>
      <t>Lens culinaris</t>
    </r>
    <r>
      <rPr>
        <sz val="11"/>
        <color theme="1"/>
        <rFont val="Calibri"/>
        <family val="2"/>
        <scheme val="minor"/>
      </rPr>
      <t>), 24,4 g/00 g protein</t>
    </r>
  </si>
  <si>
    <r>
      <t>Linseed, whole (</t>
    </r>
    <r>
      <rPr>
        <i/>
        <sz val="11"/>
        <color theme="1"/>
        <rFont val="Calibri"/>
        <family val="2"/>
        <scheme val="minor"/>
      </rPr>
      <t>Linum usitatissimum</t>
    </r>
    <r>
      <rPr>
        <sz val="11"/>
        <color theme="1"/>
        <rFont val="Calibri"/>
        <family val="2"/>
        <scheme val="minor"/>
      </rPr>
      <t>)/full-fat linseed/full fat flaxseed</t>
    </r>
  </si>
  <si>
    <r>
      <t>Linseed, whole, extruded (</t>
    </r>
    <r>
      <rPr>
        <i/>
        <sz val="11"/>
        <color theme="1"/>
        <rFont val="Calibri"/>
        <family val="2"/>
        <scheme val="minor"/>
      </rPr>
      <t>Linum usitatissimum</t>
    </r>
    <r>
      <rPr>
        <sz val="11"/>
        <color theme="1"/>
        <rFont val="Calibri"/>
        <family val="2"/>
        <scheme val="minor"/>
      </rPr>
      <t>)/full-fat linseed/full fat flaxseed</t>
    </r>
  </si>
  <si>
    <r>
      <t>Lupin, blue (</t>
    </r>
    <r>
      <rPr>
        <i/>
        <sz val="11"/>
        <color theme="1"/>
        <rFont val="Calibri"/>
        <family val="2"/>
        <scheme val="minor"/>
      </rPr>
      <t>Lupinus angustifolius L.</t>
    </r>
    <r>
      <rPr>
        <sz val="11"/>
        <color theme="1"/>
        <rFont val="Calibri"/>
        <family val="2"/>
        <scheme val="minor"/>
      </rPr>
      <t>)/narrowleaf lupin</t>
    </r>
  </si>
  <si>
    <r>
      <t>Lupin, white (</t>
    </r>
    <r>
      <rPr>
        <i/>
        <sz val="11"/>
        <color theme="1"/>
        <rFont val="Calibri"/>
        <family val="2"/>
        <scheme val="minor"/>
      </rPr>
      <t>Lupinus albus L.</t>
    </r>
    <r>
      <rPr>
        <sz val="11"/>
        <color theme="1"/>
        <rFont val="Calibri"/>
        <family val="2"/>
        <scheme val="minor"/>
      </rPr>
      <t>)</t>
    </r>
  </si>
  <si>
    <r>
      <t>Lupin, white, extruded (</t>
    </r>
    <r>
      <rPr>
        <i/>
        <sz val="11"/>
        <color theme="1"/>
        <rFont val="Calibri"/>
        <family val="2"/>
        <scheme val="minor"/>
      </rPr>
      <t>Lupinus albus L.</t>
    </r>
    <r>
      <rPr>
        <sz val="11"/>
        <color theme="1"/>
        <rFont val="Calibri"/>
        <family val="2"/>
        <scheme val="minor"/>
      </rPr>
      <t>)</t>
    </r>
  </si>
  <si>
    <r>
      <t>Mung bean (</t>
    </r>
    <r>
      <rPr>
        <i/>
        <sz val="11"/>
        <color theme="1"/>
        <rFont val="Calibri"/>
        <family val="2"/>
        <scheme val="minor"/>
      </rPr>
      <t>Vigna radiata</t>
    </r>
    <r>
      <rPr>
        <sz val="11"/>
        <color theme="1"/>
        <rFont val="Calibri"/>
        <family val="2"/>
        <scheme val="minor"/>
      </rPr>
      <t>, var. KKM-3), India (24,9 g/100 g protein)</t>
    </r>
  </si>
  <si>
    <r>
      <t>Mung bean, dehulled (</t>
    </r>
    <r>
      <rPr>
        <i/>
        <sz val="11"/>
        <color theme="1"/>
        <rFont val="Calibri"/>
        <family val="2"/>
        <scheme val="minor"/>
      </rPr>
      <t>Vigna radiata</t>
    </r>
    <r>
      <rPr>
        <sz val="11"/>
        <color theme="1"/>
        <rFont val="Calibri"/>
        <family val="2"/>
        <scheme val="minor"/>
      </rPr>
      <t>, var. KKM-3), India (25,7 g/100 g protein)</t>
    </r>
  </si>
  <si>
    <r>
      <t>Pea (</t>
    </r>
    <r>
      <rPr>
        <i/>
        <sz val="11"/>
        <color theme="1"/>
        <rFont val="Calibri"/>
        <family val="2"/>
        <scheme val="minor"/>
      </rPr>
      <t>Pisum sativum L.</t>
    </r>
    <r>
      <rPr>
        <sz val="11"/>
        <color theme="1"/>
        <rFont val="Calibri"/>
        <family val="2"/>
        <scheme val="minor"/>
      </rPr>
      <t>)</t>
    </r>
  </si>
  <si>
    <r>
      <t>Pea, extruded (</t>
    </r>
    <r>
      <rPr>
        <i/>
        <sz val="11"/>
        <color theme="1"/>
        <rFont val="Calibri"/>
        <family val="2"/>
        <scheme val="minor"/>
      </rPr>
      <t>Pisum sativum L</t>
    </r>
    <r>
      <rPr>
        <sz val="11"/>
        <color theme="1"/>
        <rFont val="Calibri"/>
        <family val="2"/>
        <scheme val="minor"/>
      </rPr>
      <t>.)</t>
    </r>
  </si>
  <si>
    <r>
      <t>Pea, yellow, pressure cooked (</t>
    </r>
    <r>
      <rPr>
        <i/>
        <sz val="11"/>
        <color theme="1"/>
        <rFont val="Calibri"/>
        <family val="2"/>
        <scheme val="minor"/>
      </rPr>
      <t>Pisum sativum</t>
    </r>
    <r>
      <rPr>
        <sz val="11"/>
        <color theme="1"/>
        <rFont val="Calibri"/>
        <family val="2"/>
        <scheme val="minor"/>
      </rPr>
      <t>; var. Salamanca) (24,4 g/100 g protein)</t>
    </r>
  </si>
  <si>
    <r>
      <t>Pistachio nuts, raw (</t>
    </r>
    <r>
      <rPr>
        <i/>
        <sz val="11"/>
        <color theme="1"/>
        <rFont val="Calibri"/>
        <family val="2"/>
        <scheme val="minor"/>
      </rPr>
      <t>Pistacia vera L</t>
    </r>
    <r>
      <rPr>
        <sz val="11"/>
        <color theme="1"/>
        <rFont val="Calibri"/>
        <family val="2"/>
        <scheme val="minor"/>
      </rPr>
      <t>.), 27,1 g/100 g protein)</t>
    </r>
  </si>
  <si>
    <r>
      <t>Pistachio nuts, roasted (</t>
    </r>
    <r>
      <rPr>
        <i/>
        <sz val="11"/>
        <color theme="1"/>
        <rFont val="Calibri"/>
        <family val="2"/>
        <scheme val="minor"/>
      </rPr>
      <t>Pistacia vera L.</t>
    </r>
    <r>
      <rPr>
        <sz val="11"/>
        <color theme="1"/>
        <rFont val="Calibri"/>
        <family val="2"/>
        <scheme val="minor"/>
      </rPr>
      <t>), 25,1 g/100 g protein</t>
    </r>
  </si>
  <si>
    <r>
      <t>Rapeseed, whole (</t>
    </r>
    <r>
      <rPr>
        <i/>
        <sz val="11"/>
        <color theme="1"/>
        <rFont val="Calibri"/>
        <family val="2"/>
        <scheme val="minor"/>
      </rPr>
      <t>Brassica napus L., Brassica rapa L., Brassica juncea L.</t>
    </r>
    <r>
      <rPr>
        <sz val="11"/>
        <color theme="1"/>
        <rFont val="Calibri"/>
        <family val="2"/>
        <scheme val="minor"/>
      </rPr>
      <t>)/full-fat rapeseed/full-fat canola seed</t>
    </r>
  </si>
  <si>
    <r>
      <t>Rapeseed, whole, extruded (</t>
    </r>
    <r>
      <rPr>
        <i/>
        <sz val="11"/>
        <color theme="1"/>
        <rFont val="Calibri"/>
        <family val="2"/>
        <scheme val="minor"/>
      </rPr>
      <t>Brassica napus L., Brassica rapa L., Brassica juncea L.</t>
    </r>
    <r>
      <rPr>
        <sz val="11"/>
        <color theme="1"/>
        <rFont val="Calibri"/>
        <family val="2"/>
        <scheme val="minor"/>
      </rPr>
      <t>)/full-fat rapeseed/full-fat canola seed</t>
    </r>
  </si>
  <si>
    <r>
      <t>Soybean, whole, extruded (</t>
    </r>
    <r>
      <rPr>
        <i/>
        <sz val="11"/>
        <color theme="1"/>
        <rFont val="Calibri"/>
        <family val="2"/>
        <scheme val="minor"/>
      </rPr>
      <t>Glycine max (L) Merr.</t>
    </r>
    <r>
      <rPr>
        <sz val="11"/>
        <color theme="1"/>
        <rFont val="Calibri"/>
        <family val="2"/>
        <scheme val="minor"/>
      </rPr>
      <t>), extruded full-fat soybean</t>
    </r>
  </si>
  <si>
    <r>
      <t>Soybean, whole, flaked (</t>
    </r>
    <r>
      <rPr>
        <i/>
        <sz val="11"/>
        <color theme="1"/>
        <rFont val="Calibri"/>
        <family val="2"/>
        <scheme val="minor"/>
      </rPr>
      <t>Glycine max (L) Merr.</t>
    </r>
    <r>
      <rPr>
        <sz val="11"/>
        <color theme="1"/>
        <rFont val="Calibri"/>
        <family val="2"/>
        <scheme val="minor"/>
      </rPr>
      <t>)/flaked or rolled full-fat soybean</t>
    </r>
  </si>
  <si>
    <r>
      <t>Soybean, whole, toasted (</t>
    </r>
    <r>
      <rPr>
        <i/>
        <sz val="11"/>
        <color theme="1"/>
        <rFont val="Calibri"/>
        <family val="2"/>
        <scheme val="minor"/>
      </rPr>
      <t>Glycine max (L) Merr.</t>
    </r>
    <r>
      <rPr>
        <sz val="11"/>
        <color theme="1"/>
        <rFont val="Calibri"/>
        <family val="2"/>
        <scheme val="minor"/>
      </rPr>
      <t>)/toasted full-fat soybean</t>
    </r>
  </si>
  <si>
    <r>
      <t>Soybean, whole, toasted, flaked and expanded (</t>
    </r>
    <r>
      <rPr>
        <i/>
        <sz val="11"/>
        <color theme="1"/>
        <rFont val="Calibri"/>
        <family val="2"/>
        <scheme val="minor"/>
      </rPr>
      <t>Glycine max (L) Merr.</t>
    </r>
    <r>
      <rPr>
        <sz val="11"/>
        <color theme="1"/>
        <rFont val="Calibri"/>
        <family val="2"/>
        <scheme val="minor"/>
      </rPr>
      <t>)</t>
    </r>
  </si>
  <si>
    <t xml:space="preserve">Yin at al., 2008 - evaluating standardised ileal digestibility of amino acids in growing pigs </t>
  </si>
  <si>
    <t>Data source 2</t>
  </si>
  <si>
    <t xml:space="preserve">Faba bean, coloured flowers, high tannin </t>
  </si>
  <si>
    <t>Faba bean, coloured flowers, high tannin</t>
  </si>
  <si>
    <t>Faba bean, colored flowers, high tannin, extruded, horse bean/field bean (Vicia faba L.)</t>
  </si>
  <si>
    <t>Faba bean, white flowers, low tannin, horse bean/field bean (Vicia faba L.)</t>
  </si>
  <si>
    <t>Milk protein concentrate</t>
  </si>
  <si>
    <t>THR</t>
  </si>
  <si>
    <t>ILE</t>
  </si>
  <si>
    <t>LEU</t>
  </si>
  <si>
    <t>LYS</t>
  </si>
  <si>
    <t>MET</t>
  </si>
  <si>
    <t>CYS</t>
  </si>
  <si>
    <t>PHE</t>
  </si>
  <si>
    <t>TYR</t>
  </si>
  <si>
    <t>VAL</t>
  </si>
  <si>
    <t>ARG</t>
  </si>
  <si>
    <t>HIS</t>
  </si>
  <si>
    <t>Pocured from Siemer Enterprises Inc.</t>
  </si>
  <si>
    <t>SAA</t>
  </si>
  <si>
    <t>AAA</t>
  </si>
  <si>
    <t xml:space="preserve">Values in red are calculated average AA digestibility </t>
  </si>
  <si>
    <t>Naso-ileal intubation method used to continously collect postprandal ileal digesta from healthy volunteers, Values in red are calculated average AA digestibility</t>
  </si>
  <si>
    <t>g/kg</t>
  </si>
  <si>
    <t>Final DIAAS Score</t>
  </si>
  <si>
    <t>1st Limiting AA</t>
  </si>
  <si>
    <t>TRP</t>
  </si>
  <si>
    <t>protein content was truncated to 1000</t>
  </si>
  <si>
    <t xml:space="preserve">Calculated values differ from reported values in the paper </t>
  </si>
  <si>
    <t>Kashyap et al., 2019. True ileal digestibility of legumes determined by dual-isotope tracer method in Indian adults</t>
  </si>
  <si>
    <t xml:space="preserve">Calculated values differ slightly from reported values in the paper </t>
  </si>
  <si>
    <t>Tryptophan data not given</t>
  </si>
  <si>
    <t xml:space="preserve">Single cell protein </t>
  </si>
  <si>
    <t xml:space="preserve">Soy bean meal </t>
  </si>
  <si>
    <t>Wang et al., 2013 - Amino acid digestibility of single cell protein from Corynebacterium</t>
  </si>
  <si>
    <t>Single cell protein (from Corynebacterium)</t>
  </si>
  <si>
    <t>CVB Feed Table 2016, Chemical composition and nutritional values of feedstuffs</t>
  </si>
  <si>
    <t>1,19</t>
  </si>
  <si>
    <t xml:space="preserve">Soybean meal (conventionally processed) </t>
  </si>
  <si>
    <t>Oliveira et al., 2020 - Concentrations of digestible and metabolizable energy and amino acid digestibility by growing pigs may be reduced by autoclaving soybean meal</t>
  </si>
  <si>
    <t>Soybean meal (autoclaved, 110oC, 15 min)</t>
  </si>
  <si>
    <t>Soybean meal (autoclaved, 110oC, 30 min)</t>
  </si>
  <si>
    <t>Soybean meal (autoclaved, 150oC, 3 min)</t>
  </si>
  <si>
    <t>Soybean meal (autoclaved, 150oC, 6 min)</t>
  </si>
  <si>
    <t>Soybean meal (autoclaved, 150oC, 9 min)</t>
  </si>
  <si>
    <t>Soybean meal (autoclaved, 150oC, 12 min)</t>
  </si>
  <si>
    <t>Soybean meal (autoclaved, 150oC, 15 min)</t>
  </si>
  <si>
    <t>Soybean meal (autoclaved, 150oC, 18 min)</t>
  </si>
  <si>
    <t>whey protein isolate (WPI)</t>
  </si>
  <si>
    <t>whey protein concentrate (WPC)</t>
  </si>
  <si>
    <t>milk protein concentrate (MPC)</t>
  </si>
  <si>
    <t>skimmed milk powder (SMP)</t>
  </si>
  <si>
    <t>pea protein concentrate (PPC)</t>
  </si>
  <si>
    <t>soya flour</t>
  </si>
  <si>
    <t>wheat</t>
  </si>
  <si>
    <t xml:space="preserve">Cereals &amp; cereal products </t>
  </si>
  <si>
    <t>Mathai et al., 2017 - Values for DIAAS for some diary  and plant proteins may better describe protein quality than values calculated using the concept for PDCAAS</t>
  </si>
  <si>
    <t>soy protein isolate (SPI)</t>
  </si>
  <si>
    <t>Faba beans (cultivar - Alfred), high tannin</t>
  </si>
  <si>
    <t xml:space="preserve">Faba beans (cultivar - Alfred), high tannin, dehulled, </t>
  </si>
  <si>
    <t>Lupins (cultivar - Lublanc )</t>
  </si>
  <si>
    <t>Lupins (cultivar - Australian)</t>
  </si>
  <si>
    <t>Faba beans (cultivar - Blandine )</t>
  </si>
  <si>
    <t>Peas (Cultivar - Amino)</t>
  </si>
  <si>
    <t>Peas (Cultivar - Australian)</t>
  </si>
  <si>
    <t>Peas (Cultivar - Finale)</t>
  </si>
  <si>
    <t>Peas (Cultivar - Frilene), high in trypsin inhibitor, extruded</t>
  </si>
  <si>
    <t>Peas (Cultivar - Frilene), high in trypsin inhibitor</t>
  </si>
  <si>
    <t>Mariscal-Landin et al., 2002 - Apparent and standardised true ileal digestibility of protein and amino acids from faba bean, lupin and pea, provided as whole seeds, dehulled or extruded in pig diets</t>
  </si>
  <si>
    <t xml:space="preserve">Calculated DIAAS values much lower compared to other sources as AA composition reported is low. </t>
  </si>
  <si>
    <t xml:space="preserve">Pea protein isolate, yellow </t>
  </si>
  <si>
    <t xml:space="preserve">Casein </t>
  </si>
  <si>
    <t>True/real Ileal</t>
  </si>
  <si>
    <t>Human (Predicted)</t>
  </si>
  <si>
    <t>Beef, lean (80%)</t>
  </si>
  <si>
    <t>Beef, lean (93%)</t>
  </si>
  <si>
    <t>Pork</t>
  </si>
  <si>
    <t xml:space="preserve">Impossible burger </t>
  </si>
  <si>
    <t>Beyond burger</t>
  </si>
  <si>
    <t xml:space="preserve">Burger bun </t>
  </si>
  <si>
    <t xml:space="preserve">Plant based </t>
  </si>
  <si>
    <t>Beef, lean (80%) + burger bun</t>
  </si>
  <si>
    <t>Pork + burger bun</t>
  </si>
  <si>
    <t>Impossible burger + burger bun</t>
  </si>
  <si>
    <t>Fanelli at al., 2021 - DIAAS is greater in animal based burgers than in plant based burgers if determined in pigs</t>
  </si>
  <si>
    <t xml:space="preserve">Guillin et al., 2021 - Real ileal amino acid digestibility of pea protein compared ti casein in healthy humans, a randomised trial </t>
  </si>
  <si>
    <t>Millet</t>
  </si>
  <si>
    <t>Mixed food (animal + cereal product)</t>
  </si>
  <si>
    <t>Mixed food (plant based)</t>
  </si>
  <si>
    <t>Mixed food (cereal + legume)</t>
  </si>
  <si>
    <t>Han et al., 2021 -  The complementarity of amino acids in cooked pulse/cereal blends and effects on DIAAS</t>
  </si>
  <si>
    <t>Adlay (Chinese pearl barley)</t>
  </si>
  <si>
    <t xml:space="preserve">AA composition data not given, only DIAAS values for older children, adolescents and adults reported. </t>
  </si>
  <si>
    <t>AA composition data not given, only DIAAS values reported</t>
  </si>
  <si>
    <t>Mung bean (32%) + millet (68%)</t>
  </si>
  <si>
    <t>Adzuki bean (40%)+ adlay (Chinese pearl barley) (60%)</t>
  </si>
  <si>
    <t xml:space="preserve">Data reported not sufficuent to calculate protein and AA composition of ingredients </t>
  </si>
  <si>
    <t>AA composition data not reported so DIAAS for this age group could not be calculated</t>
  </si>
  <si>
    <t>Quick Oats</t>
  </si>
  <si>
    <t>milk, dried, non fat</t>
  </si>
  <si>
    <t>Cornflakes (Kelloggs company)</t>
  </si>
  <si>
    <t>Quick oats + dry milk (ratio  of mix 2.4:1)</t>
  </si>
  <si>
    <t>Cornflakes + dry milk (ratio of mix 2.6:1)</t>
  </si>
  <si>
    <t>Mixed food (cereal + animal product)</t>
  </si>
  <si>
    <t xml:space="preserve">AA composition data not reported </t>
  </si>
  <si>
    <t xml:space="preserve">Fanelli et al., 2021 - Values for DIAAS determined in pigs are greater for milk than for breakfast cereals, but DIAAS values for individual ingredients are additive in combined meals </t>
  </si>
  <si>
    <t xml:space="preserve">Calderon de la Barca et al., 2021 - Pinto bean amino acid digestibility and score in a Mexican dish with corn tortilla abd guacemole, evaluated in adults using a dual tracer isotopic method </t>
  </si>
  <si>
    <t>Pinto bean (served with corn tortilla and guacamole)</t>
  </si>
  <si>
    <t>DIAAS values for TRP and HIS not reported</t>
  </si>
  <si>
    <t>Bailey et al., Most meat products have DIAAS that are greater than 100, but processing may increase or reduce protein quality</t>
  </si>
  <si>
    <t>Salami (fully coked, cured and fermented), includes pok and pork hearts</t>
  </si>
  <si>
    <t>Bologna (fully cooked and cured), includes pork and beef</t>
  </si>
  <si>
    <t xml:space="preserve">Beef jerky </t>
  </si>
  <si>
    <t>Beef, ground, raw</t>
  </si>
  <si>
    <t>Beef, ground, cooked</t>
  </si>
  <si>
    <t>ribeye roast, medium rare (cooked to 56oC)</t>
  </si>
  <si>
    <t>ribeye roast, medium (cooked to 64oC)</t>
  </si>
  <si>
    <t>ribeye roast, well-done (ccoked to 72oC)</t>
  </si>
  <si>
    <t>Only digestible AA reported in full</t>
  </si>
  <si>
    <t>Bailet et al., 2019 - Pork products have DIAAS that are greater than 100 when determined in pigs, but processing does not always increase DIAAS</t>
  </si>
  <si>
    <t>pork belly, raw</t>
  </si>
  <si>
    <t>Bacon, smoked</t>
  </si>
  <si>
    <t>Bacon, smoked, cooked</t>
  </si>
  <si>
    <t>Ham, non-cured</t>
  </si>
  <si>
    <t>Ham, cured with celery/salt (no nitrite)</t>
  </si>
  <si>
    <t xml:space="preserve">Ham, cured </t>
  </si>
  <si>
    <t>pork loin, medium (cooked to 63oC)</t>
  </si>
  <si>
    <t>pork loin, medium-well (cooked to 68oC)</t>
  </si>
  <si>
    <t>pork loin, well-done (cooked to 72oC)</t>
  </si>
  <si>
    <r>
      <t>Millet, pearl (</t>
    </r>
    <r>
      <rPr>
        <i/>
        <sz val="11"/>
        <color theme="1"/>
        <rFont val="Calibri"/>
        <family val="2"/>
        <scheme val="minor"/>
      </rPr>
      <t>Penisetum glaucum (l) R. Br</t>
    </r>
    <r>
      <rPr>
        <sz val="11"/>
        <color theme="1"/>
        <rFont val="Calibri"/>
        <family val="2"/>
        <scheme val="minor"/>
      </rPr>
      <t>)/candle millet/dark millet/bajra/Indian millet/horse millet/bulrush millet/cattail millet</t>
    </r>
  </si>
  <si>
    <r>
      <t>Millet, proso (</t>
    </r>
    <r>
      <rPr>
        <i/>
        <sz val="11"/>
        <color theme="1"/>
        <rFont val="Calibri"/>
        <family val="2"/>
        <scheme val="minor"/>
      </rPr>
      <t>Panicum miliaceum L.</t>
    </r>
    <r>
      <rPr>
        <sz val="11"/>
        <color theme="1"/>
        <rFont val="Calibri"/>
        <family val="2"/>
        <scheme val="minor"/>
      </rPr>
      <t>)/common millet/broomtail millet/hog millet/white millet/broomcorn millet</t>
    </r>
  </si>
  <si>
    <r>
      <t>Oat groats (</t>
    </r>
    <r>
      <rPr>
        <i/>
        <sz val="11"/>
        <color theme="1"/>
        <rFont val="Calibri"/>
        <family val="2"/>
        <scheme val="minor"/>
      </rPr>
      <t>Avena sativa L.</t>
    </r>
    <r>
      <rPr>
        <sz val="11"/>
        <color theme="1"/>
        <rFont val="Calibri"/>
        <family val="2"/>
        <scheme val="minor"/>
      </rPr>
      <t>)/oat grain from whuch hulls have been removed</t>
    </r>
  </si>
  <si>
    <r>
      <t>Oats (</t>
    </r>
    <r>
      <rPr>
        <i/>
        <sz val="11"/>
        <color theme="1"/>
        <rFont val="Calibri"/>
        <family val="2"/>
        <scheme val="minor"/>
      </rPr>
      <t>Avena sativa L.</t>
    </r>
    <r>
      <rPr>
        <sz val="11"/>
        <color theme="1"/>
        <rFont val="Calibri"/>
        <family val="2"/>
        <scheme val="minor"/>
      </rPr>
      <t>)</t>
    </r>
  </si>
  <si>
    <r>
      <t>Oats (</t>
    </r>
    <r>
      <rPr>
        <i/>
        <sz val="11"/>
        <color theme="1"/>
        <rFont val="Calibri"/>
        <family val="2"/>
        <scheme val="minor"/>
      </rPr>
      <t>Avena sativa L</t>
    </r>
    <r>
      <rPr>
        <sz val="11"/>
        <color theme="1"/>
        <rFont val="Calibri"/>
        <family val="2"/>
        <scheme val="minor"/>
      </rPr>
      <t>.)</t>
    </r>
  </si>
  <si>
    <r>
      <t>Rice, brown (</t>
    </r>
    <r>
      <rPr>
        <i/>
        <sz val="11"/>
        <color theme="1"/>
        <rFont val="Calibri"/>
        <family val="2"/>
        <scheme val="minor"/>
      </rPr>
      <t>Oryza sativa L</t>
    </r>
    <r>
      <rPr>
        <sz val="11"/>
        <color theme="1"/>
        <rFont val="Calibri"/>
        <family val="2"/>
        <scheme val="minor"/>
      </rPr>
      <t>.)/unpolished rice without the hulls but with the outer grain layers</t>
    </r>
  </si>
  <si>
    <r>
      <t>Sorghum (S</t>
    </r>
    <r>
      <rPr>
        <i/>
        <sz val="11"/>
        <color theme="1"/>
        <rFont val="Calibri"/>
        <family val="2"/>
        <scheme val="minor"/>
      </rPr>
      <t>orghum bicolor (L) Moench</t>
    </r>
    <r>
      <rPr>
        <sz val="11"/>
        <color theme="1"/>
        <rFont val="Calibri"/>
        <family val="2"/>
        <scheme val="minor"/>
      </rPr>
      <t>, low tannin variety</t>
    </r>
  </si>
  <si>
    <r>
      <t>Triticale (</t>
    </r>
    <r>
      <rPr>
        <i/>
        <sz val="11"/>
        <color theme="1"/>
        <rFont val="Calibri"/>
        <family val="2"/>
        <scheme val="minor"/>
      </rPr>
      <t>Triticum x Secale</t>
    </r>
    <r>
      <rPr>
        <sz val="11"/>
        <color theme="1"/>
        <rFont val="Calibri"/>
        <family val="2"/>
        <scheme val="minor"/>
      </rPr>
      <t>)</t>
    </r>
  </si>
  <si>
    <r>
      <t>Chickpea, kabuli type (</t>
    </r>
    <r>
      <rPr>
        <i/>
        <sz val="11"/>
        <color theme="1"/>
        <rFont val="Calibri"/>
        <family val="2"/>
        <scheme val="minor"/>
      </rPr>
      <t>Cicer arietinum L.</t>
    </r>
    <r>
      <rPr>
        <sz val="11"/>
        <color theme="1"/>
        <rFont val="Calibri"/>
        <family val="2"/>
        <scheme val="minor"/>
      </rPr>
      <t>)</t>
    </r>
  </si>
  <si>
    <r>
      <t>Chickpea, pressure cooked (Kabuli), (</t>
    </r>
    <r>
      <rPr>
        <i/>
        <sz val="11"/>
        <color theme="1"/>
        <rFont val="Calibri"/>
        <family val="2"/>
        <scheme val="minor"/>
      </rPr>
      <t>Cicer arietinum</t>
    </r>
    <r>
      <rPr>
        <sz val="11"/>
        <color theme="1"/>
        <rFont val="Calibri"/>
        <family val="2"/>
        <scheme val="minor"/>
      </rPr>
      <t>) garbanzo bean, var KAK-2, India (22,9 g/100 g protein)</t>
    </r>
  </si>
  <si>
    <r>
      <t>Common bean (</t>
    </r>
    <r>
      <rPr>
        <i/>
        <sz val="11"/>
        <color theme="1"/>
        <rFont val="Calibri"/>
        <family val="2"/>
        <scheme val="minor"/>
      </rPr>
      <t>Phaseolus vulgaris L.</t>
    </r>
    <r>
      <rPr>
        <sz val="11"/>
        <color theme="1"/>
        <rFont val="Calibri"/>
        <family val="2"/>
        <scheme val="minor"/>
      </rPr>
      <t>)</t>
    </r>
  </si>
  <si>
    <r>
      <t>Common vetch (</t>
    </r>
    <r>
      <rPr>
        <i/>
        <sz val="11"/>
        <color theme="1"/>
        <rFont val="Calibri"/>
        <family val="2"/>
        <scheme val="minor"/>
      </rPr>
      <t>Vicia sativa L.</t>
    </r>
    <r>
      <rPr>
        <sz val="11"/>
        <color theme="1"/>
        <rFont val="Calibri"/>
        <family val="2"/>
        <scheme val="minor"/>
      </rPr>
      <t>)</t>
    </r>
  </si>
  <si>
    <r>
      <t>Cotton seed, whole/full-fat cotton seed (</t>
    </r>
    <r>
      <rPr>
        <i/>
        <sz val="11"/>
        <color theme="1"/>
        <rFont val="Calibri"/>
        <family val="2"/>
        <scheme val="minor"/>
      </rPr>
      <t>Gossypium spp.</t>
    </r>
    <r>
      <rPr>
        <sz val="11"/>
        <color theme="1"/>
        <rFont val="Calibri"/>
        <family val="2"/>
        <scheme val="minor"/>
      </rPr>
      <t>)</t>
    </r>
  </si>
  <si>
    <r>
      <t>Cotton seed, whole, extruded/full-fat cotton seed (</t>
    </r>
    <r>
      <rPr>
        <i/>
        <sz val="11"/>
        <color theme="1"/>
        <rFont val="Calibri"/>
        <family val="2"/>
        <scheme val="minor"/>
      </rPr>
      <t>Gossypium spp</t>
    </r>
    <r>
      <rPr>
        <sz val="11"/>
        <color theme="1"/>
        <rFont val="Calibri"/>
        <family val="2"/>
        <scheme val="minor"/>
      </rPr>
      <t>)</t>
    </r>
  </si>
  <si>
    <r>
      <t>Cowpea seed (</t>
    </r>
    <r>
      <rPr>
        <i/>
        <sz val="11"/>
        <color theme="1"/>
        <rFont val="Calibri"/>
        <family val="2"/>
        <scheme val="minor"/>
      </rPr>
      <t>Vigna unguicuilata (L) Walp</t>
    </r>
    <r>
      <rPr>
        <sz val="11"/>
        <color theme="1"/>
        <rFont val="Calibri"/>
        <family val="2"/>
        <scheme val="minor"/>
      </rPr>
      <t>)</t>
    </r>
  </si>
  <si>
    <r>
      <t>Lentils (</t>
    </r>
    <r>
      <rPr>
        <i/>
        <sz val="11"/>
        <color theme="1"/>
        <rFont val="Calibri"/>
        <family val="2"/>
        <scheme val="minor"/>
      </rPr>
      <t>Lens esculenta Moench</t>
    </r>
    <r>
      <rPr>
        <sz val="11"/>
        <color theme="1"/>
        <rFont val="Calibri"/>
        <family val="2"/>
        <scheme val="minor"/>
      </rPr>
      <t>)</t>
    </r>
  </si>
  <si>
    <r>
      <t>Lentils, raw, red (</t>
    </r>
    <r>
      <rPr>
        <i/>
        <sz val="11"/>
        <color theme="1"/>
        <rFont val="Calibri"/>
        <family val="2"/>
        <scheme val="minor"/>
      </rPr>
      <t>Lens culinaris</t>
    </r>
    <r>
      <rPr>
        <sz val="11"/>
        <color theme="1"/>
        <rFont val="Calibri"/>
        <family val="2"/>
        <scheme val="minor"/>
      </rPr>
      <t>), 24,7 g/100 g protein</t>
    </r>
  </si>
  <si>
    <r>
      <t>Lentils, steam pelleted at 80-85 oC, (</t>
    </r>
    <r>
      <rPr>
        <i/>
        <sz val="11"/>
        <color theme="1"/>
        <rFont val="Calibri"/>
        <family val="2"/>
        <scheme val="minor"/>
      </rPr>
      <t>Lens culinaris</t>
    </r>
    <r>
      <rPr>
        <sz val="11"/>
        <color theme="1"/>
        <rFont val="Calibri"/>
        <family val="2"/>
        <scheme val="minor"/>
      </rPr>
      <t>), 24,3 g/100 g protein</t>
    </r>
  </si>
  <si>
    <r>
      <t>Lentils, extruded at 115oC (</t>
    </r>
    <r>
      <rPr>
        <i/>
        <sz val="11"/>
        <color theme="1"/>
        <rFont val="Calibri"/>
        <family val="2"/>
        <scheme val="minor"/>
      </rPr>
      <t>Lens culinaris</t>
    </r>
    <r>
      <rPr>
        <sz val="11"/>
        <color theme="1"/>
        <rFont val="Calibri"/>
        <family val="2"/>
        <scheme val="minor"/>
      </rPr>
      <t>), 24,4 g/00 g protein</t>
    </r>
  </si>
  <si>
    <r>
      <t>Linseed, whole (</t>
    </r>
    <r>
      <rPr>
        <i/>
        <sz val="11"/>
        <color theme="1"/>
        <rFont val="Calibri"/>
        <family val="2"/>
        <scheme val="minor"/>
      </rPr>
      <t>Linum usitatissimum</t>
    </r>
    <r>
      <rPr>
        <sz val="11"/>
        <color theme="1"/>
        <rFont val="Calibri"/>
        <family val="2"/>
        <scheme val="minor"/>
      </rPr>
      <t>)/full-fat linseed/full fat flaxseed</t>
    </r>
  </si>
  <si>
    <r>
      <t>Linseed, whole, extruded (</t>
    </r>
    <r>
      <rPr>
        <i/>
        <sz val="11"/>
        <color theme="1"/>
        <rFont val="Calibri"/>
        <family val="2"/>
        <scheme val="minor"/>
      </rPr>
      <t>Linum usitatissimum</t>
    </r>
    <r>
      <rPr>
        <sz val="11"/>
        <color theme="1"/>
        <rFont val="Calibri"/>
        <family val="2"/>
        <scheme val="minor"/>
      </rPr>
      <t>)/full-fat linseed/full fat flaxseed</t>
    </r>
  </si>
  <si>
    <r>
      <t>Lupin, blue (</t>
    </r>
    <r>
      <rPr>
        <i/>
        <sz val="11"/>
        <color theme="1"/>
        <rFont val="Calibri"/>
        <family val="2"/>
        <scheme val="minor"/>
      </rPr>
      <t>Lupinus angustifolius L.</t>
    </r>
    <r>
      <rPr>
        <sz val="11"/>
        <color theme="1"/>
        <rFont val="Calibri"/>
        <family val="2"/>
        <scheme val="minor"/>
      </rPr>
      <t>)/narrowleaf lupin</t>
    </r>
  </si>
  <si>
    <r>
      <t>Lupin, white (</t>
    </r>
    <r>
      <rPr>
        <i/>
        <sz val="11"/>
        <color theme="1"/>
        <rFont val="Calibri"/>
        <family val="2"/>
        <scheme val="minor"/>
      </rPr>
      <t>Lupinus albus L.</t>
    </r>
    <r>
      <rPr>
        <sz val="11"/>
        <color theme="1"/>
        <rFont val="Calibri"/>
        <family val="2"/>
        <scheme val="minor"/>
      </rPr>
      <t>)</t>
    </r>
  </si>
  <si>
    <r>
      <t>Lupin, white, extruded (</t>
    </r>
    <r>
      <rPr>
        <i/>
        <sz val="11"/>
        <color theme="1"/>
        <rFont val="Calibri"/>
        <family val="2"/>
        <scheme val="minor"/>
      </rPr>
      <t>Lupinus albus L.</t>
    </r>
    <r>
      <rPr>
        <sz val="11"/>
        <color theme="1"/>
        <rFont val="Calibri"/>
        <family val="2"/>
        <scheme val="minor"/>
      </rPr>
      <t>)</t>
    </r>
  </si>
  <si>
    <r>
      <t>Mung bean (</t>
    </r>
    <r>
      <rPr>
        <i/>
        <sz val="11"/>
        <color theme="1"/>
        <rFont val="Calibri"/>
        <family val="2"/>
        <scheme val="minor"/>
      </rPr>
      <t>Vigna radiata</t>
    </r>
    <r>
      <rPr>
        <sz val="11"/>
        <color theme="1"/>
        <rFont val="Calibri"/>
        <family val="2"/>
        <scheme val="minor"/>
      </rPr>
      <t>, var. KKM-3), India (24,9 g/100 g protein)</t>
    </r>
  </si>
  <si>
    <r>
      <t>Mung bean, dehulled (</t>
    </r>
    <r>
      <rPr>
        <i/>
        <sz val="11"/>
        <color theme="1"/>
        <rFont val="Calibri"/>
        <family val="2"/>
        <scheme val="minor"/>
      </rPr>
      <t>Vigna radiata</t>
    </r>
    <r>
      <rPr>
        <sz val="11"/>
        <color theme="1"/>
        <rFont val="Calibri"/>
        <family val="2"/>
        <scheme val="minor"/>
      </rPr>
      <t>, var. KKM-3), India (25,7 g/100 g protein)</t>
    </r>
  </si>
  <si>
    <r>
      <t>Pea (</t>
    </r>
    <r>
      <rPr>
        <i/>
        <sz val="11"/>
        <color theme="1"/>
        <rFont val="Calibri"/>
        <family val="2"/>
        <scheme val="minor"/>
      </rPr>
      <t>Pisum sativum L.</t>
    </r>
    <r>
      <rPr>
        <sz val="11"/>
        <color theme="1"/>
        <rFont val="Calibri"/>
        <family val="2"/>
        <scheme val="minor"/>
      </rPr>
      <t>)</t>
    </r>
  </si>
  <si>
    <r>
      <t>Pea, extruded (</t>
    </r>
    <r>
      <rPr>
        <i/>
        <sz val="11"/>
        <color theme="1"/>
        <rFont val="Calibri"/>
        <family val="2"/>
        <scheme val="minor"/>
      </rPr>
      <t>Pisum sativum L</t>
    </r>
    <r>
      <rPr>
        <sz val="11"/>
        <color theme="1"/>
        <rFont val="Calibri"/>
        <family val="2"/>
        <scheme val="minor"/>
      </rPr>
      <t>.)</t>
    </r>
  </si>
  <si>
    <r>
      <t>Pea, yellow, pressure cooked (</t>
    </r>
    <r>
      <rPr>
        <i/>
        <sz val="11"/>
        <color theme="1"/>
        <rFont val="Calibri"/>
        <family val="2"/>
        <scheme val="minor"/>
      </rPr>
      <t>Pisum sativum</t>
    </r>
    <r>
      <rPr>
        <sz val="11"/>
        <color theme="1"/>
        <rFont val="Calibri"/>
        <family val="2"/>
        <scheme val="minor"/>
      </rPr>
      <t>; var. Salamanca) (24,4 g/100 g protein)</t>
    </r>
  </si>
  <si>
    <r>
      <t>Pistachio nuts, raw (</t>
    </r>
    <r>
      <rPr>
        <i/>
        <sz val="11"/>
        <color theme="1"/>
        <rFont val="Calibri"/>
        <family val="2"/>
        <scheme val="minor"/>
      </rPr>
      <t>Pistacia vera L</t>
    </r>
    <r>
      <rPr>
        <sz val="11"/>
        <color theme="1"/>
        <rFont val="Calibri"/>
        <family val="2"/>
        <scheme val="minor"/>
      </rPr>
      <t>.), 27,1 g/100 g protein)</t>
    </r>
  </si>
  <si>
    <r>
      <t>Pistachio nuts, roasted (</t>
    </r>
    <r>
      <rPr>
        <i/>
        <sz val="11"/>
        <color theme="1"/>
        <rFont val="Calibri"/>
        <family val="2"/>
        <scheme val="minor"/>
      </rPr>
      <t>Pistacia vera L.</t>
    </r>
    <r>
      <rPr>
        <sz val="11"/>
        <color theme="1"/>
        <rFont val="Calibri"/>
        <family val="2"/>
        <scheme val="minor"/>
      </rPr>
      <t>), 25,1 g/100 g protein</t>
    </r>
  </si>
  <si>
    <r>
      <t>Rapeseed, whole (</t>
    </r>
    <r>
      <rPr>
        <i/>
        <sz val="11"/>
        <color theme="1"/>
        <rFont val="Calibri"/>
        <family val="2"/>
        <scheme val="minor"/>
      </rPr>
      <t>Brassica napus L., Brassica rapa L., Brassica juncea L.</t>
    </r>
    <r>
      <rPr>
        <sz val="11"/>
        <color theme="1"/>
        <rFont val="Calibri"/>
        <family val="2"/>
        <scheme val="minor"/>
      </rPr>
      <t>)/full-fat rapeseed/full-fat canola seed</t>
    </r>
  </si>
  <si>
    <r>
      <t>Rapeseed, whole, extruded (</t>
    </r>
    <r>
      <rPr>
        <i/>
        <sz val="11"/>
        <color theme="1"/>
        <rFont val="Calibri"/>
        <family val="2"/>
        <scheme val="minor"/>
      </rPr>
      <t>Brassica napus L., Brassica rapa L., Brassica juncea L.</t>
    </r>
    <r>
      <rPr>
        <sz val="11"/>
        <color theme="1"/>
        <rFont val="Calibri"/>
        <family val="2"/>
        <scheme val="minor"/>
      </rPr>
      <t>)/full-fat rapeseed/full-fat canola seed</t>
    </r>
  </si>
  <si>
    <r>
      <t>Soybean, whole, extruded (</t>
    </r>
    <r>
      <rPr>
        <i/>
        <sz val="11"/>
        <color theme="1"/>
        <rFont val="Calibri"/>
        <family val="2"/>
        <scheme val="minor"/>
      </rPr>
      <t>Glycine max (L) Merr.</t>
    </r>
    <r>
      <rPr>
        <sz val="11"/>
        <color theme="1"/>
        <rFont val="Calibri"/>
        <family val="2"/>
        <scheme val="minor"/>
      </rPr>
      <t>), extruded full-fat soybean</t>
    </r>
  </si>
  <si>
    <r>
      <t>Soybean, whole, flaked (</t>
    </r>
    <r>
      <rPr>
        <i/>
        <sz val="11"/>
        <color theme="1"/>
        <rFont val="Calibri"/>
        <family val="2"/>
        <scheme val="minor"/>
      </rPr>
      <t>Glycine max (L) Merr.</t>
    </r>
    <r>
      <rPr>
        <sz val="11"/>
        <color theme="1"/>
        <rFont val="Calibri"/>
        <family val="2"/>
        <scheme val="minor"/>
      </rPr>
      <t>)/flaked or rolled full-fat soybean</t>
    </r>
  </si>
  <si>
    <r>
      <t>Soybean, whole, toasted (</t>
    </r>
    <r>
      <rPr>
        <i/>
        <sz val="11"/>
        <color theme="1"/>
        <rFont val="Calibri"/>
        <family val="2"/>
        <scheme val="minor"/>
      </rPr>
      <t>Glycine max (L) Merr.</t>
    </r>
    <r>
      <rPr>
        <sz val="11"/>
        <color theme="1"/>
        <rFont val="Calibri"/>
        <family val="2"/>
        <scheme val="minor"/>
      </rPr>
      <t>)/toasted full-fat soybean</t>
    </r>
  </si>
  <si>
    <r>
      <t>Soybean, whole, toasted, flaked and expanded (</t>
    </r>
    <r>
      <rPr>
        <i/>
        <sz val="11"/>
        <color theme="1"/>
        <rFont val="Calibri"/>
        <family val="2"/>
        <scheme val="minor"/>
      </rPr>
      <t>Glycine max (L) Merr.</t>
    </r>
    <r>
      <rPr>
        <sz val="11"/>
        <color theme="1"/>
        <rFont val="Calibri"/>
        <family val="2"/>
        <scheme val="minor"/>
      </rPr>
      <t>)</t>
    </r>
  </si>
  <si>
    <t>Devi et al., 2021 - Amino Acid Digestibility of Extruded Chickpea and Yellow Pea Protein is High and Comparable in Moderately Stunted South Indian Children with Use of a Dual Stable Isotope Tracer Method</t>
  </si>
  <si>
    <t>Chickpea, extruded</t>
  </si>
  <si>
    <t xml:space="preserve">Yellow pea, extruded </t>
  </si>
  <si>
    <t>Human (determined in moderately stunted children)</t>
  </si>
  <si>
    <t xml:space="preserve">True ileal </t>
  </si>
  <si>
    <t>Data on TRP, CYS and HIS not reported</t>
  </si>
  <si>
    <t>Black soldier fly larvae meal, full fat</t>
  </si>
  <si>
    <t>Black soldier fly larvae meal, defatted</t>
  </si>
  <si>
    <t xml:space="preserve">Crosbie at al., 2020 - Standardised ileal digestible amino acids and net energy contents in full fat and defatted black soldier fly larvae meals (Hermetia illucens) fed to growing pigs </t>
  </si>
  <si>
    <t>Data on TRP and TYR not reported</t>
  </si>
  <si>
    <t>Corn/maize, yellow dent,  raw</t>
  </si>
  <si>
    <t>Corn/maize, yellow dent, extruded</t>
  </si>
  <si>
    <t>Wheat, hard red winter, raw</t>
  </si>
  <si>
    <t>Wheat, hard red winter, extruded</t>
  </si>
  <si>
    <t>Rodriguez et al., 2020 - Digestibility of amino acids, fiber, and energy by growing pigs and concentrations of digestible and metabolizable energy in yellow dent corn, hard red winter wheat and sorghum may be influenced by extrusion</t>
  </si>
  <si>
    <t>Sorghum, 1.6g/kg tannin, raw</t>
  </si>
  <si>
    <t xml:space="preserve">Sorghum, 1.5g/kg tannin, extruded </t>
  </si>
  <si>
    <t xml:space="preserve">Data on TYR not reported </t>
  </si>
  <si>
    <t xml:space="preserve">Digestibility Coefficients </t>
  </si>
  <si>
    <t xml:space="preserve">Data source </t>
  </si>
  <si>
    <t>AA composition data not reported</t>
  </si>
  <si>
    <t>(Reference pattern)</t>
  </si>
  <si>
    <t xml:space="preserve">Leucine </t>
  </si>
  <si>
    <t xml:space="preserve">Values for TRP, CYS, TYR and HIS not reported </t>
  </si>
  <si>
    <t>Leucine</t>
  </si>
  <si>
    <t>Threonine</t>
  </si>
  <si>
    <t>Isoleucine/Leucine</t>
  </si>
  <si>
    <t>Values for TRP not reported</t>
  </si>
  <si>
    <t xml:space="preserve">Values for TRP and CYS not reported </t>
  </si>
  <si>
    <t xml:space="preserve">Values for TRP not reported </t>
  </si>
  <si>
    <t xml:space="preserve">AA composition and DIAAS for this age group not reported </t>
  </si>
  <si>
    <t>(reference pattern)</t>
  </si>
  <si>
    <t xml:space="preserve">Threonine </t>
  </si>
  <si>
    <t>Valine</t>
  </si>
  <si>
    <t>Lysine/Leucine</t>
  </si>
  <si>
    <t>Lysine/SAA</t>
  </si>
  <si>
    <t>Valine/SAA</t>
  </si>
  <si>
    <t>Values for TYR not reported</t>
  </si>
  <si>
    <t>Total IAA g/kg</t>
  </si>
  <si>
    <t xml:space="preserve">Digestible IAA g/kg </t>
  </si>
  <si>
    <t>Digestible IAA mg/g protein</t>
  </si>
  <si>
    <t xml:space="preserve">Ileal amino acid digestibility and DIAAS values of world foods </t>
  </si>
  <si>
    <t>Prepared by: Dr. Molly Muleya (Future Protein Platform, University of Nottingham,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</si>
</sst>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0000"/>
      <name val="Arial"/>
      <family val="2"/>
    </font>
    <font>
      <i/>
      <sz val="11"/>
      <color theme="1"/>
      <name val="Calibri"/>
      <family val="2"/>
      <scheme val="minor"/>
    </font>
    <font>
      <sz val="11"/>
      <name val="Calibri"/>
      <family val="2"/>
      <scheme val="minor"/>
    </font>
    <font>
      <sz val="8"/>
      <name val="Calibri"/>
      <family val="2"/>
      <scheme val="minor"/>
    </font>
    <font>
      <sz val="11"/>
      <color rgb="FF000000"/>
      <name val="Calibri"/>
      <family val="2"/>
      <scheme val="minor"/>
    </font>
    <font>
      <b/>
      <sz val="16"/>
      <color theme="9" tint="-0.499984740745262"/>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41">
    <xf numFmtId="0" fontId="0" fillId="0" borderId="0" xfId="0"/>
    <xf numFmtId="0" fontId="1" fillId="0" borderId="0" xfId="0" applyFont="1"/>
    <xf numFmtId="0" fontId="0" fillId="0" borderId="0" xfId="0" applyFont="1" applyAlignment="1">
      <alignment horizontal="center"/>
    </xf>
    <xf numFmtId="0" fontId="1" fillId="3" borderId="0" xfId="0" applyFont="1" applyFill="1" applyAlignment="1">
      <alignment horizontal="left"/>
    </xf>
    <xf numFmtId="0" fontId="0" fillId="0" borderId="0" xfId="0" applyFont="1" applyFill="1" applyAlignment="1">
      <alignment horizontal="left"/>
    </xf>
    <xf numFmtId="0" fontId="0" fillId="0" borderId="0" xfId="0" applyFont="1" applyAlignment="1">
      <alignment horizontal="left"/>
    </xf>
    <xf numFmtId="0" fontId="0" fillId="2" borderId="0" xfId="0" applyFont="1" applyFill="1" applyAlignment="1">
      <alignment horizontal="left"/>
    </xf>
    <xf numFmtId="0" fontId="1" fillId="0" borderId="0" xfId="0" applyFont="1" applyFill="1" applyAlignment="1">
      <alignment horizontal="left"/>
    </xf>
    <xf numFmtId="0" fontId="3" fillId="0" borderId="0" xfId="0" applyFont="1" applyAlignment="1">
      <alignment horizontal="left" vertical="center" wrapText="1"/>
    </xf>
    <xf numFmtId="0" fontId="2" fillId="2" borderId="0" xfId="0" applyFont="1" applyFill="1" applyAlignment="1">
      <alignment horizontal="left"/>
    </xf>
    <xf numFmtId="0" fontId="0" fillId="3" borderId="0" xfId="0" applyFont="1" applyFill="1" applyAlignment="1">
      <alignment horizontal="left"/>
    </xf>
    <xf numFmtId="0" fontId="2" fillId="0" borderId="0" xfId="0" applyFont="1" applyFill="1" applyAlignment="1">
      <alignment horizontal="left"/>
    </xf>
    <xf numFmtId="0" fontId="1" fillId="3" borderId="0" xfId="0" applyFont="1" applyFill="1" applyBorder="1" applyAlignment="1">
      <alignment horizontal="left"/>
    </xf>
    <xf numFmtId="0" fontId="1" fillId="3" borderId="1" xfId="0" applyFont="1" applyFill="1" applyBorder="1" applyAlignment="1">
      <alignment horizontal="left"/>
    </xf>
    <xf numFmtId="2" fontId="0" fillId="0" borderId="0" xfId="0" applyNumberFormat="1" applyFont="1" applyFill="1" applyAlignment="1">
      <alignment horizontal="left"/>
    </xf>
    <xf numFmtId="2" fontId="0" fillId="0" borderId="0" xfId="0" applyNumberFormat="1" applyFont="1" applyAlignment="1">
      <alignment horizontal="left"/>
    </xf>
    <xf numFmtId="2" fontId="0" fillId="2" borderId="0" xfId="0" applyNumberFormat="1" applyFont="1" applyFill="1" applyAlignment="1">
      <alignment horizontal="left"/>
    </xf>
    <xf numFmtId="164" fontId="0" fillId="0" borderId="0" xfId="0" applyNumberFormat="1" applyFont="1" applyFill="1" applyAlignment="1">
      <alignment horizontal="left"/>
    </xf>
    <xf numFmtId="1" fontId="0" fillId="0" borderId="0" xfId="0" applyNumberFormat="1" applyFont="1" applyFill="1" applyAlignment="1">
      <alignment horizontal="left"/>
    </xf>
    <xf numFmtId="0" fontId="0" fillId="3" borderId="1" xfId="0" applyFont="1" applyFill="1" applyBorder="1" applyAlignment="1">
      <alignment horizontal="left"/>
    </xf>
    <xf numFmtId="0" fontId="1" fillId="3" borderId="0" xfId="0" applyFont="1" applyFill="1" applyBorder="1" applyAlignment="1">
      <alignment horizontal="center"/>
    </xf>
    <xf numFmtId="0" fontId="1" fillId="3" borderId="1" xfId="0" applyFont="1" applyFill="1" applyBorder="1" applyAlignment="1">
      <alignment horizontal="center"/>
    </xf>
    <xf numFmtId="0" fontId="0" fillId="3" borderId="1" xfId="0" applyFont="1" applyFill="1" applyBorder="1" applyAlignment="1">
      <alignment horizontal="center"/>
    </xf>
    <xf numFmtId="2" fontId="0" fillId="0" borderId="0" xfId="0" applyNumberFormat="1" applyFont="1" applyFill="1" applyAlignment="1">
      <alignment horizontal="center"/>
    </xf>
    <xf numFmtId="1" fontId="0" fillId="0" borderId="0" xfId="0" applyNumberFormat="1" applyFont="1" applyFill="1" applyAlignment="1">
      <alignment horizontal="center"/>
    </xf>
    <xf numFmtId="164" fontId="0" fillId="3" borderId="0" xfId="0" applyNumberFormat="1" applyFont="1" applyFill="1" applyAlignment="1">
      <alignment horizontal="left"/>
    </xf>
    <xf numFmtId="164" fontId="1" fillId="3" borderId="0" xfId="0" applyNumberFormat="1" applyFont="1" applyFill="1" applyAlignment="1">
      <alignment horizontal="left"/>
    </xf>
    <xf numFmtId="0" fontId="5" fillId="0" borderId="0" xfId="0" applyFont="1" applyFill="1" applyAlignment="1">
      <alignment horizontal="left"/>
    </xf>
    <xf numFmtId="0" fontId="7" fillId="0" borderId="0" xfId="0" applyFont="1" applyFill="1" applyAlignment="1">
      <alignment horizontal="left" vertical="center" wrapText="1"/>
    </xf>
    <xf numFmtId="0" fontId="0" fillId="0" borderId="0" xfId="0" applyAlignment="1">
      <alignment wrapText="1"/>
    </xf>
    <xf numFmtId="1" fontId="0" fillId="2" borderId="0" xfId="0" applyNumberFormat="1" applyFont="1" applyFill="1" applyAlignment="1">
      <alignment horizontal="left"/>
    </xf>
    <xf numFmtId="164" fontId="0" fillId="2" borderId="0" xfId="0" applyNumberFormat="1" applyFont="1" applyFill="1" applyAlignment="1">
      <alignment horizontal="left"/>
    </xf>
    <xf numFmtId="2" fontId="2" fillId="0" borderId="0" xfId="0" applyNumberFormat="1" applyFont="1" applyAlignment="1">
      <alignment horizontal="left"/>
    </xf>
    <xf numFmtId="2" fontId="2" fillId="0" borderId="0" xfId="0" applyNumberFormat="1" applyFont="1" applyFill="1" applyAlignment="1">
      <alignment horizontal="left"/>
    </xf>
    <xf numFmtId="2" fontId="2" fillId="2" borderId="0" xfId="0" applyNumberFormat="1" applyFont="1" applyFill="1" applyAlignment="1">
      <alignment horizontal="left"/>
    </xf>
    <xf numFmtId="0" fontId="0" fillId="0" borderId="0" xfId="0" applyFont="1" applyFill="1" applyAlignment="1">
      <alignment horizontal="center" vertical="center" wrapText="1"/>
    </xf>
    <xf numFmtId="2" fontId="0" fillId="2" borderId="0" xfId="0" applyNumberFormat="1" applyFont="1" applyFill="1" applyAlignment="1">
      <alignment horizontal="center"/>
    </xf>
    <xf numFmtId="1" fontId="0" fillId="2" borderId="0" xfId="0" applyNumberFormat="1" applyFont="1" applyFill="1" applyAlignment="1">
      <alignment horizontal="center"/>
    </xf>
    <xf numFmtId="0" fontId="0" fillId="2" borderId="0" xfId="0" applyFont="1" applyFill="1" applyAlignment="1">
      <alignment horizontal="center"/>
    </xf>
    <xf numFmtId="0" fontId="8" fillId="0" borderId="0" xfId="0" applyFont="1" applyBorder="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80397-F05D-4E0D-B22C-CC4210BA23B8}">
  <dimension ref="A1:F3"/>
  <sheetViews>
    <sheetView showGridLines="0" tabSelected="1" workbookViewId="0">
      <selection activeCell="E6" sqref="E6"/>
    </sheetView>
  </sheetViews>
  <sheetFormatPr defaultRowHeight="15" x14ac:dyDescent="0.25"/>
  <cols>
    <col min="1" max="16384" width="9.140625" style="40"/>
  </cols>
  <sheetData>
    <row r="1" spans="1:6" ht="21" x14ac:dyDescent="0.35">
      <c r="A1" s="39" t="s">
        <v>543</v>
      </c>
      <c r="B1" s="39"/>
      <c r="C1" s="39"/>
      <c r="D1" s="39"/>
      <c r="E1" s="39"/>
      <c r="F1" s="39"/>
    </row>
    <row r="3" spans="1:6" x14ac:dyDescent="0.25">
      <c r="A3" s="40" t="s">
        <v>544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3"/>
  <sheetViews>
    <sheetView zoomScaleNormal="100" workbookViewId="0">
      <pane ySplit="1" topLeftCell="A264" activePane="bottomLeft" state="frozen"/>
      <selection pane="bottomLeft" activeCell="A303" sqref="A303"/>
    </sheetView>
  </sheetViews>
  <sheetFormatPr defaultColWidth="9.5703125" defaultRowHeight="15" x14ac:dyDescent="0.25"/>
  <cols>
    <col min="1" max="1" width="53.28515625" style="5" customWidth="1"/>
    <col min="2" max="2" width="23.5703125" style="5" customWidth="1"/>
    <col min="3" max="3" width="12.7109375" style="5" customWidth="1"/>
    <col min="4" max="4" width="17.42578125" style="5" customWidth="1"/>
    <col min="5" max="5" width="18.140625" style="5" customWidth="1"/>
    <col min="6" max="6" width="8.42578125" style="5" customWidth="1"/>
    <col min="7" max="7" width="6.140625" style="5" customWidth="1"/>
    <col min="8" max="8" width="7.42578125" style="5" customWidth="1"/>
    <col min="9" max="9" width="6.85546875" style="5" customWidth="1"/>
    <col min="10" max="10" width="6.42578125" style="5" customWidth="1"/>
    <col min="11" max="11" width="6.5703125" style="5" customWidth="1"/>
    <col min="12" max="12" width="7.42578125" style="5" customWidth="1"/>
    <col min="13" max="13" width="7.28515625" style="5" customWidth="1"/>
    <col min="14" max="14" width="7" style="5" customWidth="1"/>
    <col min="15" max="15" width="6.7109375" style="5" customWidth="1"/>
    <col min="16" max="16" width="6.85546875" style="5" customWidth="1"/>
    <col min="17" max="18" width="6.28515625" style="5" customWidth="1"/>
    <col min="19" max="19" width="167.42578125" style="5" customWidth="1"/>
    <col min="20" max="20" width="2.140625" style="10" customWidth="1"/>
    <col min="21" max="16384" width="9.5703125" style="5"/>
  </cols>
  <sheetData>
    <row r="1" spans="1:20" s="12" customFormat="1" x14ac:dyDescent="0.25">
      <c r="A1" s="12" t="s">
        <v>0</v>
      </c>
      <c r="B1" s="12" t="s">
        <v>1</v>
      </c>
      <c r="C1" s="12" t="s">
        <v>2</v>
      </c>
      <c r="D1" s="12" t="s">
        <v>3</v>
      </c>
      <c r="E1" s="12" t="s">
        <v>4</v>
      </c>
      <c r="F1" s="12" t="s">
        <v>5</v>
      </c>
      <c r="G1" s="12" t="s">
        <v>362</v>
      </c>
      <c r="H1" s="12" t="s">
        <v>343</v>
      </c>
      <c r="I1" s="12" t="s">
        <v>344</v>
      </c>
      <c r="J1" s="12" t="s">
        <v>345</v>
      </c>
      <c r="K1" s="12" t="s">
        <v>346</v>
      </c>
      <c r="L1" s="12" t="s">
        <v>347</v>
      </c>
      <c r="M1" s="12" t="s">
        <v>348</v>
      </c>
      <c r="N1" s="12" t="s">
        <v>349</v>
      </c>
      <c r="O1" s="12" t="s">
        <v>350</v>
      </c>
      <c r="P1" s="12" t="s">
        <v>351</v>
      </c>
      <c r="Q1" s="12" t="s">
        <v>352</v>
      </c>
      <c r="R1" s="12" t="s">
        <v>353</v>
      </c>
      <c r="S1" s="12" t="s">
        <v>255</v>
      </c>
    </row>
    <row r="2" spans="1:20" s="13" customFormat="1" ht="15.75" thickBot="1" x14ac:dyDescent="0.3">
      <c r="F2" s="13" t="s">
        <v>520</v>
      </c>
    </row>
    <row r="3" spans="1:20" s="4" customFormat="1" x14ac:dyDescent="0.25">
      <c r="A3" s="4" t="s">
        <v>39</v>
      </c>
      <c r="B3" s="4" t="s">
        <v>10</v>
      </c>
      <c r="C3" s="4">
        <v>2</v>
      </c>
      <c r="D3" s="4" t="s">
        <v>17</v>
      </c>
      <c r="E3" s="4" t="s">
        <v>12</v>
      </c>
      <c r="F3" s="14">
        <v>0.8</v>
      </c>
      <c r="G3" s="14">
        <v>0.79</v>
      </c>
      <c r="H3" s="14">
        <v>0.75</v>
      </c>
      <c r="I3" s="14">
        <v>0.81</v>
      </c>
      <c r="J3" s="14">
        <v>0.83</v>
      </c>
      <c r="K3" s="14">
        <v>0.75</v>
      </c>
      <c r="L3" s="14">
        <v>0.83</v>
      </c>
      <c r="M3" s="14">
        <v>0.84</v>
      </c>
      <c r="N3" s="14">
        <v>0.84</v>
      </c>
      <c r="O3" s="14">
        <v>0.83</v>
      </c>
      <c r="P3" s="14">
        <v>0.8</v>
      </c>
      <c r="Q3" s="14">
        <v>0.83</v>
      </c>
      <c r="R3" s="14">
        <v>0.81</v>
      </c>
      <c r="T3" s="10"/>
    </row>
    <row r="4" spans="1:20" x14ac:dyDescent="0.25">
      <c r="A4" s="5" t="s">
        <v>220</v>
      </c>
      <c r="B4" s="4" t="s">
        <v>10</v>
      </c>
      <c r="C4" s="5">
        <v>7</v>
      </c>
      <c r="D4" s="5" t="s">
        <v>17</v>
      </c>
      <c r="E4" s="5" t="s">
        <v>12</v>
      </c>
      <c r="F4" s="15">
        <v>0.745</v>
      </c>
      <c r="G4" s="15">
        <v>0.84</v>
      </c>
      <c r="H4" s="15">
        <v>0.72</v>
      </c>
      <c r="I4" s="15">
        <v>0.76</v>
      </c>
      <c r="J4" s="15">
        <v>0.79</v>
      </c>
      <c r="K4" s="15">
        <v>0.74</v>
      </c>
      <c r="L4" s="15">
        <v>0.78</v>
      </c>
      <c r="M4" s="15">
        <v>0.8</v>
      </c>
      <c r="N4" s="15">
        <v>0.82</v>
      </c>
      <c r="O4" s="15">
        <v>0.77</v>
      </c>
      <c r="P4" s="15">
        <v>0.77</v>
      </c>
      <c r="Q4" s="15">
        <v>0.82</v>
      </c>
      <c r="R4" s="15">
        <v>0.81</v>
      </c>
      <c r="S4" s="5" t="s">
        <v>354</v>
      </c>
    </row>
    <row r="5" spans="1:20" x14ac:dyDescent="0.25">
      <c r="A5" s="5" t="s">
        <v>20</v>
      </c>
      <c r="B5" s="4" t="s">
        <v>10</v>
      </c>
      <c r="C5" s="5">
        <v>1</v>
      </c>
      <c r="D5" s="5" t="s">
        <v>11</v>
      </c>
      <c r="E5" s="5" t="s">
        <v>12</v>
      </c>
      <c r="F5" s="15">
        <v>0.91</v>
      </c>
      <c r="G5" s="15">
        <v>0.86</v>
      </c>
      <c r="H5" s="15">
        <v>0.91</v>
      </c>
      <c r="I5" s="15">
        <v>0.92</v>
      </c>
      <c r="J5" s="15">
        <v>0.91</v>
      </c>
      <c r="K5" s="15">
        <v>0.89</v>
      </c>
      <c r="L5" s="15">
        <v>0.9</v>
      </c>
      <c r="M5" s="15">
        <v>0.87</v>
      </c>
      <c r="N5" s="15">
        <v>0.88</v>
      </c>
      <c r="O5" s="15">
        <v>0.94</v>
      </c>
      <c r="P5" s="15">
        <v>0.9</v>
      </c>
      <c r="Q5" s="15">
        <v>0.93</v>
      </c>
      <c r="R5" s="15">
        <v>0.93</v>
      </c>
    </row>
    <row r="6" spans="1:20" x14ac:dyDescent="0.25">
      <c r="A6" s="5" t="s">
        <v>19</v>
      </c>
      <c r="B6" s="4" t="s">
        <v>10</v>
      </c>
      <c r="C6" s="5">
        <v>1</v>
      </c>
      <c r="D6" s="5" t="s">
        <v>11</v>
      </c>
      <c r="E6" s="5" t="s">
        <v>12</v>
      </c>
      <c r="F6" s="15">
        <v>0.91</v>
      </c>
      <c r="G6" s="15">
        <v>0.9</v>
      </c>
      <c r="H6" s="15">
        <v>0.91</v>
      </c>
      <c r="I6" s="15">
        <v>0.92</v>
      </c>
      <c r="J6" s="15">
        <v>0.93</v>
      </c>
      <c r="K6" s="15">
        <v>0.92</v>
      </c>
      <c r="L6" s="15">
        <v>0.93</v>
      </c>
      <c r="M6" s="15">
        <v>0.87</v>
      </c>
      <c r="N6" s="15">
        <v>0.88</v>
      </c>
      <c r="O6" s="15">
        <v>0.93</v>
      </c>
      <c r="P6" s="15">
        <v>0.91</v>
      </c>
      <c r="Q6" s="15">
        <v>0.93</v>
      </c>
      <c r="R6" s="15">
        <v>0.92</v>
      </c>
    </row>
    <row r="7" spans="1:20" x14ac:dyDescent="0.25">
      <c r="A7" s="5" t="s">
        <v>44</v>
      </c>
      <c r="B7" s="4" t="s">
        <v>10</v>
      </c>
      <c r="C7" s="5">
        <v>1</v>
      </c>
      <c r="D7" s="5" t="s">
        <v>11</v>
      </c>
      <c r="E7" s="5" t="s">
        <v>12</v>
      </c>
      <c r="F7" s="15">
        <v>0.82</v>
      </c>
      <c r="G7" s="15">
        <v>0.78</v>
      </c>
      <c r="H7" s="15">
        <v>0.76</v>
      </c>
      <c r="I7" s="15">
        <v>0.86</v>
      </c>
      <c r="J7" s="15">
        <v>0.92</v>
      </c>
      <c r="K7" s="15">
        <v>0.76</v>
      </c>
      <c r="L7" s="15">
        <v>0.92</v>
      </c>
      <c r="M7" s="15">
        <v>0.79</v>
      </c>
      <c r="N7" s="15">
        <v>0.84</v>
      </c>
      <c r="O7" s="15">
        <v>0.91</v>
      </c>
      <c r="P7" s="15">
        <v>0.85</v>
      </c>
      <c r="Q7" s="15">
        <v>0.84</v>
      </c>
      <c r="R7" s="15">
        <v>0.84</v>
      </c>
    </row>
    <row r="8" spans="1:20" x14ac:dyDescent="0.25">
      <c r="A8" s="5" t="s">
        <v>40</v>
      </c>
      <c r="B8" s="4" t="s">
        <v>10</v>
      </c>
      <c r="C8" s="5">
        <v>2</v>
      </c>
      <c r="D8" s="5" t="s">
        <v>17</v>
      </c>
      <c r="E8" s="5" t="s">
        <v>12</v>
      </c>
      <c r="F8" s="15">
        <v>0.86</v>
      </c>
      <c r="G8" s="15">
        <v>0.8</v>
      </c>
      <c r="H8" s="15">
        <v>0.83</v>
      </c>
      <c r="I8" s="15">
        <v>0.88</v>
      </c>
      <c r="J8" s="15">
        <v>0.93</v>
      </c>
      <c r="K8" s="15">
        <v>0.8</v>
      </c>
      <c r="L8" s="15">
        <v>0.91</v>
      </c>
      <c r="M8" s="15">
        <v>0.89</v>
      </c>
      <c r="N8" s="15">
        <v>0.91</v>
      </c>
      <c r="O8" s="15">
        <v>0.9</v>
      </c>
      <c r="P8" s="15">
        <v>0.87</v>
      </c>
      <c r="Q8" s="15">
        <v>0.91</v>
      </c>
      <c r="R8" s="15">
        <v>0.89</v>
      </c>
    </row>
    <row r="9" spans="1:20" x14ac:dyDescent="0.25">
      <c r="A9" s="5" t="s">
        <v>42</v>
      </c>
      <c r="B9" s="4" t="s">
        <v>10</v>
      </c>
      <c r="C9" s="5">
        <v>2</v>
      </c>
      <c r="D9" s="5" t="s">
        <v>17</v>
      </c>
      <c r="E9" s="5" t="s">
        <v>12</v>
      </c>
      <c r="F9" s="15">
        <v>0.86</v>
      </c>
      <c r="G9" s="15">
        <v>0.83</v>
      </c>
      <c r="H9" s="15">
        <v>0.81</v>
      </c>
      <c r="I9" s="15">
        <v>0.87</v>
      </c>
      <c r="J9" s="15">
        <v>0.91</v>
      </c>
      <c r="K9" s="15">
        <v>0.79</v>
      </c>
      <c r="L9" s="15">
        <v>0.89</v>
      </c>
      <c r="M9" s="15">
        <v>0.87</v>
      </c>
      <c r="N9" s="15">
        <v>0.9</v>
      </c>
      <c r="O9" s="15">
        <v>0.89</v>
      </c>
      <c r="P9" s="15">
        <v>0.86</v>
      </c>
      <c r="Q9" s="15">
        <v>0.89</v>
      </c>
      <c r="R9" s="15">
        <v>0.87</v>
      </c>
    </row>
    <row r="10" spans="1:20" x14ac:dyDescent="0.25">
      <c r="A10" s="5" t="s">
        <v>41</v>
      </c>
      <c r="B10" s="4" t="s">
        <v>10</v>
      </c>
      <c r="C10" s="5">
        <v>2</v>
      </c>
      <c r="D10" s="5" t="s">
        <v>17</v>
      </c>
      <c r="E10" s="5" t="s">
        <v>12</v>
      </c>
      <c r="F10" s="15">
        <v>0.86</v>
      </c>
      <c r="G10" s="15">
        <v>0.83</v>
      </c>
      <c r="H10" s="15">
        <v>0.81</v>
      </c>
      <c r="I10" s="15">
        <v>0.87</v>
      </c>
      <c r="J10" s="15">
        <v>0.91</v>
      </c>
      <c r="K10" s="15">
        <v>0.79</v>
      </c>
      <c r="L10" s="15">
        <v>0.89</v>
      </c>
      <c r="M10" s="15">
        <v>0.87</v>
      </c>
      <c r="N10" s="15">
        <v>0.9</v>
      </c>
      <c r="O10" s="15">
        <v>0.89</v>
      </c>
      <c r="P10" s="15">
        <v>0.86</v>
      </c>
      <c r="Q10" s="15">
        <v>0.89</v>
      </c>
      <c r="R10" s="15">
        <v>0.87</v>
      </c>
    </row>
    <row r="11" spans="1:20" x14ac:dyDescent="0.25">
      <c r="A11" s="5" t="s">
        <v>43</v>
      </c>
      <c r="B11" s="4" t="s">
        <v>10</v>
      </c>
      <c r="C11" s="5">
        <v>2</v>
      </c>
      <c r="D11" s="5" t="s">
        <v>17</v>
      </c>
      <c r="E11" s="5" t="s">
        <v>12</v>
      </c>
      <c r="F11" s="15">
        <v>0.86</v>
      </c>
      <c r="G11" s="15">
        <v>0.8</v>
      </c>
      <c r="H11" s="15">
        <v>0.83</v>
      </c>
      <c r="I11" s="15">
        <v>0.88</v>
      </c>
      <c r="J11" s="15">
        <v>0.93</v>
      </c>
      <c r="K11" s="15">
        <v>0.8</v>
      </c>
      <c r="L11" s="15">
        <v>0.91</v>
      </c>
      <c r="M11" s="15">
        <v>0.88</v>
      </c>
      <c r="N11" s="15">
        <v>0.91</v>
      </c>
      <c r="O11" s="15">
        <v>0.9</v>
      </c>
      <c r="P11" s="15">
        <v>0.87</v>
      </c>
      <c r="Q11" s="15">
        <v>0.91</v>
      </c>
      <c r="R11" s="15">
        <v>0.89</v>
      </c>
    </row>
    <row r="12" spans="1:20" x14ac:dyDescent="0.25">
      <c r="A12" s="5" t="s">
        <v>13</v>
      </c>
      <c r="B12" s="4" t="s">
        <v>10</v>
      </c>
      <c r="C12" s="5">
        <v>1</v>
      </c>
      <c r="D12" s="5" t="s">
        <v>11</v>
      </c>
      <c r="E12" s="5" t="s">
        <v>12</v>
      </c>
      <c r="F12" s="15">
        <v>0.72</v>
      </c>
      <c r="G12" s="15">
        <v>0.69</v>
      </c>
      <c r="H12" s="15">
        <v>0.66</v>
      </c>
      <c r="I12" s="15">
        <v>0.77</v>
      </c>
      <c r="J12" s="15">
        <v>0.81</v>
      </c>
      <c r="K12" s="15">
        <v>0.68</v>
      </c>
      <c r="L12" s="15">
        <v>0.83</v>
      </c>
      <c r="M12" s="15">
        <v>0.69</v>
      </c>
      <c r="N12" s="15">
        <v>0.8</v>
      </c>
      <c r="O12" s="15">
        <v>0.8</v>
      </c>
      <c r="P12" s="15">
        <v>0.77</v>
      </c>
      <c r="Q12" s="15">
        <v>0.88</v>
      </c>
      <c r="R12" s="15">
        <v>0.8</v>
      </c>
    </row>
    <row r="13" spans="1:20" x14ac:dyDescent="0.25">
      <c r="A13" s="5" t="s">
        <v>221</v>
      </c>
      <c r="B13" s="4" t="s">
        <v>10</v>
      </c>
      <c r="C13" s="5">
        <v>7</v>
      </c>
      <c r="D13" s="5" t="s">
        <v>17</v>
      </c>
      <c r="E13" s="5" t="s">
        <v>12</v>
      </c>
      <c r="F13" s="15">
        <v>0.70199999999999996</v>
      </c>
      <c r="G13" s="15">
        <v>0.7</v>
      </c>
      <c r="H13" s="15">
        <v>0.7</v>
      </c>
      <c r="I13" s="15">
        <v>0.76</v>
      </c>
      <c r="J13" s="15">
        <v>0.84</v>
      </c>
      <c r="K13" s="15">
        <v>0.75</v>
      </c>
      <c r="L13" s="15">
        <v>0.9</v>
      </c>
      <c r="M13" s="15">
        <v>0.77</v>
      </c>
      <c r="N13" s="15">
        <v>0.83</v>
      </c>
      <c r="O13" s="15">
        <v>0.8</v>
      </c>
      <c r="P13" s="15">
        <v>0.75</v>
      </c>
      <c r="Q13" s="15">
        <v>0.81</v>
      </c>
      <c r="R13" s="15">
        <v>0.83</v>
      </c>
      <c r="S13" s="5" t="s">
        <v>228</v>
      </c>
    </row>
    <row r="14" spans="1:20" x14ac:dyDescent="0.25">
      <c r="A14" s="5" t="s">
        <v>222</v>
      </c>
      <c r="B14" s="4" t="s">
        <v>10</v>
      </c>
      <c r="C14" s="5">
        <v>7</v>
      </c>
      <c r="D14" s="5" t="s">
        <v>17</v>
      </c>
      <c r="E14" s="5" t="s">
        <v>12</v>
      </c>
      <c r="F14" s="15">
        <v>0.76400000000000001</v>
      </c>
      <c r="G14" s="15">
        <v>0.73</v>
      </c>
      <c r="H14" s="15">
        <v>0.76</v>
      </c>
      <c r="I14" s="15">
        <v>0.81</v>
      </c>
      <c r="J14" s="15">
        <v>0.9</v>
      </c>
      <c r="K14" s="15">
        <v>0.79</v>
      </c>
      <c r="L14" s="15">
        <v>0.91</v>
      </c>
      <c r="M14" s="15">
        <v>0.82</v>
      </c>
      <c r="N14" s="15">
        <v>0.88</v>
      </c>
      <c r="O14" s="15">
        <v>0.85</v>
      </c>
      <c r="P14" s="15">
        <v>0.82</v>
      </c>
      <c r="Q14" s="15">
        <v>0.87</v>
      </c>
      <c r="R14" s="15">
        <v>0.87</v>
      </c>
      <c r="S14" s="5" t="s">
        <v>228</v>
      </c>
    </row>
    <row r="15" spans="1:20" x14ac:dyDescent="0.25">
      <c r="A15" s="5" t="s">
        <v>295</v>
      </c>
      <c r="B15" s="4" t="s">
        <v>10</v>
      </c>
      <c r="C15" s="5">
        <v>16</v>
      </c>
      <c r="D15" s="5" t="s">
        <v>17</v>
      </c>
      <c r="E15" s="5" t="s">
        <v>12</v>
      </c>
      <c r="F15" s="15">
        <v>0.91</v>
      </c>
      <c r="G15" s="32">
        <v>0.92</v>
      </c>
      <c r="H15" s="15">
        <v>0.92</v>
      </c>
      <c r="I15" s="15">
        <v>0.85</v>
      </c>
      <c r="J15" s="15">
        <v>1.05</v>
      </c>
      <c r="K15" s="15">
        <v>0.83</v>
      </c>
      <c r="L15" s="32">
        <v>0.92</v>
      </c>
      <c r="M15" s="32">
        <v>0.92</v>
      </c>
      <c r="N15" s="15">
        <v>0.95</v>
      </c>
      <c r="O15" s="32">
        <v>0.92</v>
      </c>
      <c r="P15" s="15">
        <v>0.95</v>
      </c>
      <c r="Q15" s="15">
        <v>0.96</v>
      </c>
      <c r="R15" s="15">
        <v>0.86</v>
      </c>
      <c r="S15" s="5" t="s">
        <v>357</v>
      </c>
    </row>
    <row r="16" spans="1:20" x14ac:dyDescent="0.25">
      <c r="A16" s="5" t="s">
        <v>280</v>
      </c>
      <c r="B16" s="4" t="s">
        <v>10</v>
      </c>
      <c r="C16" s="5">
        <v>4</v>
      </c>
      <c r="D16" s="5" t="s">
        <v>16</v>
      </c>
      <c r="E16" s="5" t="s">
        <v>15</v>
      </c>
      <c r="F16" s="32">
        <v>0.72299999999999998</v>
      </c>
      <c r="G16" s="32">
        <v>0.72299999999999998</v>
      </c>
      <c r="H16" s="15">
        <v>0.67200000000000004</v>
      </c>
      <c r="I16" s="15">
        <v>0.754</v>
      </c>
      <c r="J16" s="15">
        <v>0.67200000000000004</v>
      </c>
      <c r="K16" s="15">
        <v>0.745</v>
      </c>
      <c r="L16" s="15">
        <v>0.60099999999999998</v>
      </c>
      <c r="M16" s="32">
        <v>0.72299999999999998</v>
      </c>
      <c r="N16" s="15">
        <v>0.96399999999999997</v>
      </c>
      <c r="O16" s="32">
        <v>0.72299999999999998</v>
      </c>
      <c r="P16" s="15">
        <v>0.65300000000000002</v>
      </c>
      <c r="Q16" s="32">
        <v>0.72299999999999998</v>
      </c>
      <c r="R16" s="32">
        <v>0.72299999999999998</v>
      </c>
      <c r="S16" s="5" t="s">
        <v>357</v>
      </c>
    </row>
    <row r="17" spans="1:20" s="7" customFormat="1" x14ac:dyDescent="0.25">
      <c r="A17" s="4" t="s">
        <v>299</v>
      </c>
      <c r="B17" s="4" t="s">
        <v>10</v>
      </c>
      <c r="C17" s="4">
        <v>2</v>
      </c>
      <c r="D17" s="4" t="s">
        <v>17</v>
      </c>
      <c r="E17" s="4" t="s">
        <v>12</v>
      </c>
      <c r="F17" s="14">
        <v>0.88</v>
      </c>
      <c r="G17" s="14">
        <v>0.92</v>
      </c>
      <c r="H17" s="14">
        <v>0.87</v>
      </c>
      <c r="I17" s="14">
        <v>0.91</v>
      </c>
      <c r="J17" s="14">
        <v>0.91</v>
      </c>
      <c r="K17" s="14">
        <v>0.86</v>
      </c>
      <c r="L17" s="14">
        <v>0.84</v>
      </c>
      <c r="M17" s="14">
        <v>0.9</v>
      </c>
      <c r="N17" s="14">
        <v>0.93</v>
      </c>
      <c r="O17" s="14">
        <v>0.87</v>
      </c>
      <c r="P17" s="14">
        <v>0.9</v>
      </c>
      <c r="Q17" s="14">
        <v>0.93</v>
      </c>
      <c r="R17" s="14">
        <v>0.92</v>
      </c>
      <c r="S17" s="4"/>
      <c r="T17" s="3"/>
    </row>
    <row r="18" spans="1:20" s="7" customFormat="1" x14ac:dyDescent="0.25">
      <c r="A18" s="4" t="s">
        <v>300</v>
      </c>
      <c r="B18" s="4" t="s">
        <v>10</v>
      </c>
      <c r="C18" s="4">
        <v>2</v>
      </c>
      <c r="D18" s="4" t="s">
        <v>17</v>
      </c>
      <c r="E18" s="4" t="s">
        <v>12</v>
      </c>
      <c r="F18" s="14">
        <v>0.84399999999999997</v>
      </c>
      <c r="G18" s="14">
        <v>0.77</v>
      </c>
      <c r="H18" s="14">
        <v>0.76</v>
      </c>
      <c r="I18" s="14">
        <v>0.81</v>
      </c>
      <c r="J18" s="14">
        <v>0.83</v>
      </c>
      <c r="K18" s="14">
        <v>0.77</v>
      </c>
      <c r="L18" s="14">
        <v>0.84</v>
      </c>
      <c r="M18" s="14">
        <v>0.75</v>
      </c>
      <c r="N18" s="14">
        <v>0.84</v>
      </c>
      <c r="O18" s="14">
        <v>0.82</v>
      </c>
      <c r="P18" s="14">
        <v>0.79</v>
      </c>
      <c r="Q18" s="14">
        <v>0.88</v>
      </c>
      <c r="R18" s="14">
        <v>0.82</v>
      </c>
      <c r="S18" s="4"/>
      <c r="T18" s="3"/>
    </row>
    <row r="19" spans="1:20" s="7" customFormat="1" x14ac:dyDescent="0.25">
      <c r="A19" s="4" t="s">
        <v>301</v>
      </c>
      <c r="B19" s="4" t="s">
        <v>10</v>
      </c>
      <c r="C19" s="4">
        <v>2</v>
      </c>
      <c r="D19" s="4" t="s">
        <v>17</v>
      </c>
      <c r="E19" s="4" t="s">
        <v>12</v>
      </c>
      <c r="F19" s="14">
        <v>0.79</v>
      </c>
      <c r="G19" s="14">
        <v>0.82</v>
      </c>
      <c r="H19" s="14">
        <v>0.8</v>
      </c>
      <c r="I19" s="14">
        <v>0.83</v>
      </c>
      <c r="J19" s="14">
        <v>0.83</v>
      </c>
      <c r="K19" s="14">
        <v>0.79</v>
      </c>
      <c r="L19" s="14">
        <v>0.85</v>
      </c>
      <c r="M19" s="14">
        <v>0.85</v>
      </c>
      <c r="N19" s="14">
        <v>0.83</v>
      </c>
      <c r="O19" s="14">
        <v>0.85</v>
      </c>
      <c r="P19" s="14">
        <v>0.81</v>
      </c>
      <c r="Q19" s="14">
        <v>0.86</v>
      </c>
      <c r="R19" s="14">
        <v>0.83</v>
      </c>
      <c r="S19" s="4"/>
      <c r="T19" s="3"/>
    </row>
    <row r="20" spans="1:20" x14ac:dyDescent="0.25">
      <c r="A20" s="4" t="s">
        <v>302</v>
      </c>
      <c r="B20" s="4" t="s">
        <v>10</v>
      </c>
      <c r="C20" s="5">
        <v>1</v>
      </c>
      <c r="D20" s="5" t="s">
        <v>11</v>
      </c>
      <c r="E20" s="5" t="s">
        <v>12</v>
      </c>
      <c r="F20" s="15">
        <v>0.74</v>
      </c>
      <c r="G20" s="15">
        <v>0.77</v>
      </c>
      <c r="H20" s="15">
        <v>0.7</v>
      </c>
      <c r="I20" s="15">
        <v>0.8</v>
      </c>
      <c r="J20" s="15">
        <v>0.82</v>
      </c>
      <c r="K20" s="15">
        <v>0.76</v>
      </c>
      <c r="L20" s="15">
        <v>0.82</v>
      </c>
      <c r="M20" s="15">
        <v>0.72</v>
      </c>
      <c r="N20" s="15">
        <v>0.84</v>
      </c>
      <c r="O20" s="15">
        <v>0.81</v>
      </c>
      <c r="P20" s="15">
        <v>0.79</v>
      </c>
      <c r="Q20" s="15">
        <v>0.88</v>
      </c>
      <c r="R20" s="15">
        <v>0.85</v>
      </c>
    </row>
    <row r="21" spans="1:20" s="7" customFormat="1" x14ac:dyDescent="0.25">
      <c r="A21" s="4" t="s">
        <v>303</v>
      </c>
      <c r="B21" s="4" t="s">
        <v>10</v>
      </c>
      <c r="C21" s="4">
        <v>2</v>
      </c>
      <c r="D21" s="4" t="s">
        <v>17</v>
      </c>
      <c r="E21" s="4" t="s">
        <v>12</v>
      </c>
      <c r="F21" s="14">
        <v>0.76</v>
      </c>
      <c r="G21" s="14">
        <v>0.78</v>
      </c>
      <c r="H21" s="14">
        <v>0.69</v>
      </c>
      <c r="I21" s="14">
        <v>0.79</v>
      </c>
      <c r="J21" s="14">
        <v>0.81</v>
      </c>
      <c r="K21" s="14">
        <v>0.73</v>
      </c>
      <c r="L21" s="14">
        <v>0.84</v>
      </c>
      <c r="M21" s="14">
        <v>0.75</v>
      </c>
      <c r="N21" s="14">
        <v>0.84</v>
      </c>
      <c r="O21" s="14">
        <v>0.8</v>
      </c>
      <c r="P21" s="14">
        <v>0.77</v>
      </c>
      <c r="Q21" s="14">
        <v>0.88</v>
      </c>
      <c r="R21" s="14">
        <v>0.83</v>
      </c>
      <c r="S21" s="4"/>
      <c r="T21" s="3"/>
    </row>
    <row r="22" spans="1:20" s="7" customFormat="1" x14ac:dyDescent="0.25">
      <c r="A22" s="4" t="s">
        <v>45</v>
      </c>
      <c r="B22" s="4" t="s">
        <v>10</v>
      </c>
      <c r="C22" s="4">
        <v>2</v>
      </c>
      <c r="D22" s="4" t="s">
        <v>17</v>
      </c>
      <c r="E22" s="4" t="s">
        <v>12</v>
      </c>
      <c r="F22" s="14">
        <v>0.76</v>
      </c>
      <c r="G22" s="14">
        <v>0.78</v>
      </c>
      <c r="H22" s="14">
        <v>0.69</v>
      </c>
      <c r="I22" s="14">
        <v>0.79</v>
      </c>
      <c r="J22" s="14">
        <v>0.81</v>
      </c>
      <c r="K22" s="14">
        <v>0.73</v>
      </c>
      <c r="L22" s="14">
        <v>0.84</v>
      </c>
      <c r="M22" s="14">
        <v>0.75</v>
      </c>
      <c r="N22" s="14">
        <v>0.93</v>
      </c>
      <c r="O22" s="14">
        <v>0.79</v>
      </c>
      <c r="P22" s="14">
        <v>0.77</v>
      </c>
      <c r="Q22" s="14">
        <v>0.88</v>
      </c>
      <c r="R22" s="14">
        <v>0.83</v>
      </c>
      <c r="S22" s="4"/>
      <c r="T22" s="3"/>
    </row>
    <row r="23" spans="1:20" x14ac:dyDescent="0.25">
      <c r="A23" s="5" t="s">
        <v>223</v>
      </c>
      <c r="B23" s="4" t="s">
        <v>10</v>
      </c>
      <c r="C23" s="5">
        <v>7</v>
      </c>
      <c r="D23" s="5" t="s">
        <v>17</v>
      </c>
      <c r="E23" s="5" t="s">
        <v>12</v>
      </c>
      <c r="F23" s="15">
        <v>0.84599999999999997</v>
      </c>
      <c r="G23" s="15">
        <v>0.82</v>
      </c>
      <c r="H23" s="15">
        <v>0.81</v>
      </c>
      <c r="I23" s="15">
        <v>0.87</v>
      </c>
      <c r="J23" s="15">
        <v>0.87</v>
      </c>
      <c r="K23" s="15">
        <v>0.86</v>
      </c>
      <c r="L23" s="15">
        <v>0.9</v>
      </c>
      <c r="M23" s="15">
        <v>0.77</v>
      </c>
      <c r="N23" s="15">
        <v>0.88</v>
      </c>
      <c r="O23" s="15">
        <v>0.81</v>
      </c>
      <c r="P23" s="15">
        <v>0.85</v>
      </c>
      <c r="Q23" s="15">
        <v>0.9</v>
      </c>
      <c r="R23" s="15">
        <v>0.88</v>
      </c>
      <c r="S23" s="5" t="s">
        <v>230</v>
      </c>
    </row>
    <row r="24" spans="1:20" x14ac:dyDescent="0.25">
      <c r="A24" s="5" t="s">
        <v>14</v>
      </c>
      <c r="B24" s="4" t="s">
        <v>10</v>
      </c>
      <c r="C24" s="5">
        <v>1</v>
      </c>
      <c r="D24" s="5" t="s">
        <v>11</v>
      </c>
      <c r="E24" s="5" t="s">
        <v>12</v>
      </c>
      <c r="F24" s="15">
        <v>0.9</v>
      </c>
      <c r="G24" s="15">
        <v>0.89</v>
      </c>
      <c r="H24" s="15">
        <v>0.82</v>
      </c>
      <c r="I24" s="15">
        <v>0.75</v>
      </c>
      <c r="J24" s="15">
        <v>0.81</v>
      </c>
      <c r="K24" s="15">
        <v>0.92</v>
      </c>
      <c r="L24" s="15">
        <v>0.86</v>
      </c>
      <c r="M24" s="15">
        <v>0.97</v>
      </c>
      <c r="N24" s="15">
        <v>0.86</v>
      </c>
      <c r="O24" s="15">
        <v>0.79</v>
      </c>
      <c r="P24" s="15">
        <v>0.88</v>
      </c>
      <c r="Q24" s="15">
        <v>0.9</v>
      </c>
      <c r="R24" s="15">
        <v>0.99</v>
      </c>
    </row>
    <row r="25" spans="1:20" s="7" customFormat="1" x14ac:dyDescent="0.25">
      <c r="A25" s="4" t="s">
        <v>304</v>
      </c>
      <c r="B25" s="4" t="s">
        <v>10</v>
      </c>
      <c r="C25" s="4">
        <v>2</v>
      </c>
      <c r="D25" s="4" t="s">
        <v>17</v>
      </c>
      <c r="E25" s="4" t="s">
        <v>12</v>
      </c>
      <c r="F25" s="14">
        <v>0.876</v>
      </c>
      <c r="G25" s="14">
        <v>0.85</v>
      </c>
      <c r="H25" s="14">
        <v>0.84</v>
      </c>
      <c r="I25" s="14">
        <v>0.86</v>
      </c>
      <c r="J25" s="14">
        <v>0.88</v>
      </c>
      <c r="K25" s="14">
        <v>0.86</v>
      </c>
      <c r="L25" s="14">
        <v>0.89</v>
      </c>
      <c r="M25" s="14">
        <v>0.85</v>
      </c>
      <c r="N25" s="14">
        <v>0.89</v>
      </c>
      <c r="O25" s="14">
        <v>0.88</v>
      </c>
      <c r="P25" s="14">
        <v>0.86</v>
      </c>
      <c r="Q25" s="14">
        <v>0.92</v>
      </c>
      <c r="R25" s="14">
        <v>0.88</v>
      </c>
      <c r="S25" s="4"/>
      <c r="T25" s="3"/>
    </row>
    <row r="26" spans="1:20" s="7" customFormat="1" x14ac:dyDescent="0.25">
      <c r="A26" s="4" t="s">
        <v>46</v>
      </c>
      <c r="B26" s="4" t="s">
        <v>10</v>
      </c>
      <c r="C26" s="4">
        <v>2</v>
      </c>
      <c r="D26" s="4" t="s">
        <v>17</v>
      </c>
      <c r="E26" s="4" t="s">
        <v>12</v>
      </c>
      <c r="F26" s="14">
        <v>0.745</v>
      </c>
      <c r="G26" s="14">
        <v>0.76</v>
      </c>
      <c r="H26" s="14">
        <v>0.75</v>
      </c>
      <c r="I26" s="14">
        <v>0.8</v>
      </c>
      <c r="J26" s="14">
        <v>0.82</v>
      </c>
      <c r="K26" s="14">
        <v>0.75</v>
      </c>
      <c r="L26" s="14">
        <v>0.83</v>
      </c>
      <c r="M26" s="14">
        <v>0.73</v>
      </c>
      <c r="N26" s="14">
        <v>0.83</v>
      </c>
      <c r="O26" s="14">
        <v>0.81</v>
      </c>
      <c r="P26" s="14">
        <v>0.78</v>
      </c>
      <c r="Q26" s="14">
        <v>0.87</v>
      </c>
      <c r="R26" s="14">
        <v>0.8</v>
      </c>
      <c r="S26" s="4"/>
      <c r="T26" s="3"/>
    </row>
    <row r="27" spans="1:20" s="7" customFormat="1" x14ac:dyDescent="0.25">
      <c r="A27" s="4" t="s">
        <v>47</v>
      </c>
      <c r="B27" s="4" t="s">
        <v>10</v>
      </c>
      <c r="C27" s="4">
        <v>2</v>
      </c>
      <c r="D27" s="4" t="s">
        <v>17</v>
      </c>
      <c r="E27" s="4" t="s">
        <v>12</v>
      </c>
      <c r="F27" s="14">
        <v>0.91100000000000003</v>
      </c>
      <c r="G27" s="14">
        <v>0.95</v>
      </c>
      <c r="H27" s="14">
        <v>0.94</v>
      </c>
      <c r="I27" s="14">
        <v>0.94</v>
      </c>
      <c r="J27" s="14">
        <v>0.95</v>
      </c>
      <c r="K27" s="14">
        <v>0.94</v>
      </c>
      <c r="L27" s="14">
        <v>0.94</v>
      </c>
      <c r="M27" s="14">
        <v>0.94</v>
      </c>
      <c r="N27" s="14">
        <v>0.94</v>
      </c>
      <c r="O27" s="14">
        <v>0.82</v>
      </c>
      <c r="P27" s="14">
        <v>0.95</v>
      </c>
      <c r="Q27" s="14">
        <v>0.97</v>
      </c>
      <c r="R27" s="14">
        <v>0.94</v>
      </c>
      <c r="S27" s="4"/>
      <c r="T27" s="3"/>
    </row>
    <row r="28" spans="1:20" x14ac:dyDescent="0.25">
      <c r="A28" s="5" t="s">
        <v>224</v>
      </c>
      <c r="B28" s="4" t="s">
        <v>10</v>
      </c>
      <c r="C28" s="5">
        <v>7</v>
      </c>
      <c r="D28" s="5" t="s">
        <v>17</v>
      </c>
      <c r="E28" s="5" t="s">
        <v>12</v>
      </c>
      <c r="F28" s="15">
        <v>0.88100000000000001</v>
      </c>
      <c r="G28" s="15">
        <v>0.95</v>
      </c>
      <c r="H28" s="15">
        <v>0.91</v>
      </c>
      <c r="I28" s="15">
        <v>0.92</v>
      </c>
      <c r="J28" s="15">
        <v>0.94</v>
      </c>
      <c r="K28" s="15">
        <v>0.92</v>
      </c>
      <c r="L28" s="15">
        <v>0.95</v>
      </c>
      <c r="M28" s="15">
        <v>0.94</v>
      </c>
      <c r="N28" s="15">
        <v>0.95</v>
      </c>
      <c r="O28" s="15">
        <v>0.92</v>
      </c>
      <c r="P28" s="15">
        <v>0.94</v>
      </c>
      <c r="Q28" s="15">
        <v>0.92</v>
      </c>
      <c r="R28" s="15">
        <v>0.91</v>
      </c>
      <c r="S28" s="5" t="s">
        <v>229</v>
      </c>
    </row>
    <row r="29" spans="1:20" x14ac:dyDescent="0.25">
      <c r="A29" s="5" t="s">
        <v>294</v>
      </c>
      <c r="B29" s="4" t="s">
        <v>10</v>
      </c>
      <c r="C29" s="5">
        <v>1</v>
      </c>
      <c r="D29" s="5" t="s">
        <v>11</v>
      </c>
      <c r="E29" s="5" t="s">
        <v>12</v>
      </c>
      <c r="F29" s="15">
        <v>0.65</v>
      </c>
      <c r="G29" s="15">
        <v>0.72</v>
      </c>
      <c r="H29" s="15">
        <v>0.64</v>
      </c>
      <c r="I29" s="15">
        <v>0.67</v>
      </c>
      <c r="J29" s="15">
        <v>0.67</v>
      </c>
      <c r="K29" s="15">
        <v>0.69</v>
      </c>
      <c r="L29" s="15">
        <v>0.73</v>
      </c>
      <c r="M29" s="15">
        <v>0.65</v>
      </c>
      <c r="N29" s="15">
        <v>0.68</v>
      </c>
      <c r="O29" s="15">
        <v>0.79</v>
      </c>
      <c r="P29" s="15">
        <v>0.66</v>
      </c>
      <c r="Q29" s="15">
        <v>0.82</v>
      </c>
      <c r="R29" s="15">
        <v>0.77</v>
      </c>
    </row>
    <row r="30" spans="1:20" s="7" customFormat="1" x14ac:dyDescent="0.25">
      <c r="A30" s="4" t="s">
        <v>48</v>
      </c>
      <c r="B30" s="4" t="s">
        <v>10</v>
      </c>
      <c r="C30" s="4">
        <v>2</v>
      </c>
      <c r="D30" s="4" t="s">
        <v>17</v>
      </c>
      <c r="E30" s="4" t="s">
        <v>12</v>
      </c>
      <c r="F30" s="14">
        <v>0.77</v>
      </c>
      <c r="G30" s="14">
        <v>0.76</v>
      </c>
      <c r="H30" s="14">
        <v>0.71</v>
      </c>
      <c r="I30" s="14">
        <v>0.77</v>
      </c>
      <c r="J30" s="14">
        <v>0.78</v>
      </c>
      <c r="K30" s="14">
        <v>0.72</v>
      </c>
      <c r="L30" s="14">
        <v>0.81</v>
      </c>
      <c r="M30" s="14">
        <v>0.84</v>
      </c>
      <c r="N30" s="14">
        <v>0.82</v>
      </c>
      <c r="O30" s="14">
        <v>0.77</v>
      </c>
      <c r="P30" s="14">
        <v>0.75</v>
      </c>
      <c r="Q30" s="14">
        <v>0.8</v>
      </c>
      <c r="R30" s="14">
        <v>0.79</v>
      </c>
      <c r="S30" s="4"/>
      <c r="T30" s="3"/>
    </row>
    <row r="31" spans="1:20" x14ac:dyDescent="0.25">
      <c r="A31" s="5" t="s">
        <v>225</v>
      </c>
      <c r="B31" s="4" t="s">
        <v>10</v>
      </c>
      <c r="C31" s="5">
        <v>7</v>
      </c>
      <c r="D31" s="5" t="s">
        <v>17</v>
      </c>
      <c r="E31" s="5" t="s">
        <v>12</v>
      </c>
      <c r="F31" s="15">
        <v>0.70599999999999996</v>
      </c>
      <c r="G31" s="15">
        <v>0.75</v>
      </c>
      <c r="H31" s="15">
        <v>0.64</v>
      </c>
      <c r="I31" s="15">
        <v>0.72</v>
      </c>
      <c r="J31" s="15">
        <v>0.74</v>
      </c>
      <c r="K31" s="15">
        <v>0.67</v>
      </c>
      <c r="L31" s="15">
        <v>0.8</v>
      </c>
      <c r="M31" s="15">
        <v>0.76</v>
      </c>
      <c r="N31" s="15">
        <v>0.79</v>
      </c>
      <c r="O31" s="15">
        <v>0.66</v>
      </c>
      <c r="P31" s="15">
        <v>0.71</v>
      </c>
      <c r="Q31" s="15">
        <v>0.79</v>
      </c>
      <c r="R31" s="15">
        <v>0.77</v>
      </c>
      <c r="S31" s="5" t="s">
        <v>230</v>
      </c>
    </row>
    <row r="32" spans="1:20" s="4" customFormat="1" x14ac:dyDescent="0.25">
      <c r="A32" s="4" t="s">
        <v>243</v>
      </c>
      <c r="B32" s="4" t="s">
        <v>10</v>
      </c>
      <c r="C32" s="5">
        <v>8</v>
      </c>
      <c r="D32" s="5" t="s">
        <v>17</v>
      </c>
      <c r="E32" s="5" t="s">
        <v>15</v>
      </c>
      <c r="F32" s="14">
        <v>0.94</v>
      </c>
      <c r="G32" s="14">
        <v>0.92200000000000004</v>
      </c>
      <c r="H32" s="14">
        <v>0.94099999999999995</v>
      </c>
      <c r="I32" s="14">
        <v>0.96099999999999997</v>
      </c>
      <c r="J32" s="14">
        <v>0.96399999999999997</v>
      </c>
      <c r="K32" s="14">
        <v>0.97799999999999998</v>
      </c>
      <c r="L32" s="14">
        <v>0.97799999999999998</v>
      </c>
      <c r="M32" s="14">
        <v>0.99</v>
      </c>
      <c r="N32" s="14">
        <v>0.999</v>
      </c>
      <c r="O32" s="14">
        <v>0.94399999999999995</v>
      </c>
      <c r="P32" s="14">
        <v>0.96799999999999997</v>
      </c>
      <c r="Q32" s="14">
        <v>0.94699999999999995</v>
      </c>
      <c r="R32" s="14">
        <v>0.95599999999999996</v>
      </c>
      <c r="S32" s="4" t="s">
        <v>241</v>
      </c>
      <c r="T32" s="10"/>
    </row>
    <row r="33" spans="1:20" s="7" customFormat="1" x14ac:dyDescent="0.25">
      <c r="A33" s="4" t="s">
        <v>305</v>
      </c>
      <c r="B33" s="4" t="s">
        <v>10</v>
      </c>
      <c r="C33" s="4">
        <v>2</v>
      </c>
      <c r="D33" s="4" t="s">
        <v>17</v>
      </c>
      <c r="E33" s="4" t="s">
        <v>12</v>
      </c>
      <c r="F33" s="14">
        <v>0.79</v>
      </c>
      <c r="G33" s="14">
        <v>0.79</v>
      </c>
      <c r="H33" s="14">
        <v>0.76</v>
      </c>
      <c r="I33" s="14">
        <v>0.83</v>
      </c>
      <c r="J33" s="14">
        <v>0.86</v>
      </c>
      <c r="K33" s="14">
        <v>0.74</v>
      </c>
      <c r="L33" s="14">
        <v>0.85</v>
      </c>
      <c r="M33" s="14">
        <v>0.77</v>
      </c>
      <c r="N33" s="14">
        <v>0.85</v>
      </c>
      <c r="O33" s="14">
        <v>0.85</v>
      </c>
      <c r="P33" s="14">
        <v>0.81</v>
      </c>
      <c r="Q33" s="14">
        <v>0.82</v>
      </c>
      <c r="R33" s="14">
        <v>0.78</v>
      </c>
      <c r="S33" s="4"/>
      <c r="T33" s="3"/>
    </row>
    <row r="34" spans="1:20" x14ac:dyDescent="0.25">
      <c r="A34" s="5" t="s">
        <v>305</v>
      </c>
      <c r="B34" s="4" t="s">
        <v>10</v>
      </c>
      <c r="C34" s="5">
        <v>1</v>
      </c>
      <c r="D34" s="5" t="s">
        <v>11</v>
      </c>
      <c r="E34" s="5" t="s">
        <v>12</v>
      </c>
      <c r="F34" s="15">
        <v>0.83</v>
      </c>
      <c r="G34" s="15">
        <v>0.87</v>
      </c>
      <c r="H34" s="15">
        <v>0.84</v>
      </c>
      <c r="I34" s="15">
        <v>0.87</v>
      </c>
      <c r="J34" s="15">
        <v>0.88</v>
      </c>
      <c r="K34" s="15">
        <v>0.79</v>
      </c>
      <c r="L34" s="15">
        <v>0.87</v>
      </c>
      <c r="M34" s="15">
        <v>0.78</v>
      </c>
      <c r="N34" s="15">
        <v>0.89</v>
      </c>
      <c r="O34" s="15">
        <v>0.85</v>
      </c>
      <c r="P34" s="15">
        <v>0.86</v>
      </c>
      <c r="Q34" s="15">
        <v>0.85</v>
      </c>
      <c r="R34" s="15">
        <v>0.81</v>
      </c>
    </row>
    <row r="35" spans="1:20" x14ac:dyDescent="0.25">
      <c r="A35" s="5" t="s">
        <v>226</v>
      </c>
      <c r="B35" s="4" t="s">
        <v>10</v>
      </c>
      <c r="C35" s="5">
        <v>7</v>
      </c>
      <c r="D35" s="5" t="s">
        <v>17</v>
      </c>
      <c r="E35" s="5" t="s">
        <v>12</v>
      </c>
      <c r="F35" s="15">
        <v>0.65700000000000003</v>
      </c>
      <c r="G35" s="15">
        <v>0.73</v>
      </c>
      <c r="H35" s="15">
        <v>0.68</v>
      </c>
      <c r="I35" s="15">
        <v>0.74</v>
      </c>
      <c r="J35" s="15">
        <v>0.76</v>
      </c>
      <c r="K35" s="15">
        <v>0.69</v>
      </c>
      <c r="L35" s="15">
        <v>0.77</v>
      </c>
      <c r="M35" s="15">
        <v>0.68</v>
      </c>
      <c r="N35" s="15">
        <v>0.76</v>
      </c>
      <c r="O35" s="15">
        <v>0.71</v>
      </c>
      <c r="P35" s="15">
        <v>0.73</v>
      </c>
      <c r="Q35" s="15">
        <v>0.73</v>
      </c>
      <c r="R35" s="15">
        <v>0.74</v>
      </c>
      <c r="S35" s="5" t="s">
        <v>230</v>
      </c>
    </row>
    <row r="36" spans="1:20" s="7" customFormat="1" x14ac:dyDescent="0.25">
      <c r="A36" s="4" t="s">
        <v>306</v>
      </c>
      <c r="B36" s="4" t="s">
        <v>10</v>
      </c>
      <c r="C36" s="4">
        <v>2</v>
      </c>
      <c r="D36" s="4" t="s">
        <v>17</v>
      </c>
      <c r="E36" s="4" t="s">
        <v>12</v>
      </c>
      <c r="F36" s="14">
        <v>0.87</v>
      </c>
      <c r="G36" s="14">
        <v>0.88</v>
      </c>
      <c r="H36" s="14">
        <v>0.82</v>
      </c>
      <c r="I36" s="14">
        <v>0.87</v>
      </c>
      <c r="J36" s="14">
        <v>0.88</v>
      </c>
      <c r="K36" s="14">
        <v>0.83</v>
      </c>
      <c r="L36" s="14">
        <v>0.9</v>
      </c>
      <c r="M36" s="14">
        <v>0.91</v>
      </c>
      <c r="N36" s="14">
        <v>0.9</v>
      </c>
      <c r="O36" s="14">
        <v>0.9</v>
      </c>
      <c r="P36" s="14">
        <v>0.86</v>
      </c>
      <c r="Q36" s="14">
        <v>0.91</v>
      </c>
      <c r="R36" s="14">
        <v>0.89</v>
      </c>
      <c r="S36" s="4"/>
      <c r="T36" s="3"/>
    </row>
    <row r="37" spans="1:20" s="7" customFormat="1" x14ac:dyDescent="0.25">
      <c r="A37" s="4" t="s">
        <v>49</v>
      </c>
      <c r="B37" s="4" t="s">
        <v>10</v>
      </c>
      <c r="C37" s="4">
        <v>2</v>
      </c>
      <c r="D37" s="4" t="s">
        <v>17</v>
      </c>
      <c r="E37" s="4" t="s">
        <v>12</v>
      </c>
      <c r="F37" s="14">
        <v>0.85499999999999998</v>
      </c>
      <c r="G37" s="14">
        <v>0.88</v>
      </c>
      <c r="H37" s="14">
        <v>0.83</v>
      </c>
      <c r="I37" s="14">
        <v>0.89</v>
      </c>
      <c r="J37" s="14">
        <v>0.9</v>
      </c>
      <c r="K37" s="14">
        <v>0.81</v>
      </c>
      <c r="L37" s="14">
        <v>0.89</v>
      </c>
      <c r="M37" s="14">
        <v>0.91</v>
      </c>
      <c r="N37" s="14">
        <v>0.91</v>
      </c>
      <c r="O37" s="14">
        <v>0.9</v>
      </c>
      <c r="P37" s="14">
        <v>0.86</v>
      </c>
      <c r="Q37" s="14">
        <v>0.88</v>
      </c>
      <c r="R37" s="14">
        <v>0.9</v>
      </c>
      <c r="S37" s="4"/>
      <c r="T37" s="3"/>
    </row>
    <row r="38" spans="1:20" s="7" customFormat="1" x14ac:dyDescent="0.25">
      <c r="A38" s="4" t="s">
        <v>50</v>
      </c>
      <c r="B38" s="4" t="s">
        <v>10</v>
      </c>
      <c r="C38" s="4">
        <v>2</v>
      </c>
      <c r="D38" s="4" t="s">
        <v>17</v>
      </c>
      <c r="E38" s="4" t="s">
        <v>12</v>
      </c>
      <c r="F38" s="14">
        <v>0.88</v>
      </c>
      <c r="G38" s="14">
        <v>0.88</v>
      </c>
      <c r="H38" s="14">
        <v>0.83</v>
      </c>
      <c r="I38" s="14">
        <v>0.89</v>
      </c>
      <c r="J38" s="14">
        <v>0.9</v>
      </c>
      <c r="K38" s="14">
        <v>0.81</v>
      </c>
      <c r="L38" s="14">
        <v>0.89</v>
      </c>
      <c r="M38" s="14">
        <v>0.91</v>
      </c>
      <c r="N38" s="14">
        <v>0.91</v>
      </c>
      <c r="O38" s="14">
        <v>0.9</v>
      </c>
      <c r="P38" s="14">
        <v>0.86</v>
      </c>
      <c r="Q38" s="14">
        <v>0.88</v>
      </c>
      <c r="R38" s="14">
        <v>0.9</v>
      </c>
      <c r="S38" s="4"/>
      <c r="T38" s="3"/>
    </row>
    <row r="39" spans="1:20" x14ac:dyDescent="0.25">
      <c r="A39" s="5" t="s">
        <v>18</v>
      </c>
      <c r="B39" s="4" t="s">
        <v>10</v>
      </c>
      <c r="C39" s="5">
        <v>1</v>
      </c>
      <c r="D39" s="5" t="s">
        <v>11</v>
      </c>
      <c r="E39" s="5" t="s">
        <v>12</v>
      </c>
      <c r="F39" s="15">
        <v>0.89</v>
      </c>
      <c r="G39" s="15">
        <v>0.89</v>
      </c>
      <c r="H39" s="15">
        <v>0.86</v>
      </c>
      <c r="I39" s="15">
        <v>0.9</v>
      </c>
      <c r="J39" s="15">
        <v>0.91</v>
      </c>
      <c r="K39" s="15">
        <v>0.87</v>
      </c>
      <c r="L39" s="15">
        <v>0.9</v>
      </c>
      <c r="M39" s="15">
        <v>0.86</v>
      </c>
      <c r="N39" s="15">
        <v>0.89</v>
      </c>
      <c r="O39" s="15">
        <v>0.92</v>
      </c>
      <c r="P39" s="15">
        <v>0.9</v>
      </c>
      <c r="Q39" s="15">
        <v>0.92</v>
      </c>
      <c r="R39" s="15">
        <v>0.91</v>
      </c>
    </row>
    <row r="40" spans="1:20" x14ac:dyDescent="0.25">
      <c r="A40" s="5" t="s">
        <v>227</v>
      </c>
      <c r="B40" s="4" t="s">
        <v>10</v>
      </c>
      <c r="C40" s="5">
        <v>7</v>
      </c>
      <c r="D40" s="5" t="s">
        <v>17</v>
      </c>
      <c r="E40" s="5" t="s">
        <v>12</v>
      </c>
      <c r="F40" s="15">
        <v>0.75</v>
      </c>
      <c r="G40" s="15">
        <v>0.84</v>
      </c>
      <c r="H40" s="15">
        <v>0.65</v>
      </c>
      <c r="I40" s="15">
        <v>0.79</v>
      </c>
      <c r="J40" s="15">
        <v>0.81</v>
      </c>
      <c r="K40" s="15">
        <v>0.73</v>
      </c>
      <c r="L40" s="15">
        <v>0.85</v>
      </c>
      <c r="M40" s="15">
        <v>0.83</v>
      </c>
      <c r="N40" s="15">
        <v>0.84</v>
      </c>
      <c r="O40" s="15">
        <v>0.74</v>
      </c>
      <c r="P40" s="15">
        <v>0.75</v>
      </c>
      <c r="Q40" s="15">
        <v>0.87</v>
      </c>
      <c r="R40" s="15">
        <v>0.84</v>
      </c>
      <c r="S40" s="5" t="s">
        <v>230</v>
      </c>
    </row>
    <row r="41" spans="1:20" s="4" customFormat="1" x14ac:dyDescent="0.25">
      <c r="A41" s="4" t="s">
        <v>257</v>
      </c>
      <c r="B41" s="4" t="s">
        <v>10</v>
      </c>
      <c r="C41" s="4">
        <v>10</v>
      </c>
      <c r="D41" s="4" t="s">
        <v>16</v>
      </c>
      <c r="E41" s="4" t="s">
        <v>240</v>
      </c>
      <c r="F41" s="14">
        <v>0.60199999999999998</v>
      </c>
      <c r="G41" s="33">
        <v>0.62890000000000001</v>
      </c>
      <c r="H41" s="14">
        <v>0.627</v>
      </c>
      <c r="I41" s="14">
        <v>0.62</v>
      </c>
      <c r="J41" s="14">
        <v>0.61699999999999999</v>
      </c>
      <c r="K41" s="33">
        <v>0.62890000000000001</v>
      </c>
      <c r="L41" s="14">
        <v>0.59299999999999997</v>
      </c>
      <c r="M41" s="14">
        <v>0.624</v>
      </c>
      <c r="N41" s="14">
        <v>0.60699999999999998</v>
      </c>
      <c r="O41" s="14">
        <v>0.60299999999999998</v>
      </c>
      <c r="P41" s="14">
        <v>0.64200000000000002</v>
      </c>
      <c r="Q41" s="14">
        <v>0.69</v>
      </c>
      <c r="R41" s="14">
        <v>0.66600000000000004</v>
      </c>
      <c r="S41" s="4" t="s">
        <v>358</v>
      </c>
      <c r="T41" s="10"/>
    </row>
    <row r="42" spans="1:20" s="6" customFormat="1" x14ac:dyDescent="0.25">
      <c r="F42" s="16"/>
      <c r="G42" s="16"/>
      <c r="H42" s="16"/>
      <c r="I42" s="16"/>
      <c r="J42" s="16"/>
      <c r="K42" s="16"/>
      <c r="L42" s="16"/>
      <c r="M42" s="16"/>
      <c r="N42" s="16"/>
      <c r="O42" s="16"/>
      <c r="P42" s="16"/>
      <c r="Q42" s="16"/>
      <c r="R42" s="16"/>
      <c r="T42" s="10"/>
    </row>
    <row r="43" spans="1:20" s="4" customFormat="1" x14ac:dyDescent="0.25">
      <c r="A43" s="4" t="s">
        <v>139</v>
      </c>
      <c r="B43" s="4" t="s">
        <v>296</v>
      </c>
      <c r="C43" s="5">
        <v>2</v>
      </c>
      <c r="D43" s="5" t="s">
        <v>17</v>
      </c>
      <c r="E43" s="5" t="s">
        <v>12</v>
      </c>
      <c r="F43" s="14">
        <v>0.53</v>
      </c>
      <c r="G43" s="14">
        <v>0.41</v>
      </c>
      <c r="H43" s="14">
        <v>0.31</v>
      </c>
      <c r="I43" s="14">
        <v>0.59</v>
      </c>
      <c r="J43" s="14">
        <v>0.59</v>
      </c>
      <c r="K43" s="14">
        <v>0.5</v>
      </c>
      <c r="L43" s="14">
        <v>0.61</v>
      </c>
      <c r="M43" s="14">
        <v>0.22</v>
      </c>
      <c r="N43" s="14">
        <v>0.52</v>
      </c>
      <c r="O43" s="14">
        <v>0.53</v>
      </c>
      <c r="P43" s="14">
        <v>0.42</v>
      </c>
      <c r="Q43" s="14">
        <v>0.57999999999999996</v>
      </c>
      <c r="R43" s="14">
        <v>0.61</v>
      </c>
      <c r="S43" s="4" t="s">
        <v>140</v>
      </c>
      <c r="T43" s="10"/>
    </row>
    <row r="44" spans="1:20" s="4" customFormat="1" x14ac:dyDescent="0.25">
      <c r="A44" s="4" t="s">
        <v>141</v>
      </c>
      <c r="B44" s="4" t="s">
        <v>296</v>
      </c>
      <c r="C44" s="5">
        <v>2</v>
      </c>
      <c r="D44" s="5" t="s">
        <v>17</v>
      </c>
      <c r="E44" s="5" t="s">
        <v>12</v>
      </c>
      <c r="F44" s="14">
        <v>0.78600000000000003</v>
      </c>
      <c r="G44" s="14">
        <v>0.41</v>
      </c>
      <c r="H44" s="14">
        <v>0.31</v>
      </c>
      <c r="I44" s="14">
        <v>0.59</v>
      </c>
      <c r="J44" s="14">
        <v>0.59</v>
      </c>
      <c r="K44" s="14">
        <v>0.5</v>
      </c>
      <c r="L44" s="14">
        <v>0.61</v>
      </c>
      <c r="M44" s="14">
        <v>0.22</v>
      </c>
      <c r="N44" s="14">
        <v>0.52</v>
      </c>
      <c r="O44" s="14">
        <v>0.53</v>
      </c>
      <c r="P44" s="14">
        <v>0.42</v>
      </c>
      <c r="Q44" s="14">
        <v>0.57999999999999996</v>
      </c>
      <c r="R44" s="14">
        <v>0.61</v>
      </c>
      <c r="S44" s="4" t="s">
        <v>142</v>
      </c>
      <c r="T44" s="10"/>
    </row>
    <row r="45" spans="1:20" s="4" customFormat="1" x14ac:dyDescent="0.25">
      <c r="A45" s="4" t="s">
        <v>143</v>
      </c>
      <c r="B45" s="4" t="s">
        <v>296</v>
      </c>
      <c r="C45" s="5">
        <v>2</v>
      </c>
      <c r="D45" s="5" t="s">
        <v>17</v>
      </c>
      <c r="E45" s="5" t="s">
        <v>12</v>
      </c>
      <c r="F45" s="14">
        <v>1</v>
      </c>
      <c r="G45" s="14">
        <v>0.7</v>
      </c>
      <c r="H45" s="14">
        <v>0.69</v>
      </c>
      <c r="I45" s="14">
        <v>0.76</v>
      </c>
      <c r="J45" s="14">
        <v>0.78</v>
      </c>
      <c r="K45" s="14">
        <v>0.69</v>
      </c>
      <c r="L45" s="14">
        <v>0.8</v>
      </c>
      <c r="M45" s="14">
        <v>0.66</v>
      </c>
      <c r="N45" s="14">
        <v>0.8</v>
      </c>
      <c r="O45" s="14">
        <v>0.77</v>
      </c>
      <c r="P45" s="14">
        <v>0.74</v>
      </c>
      <c r="Q45" s="14">
        <v>0.84</v>
      </c>
      <c r="R45" s="14">
        <v>0.76</v>
      </c>
      <c r="S45" s="4" t="s">
        <v>144</v>
      </c>
      <c r="T45" s="10"/>
    </row>
    <row r="46" spans="1:20" x14ac:dyDescent="0.25">
      <c r="A46" s="5" t="s">
        <v>21</v>
      </c>
      <c r="B46" s="4" t="s">
        <v>296</v>
      </c>
      <c r="C46" s="5">
        <v>2</v>
      </c>
      <c r="D46" s="5" t="s">
        <v>17</v>
      </c>
      <c r="E46" s="5" t="s">
        <v>12</v>
      </c>
      <c r="F46" s="15">
        <v>0.44700000000000001</v>
      </c>
      <c r="G46" s="15">
        <v>0.84</v>
      </c>
      <c r="H46" s="15">
        <v>0.69</v>
      </c>
      <c r="I46" s="15">
        <v>0.28999999999999998</v>
      </c>
      <c r="J46" s="15">
        <v>0.75</v>
      </c>
      <c r="K46" s="15">
        <v>0.64</v>
      </c>
      <c r="L46" s="15">
        <v>0.82</v>
      </c>
      <c r="M46" s="15">
        <v>0.76</v>
      </c>
      <c r="N46" s="15">
        <v>0.62</v>
      </c>
      <c r="O46" s="15">
        <v>0.66</v>
      </c>
      <c r="P46" s="15">
        <v>0.74</v>
      </c>
      <c r="Q46" s="15">
        <v>0.91</v>
      </c>
      <c r="R46" s="15">
        <v>0.76</v>
      </c>
    </row>
    <row r="47" spans="1:20" s="4" customFormat="1" x14ac:dyDescent="0.25">
      <c r="A47" s="4" t="s">
        <v>145</v>
      </c>
      <c r="B47" s="4" t="s">
        <v>296</v>
      </c>
      <c r="C47" s="5">
        <v>2</v>
      </c>
      <c r="D47" s="5" t="s">
        <v>17</v>
      </c>
      <c r="E47" s="5" t="s">
        <v>12</v>
      </c>
      <c r="F47" s="14">
        <v>0.40400000000000003</v>
      </c>
      <c r="G47" s="14">
        <v>0.85</v>
      </c>
      <c r="H47" s="14">
        <v>0.69</v>
      </c>
      <c r="I47" s="14">
        <v>0.28999999999999998</v>
      </c>
      <c r="J47" s="14">
        <v>0.75</v>
      </c>
      <c r="K47" s="14">
        <v>0.64</v>
      </c>
      <c r="L47" s="14">
        <v>0.82</v>
      </c>
      <c r="M47" s="14">
        <v>0.76</v>
      </c>
      <c r="N47" s="14">
        <v>0.62</v>
      </c>
      <c r="O47" s="14">
        <v>0.66</v>
      </c>
      <c r="P47" s="14">
        <v>0.74</v>
      </c>
      <c r="Q47" s="14">
        <v>0.91</v>
      </c>
      <c r="R47" s="14">
        <v>0.76</v>
      </c>
      <c r="S47" s="4" t="s">
        <v>146</v>
      </c>
      <c r="T47" s="10"/>
    </row>
    <row r="48" spans="1:20" s="4" customFormat="1" x14ac:dyDescent="0.25">
      <c r="A48" s="4" t="s">
        <v>147</v>
      </c>
      <c r="B48" s="4" t="s">
        <v>296</v>
      </c>
      <c r="C48" s="5">
        <v>2</v>
      </c>
      <c r="D48" s="5" t="s">
        <v>17</v>
      </c>
      <c r="E48" s="5" t="s">
        <v>12</v>
      </c>
      <c r="F48" s="14">
        <v>0.81699999999999995</v>
      </c>
      <c r="G48" s="14">
        <v>0.71</v>
      </c>
      <c r="H48" s="14">
        <v>0.7</v>
      </c>
      <c r="I48" s="14">
        <v>0.76</v>
      </c>
      <c r="J48" s="14">
        <v>0.78</v>
      </c>
      <c r="K48" s="14">
        <v>0.69</v>
      </c>
      <c r="L48" s="14">
        <v>0.8</v>
      </c>
      <c r="M48" s="14">
        <v>0.67</v>
      </c>
      <c r="N48" s="14">
        <v>0.8</v>
      </c>
      <c r="O48" s="14">
        <v>0.77</v>
      </c>
      <c r="P48" s="14">
        <v>0.74</v>
      </c>
      <c r="Q48" s="14">
        <v>0.85</v>
      </c>
      <c r="R48" s="14">
        <v>0.76</v>
      </c>
      <c r="S48" s="4" t="s">
        <v>148</v>
      </c>
      <c r="T48" s="10"/>
    </row>
    <row r="49" spans="1:20" s="4" customFormat="1" x14ac:dyDescent="0.25">
      <c r="A49" s="4" t="s">
        <v>149</v>
      </c>
      <c r="B49" s="4" t="s">
        <v>296</v>
      </c>
      <c r="C49" s="5">
        <v>2</v>
      </c>
      <c r="D49" s="5" t="s">
        <v>17</v>
      </c>
      <c r="E49" s="5" t="s">
        <v>12</v>
      </c>
      <c r="F49" s="14">
        <v>0.87</v>
      </c>
      <c r="G49" s="14">
        <v>0.75</v>
      </c>
      <c r="H49" s="14">
        <v>0.9</v>
      </c>
      <c r="I49" s="14">
        <v>0.89</v>
      </c>
      <c r="J49" s="14">
        <v>0.91</v>
      </c>
      <c r="K49" s="14">
        <v>0.89</v>
      </c>
      <c r="L49" s="14">
        <v>0.91</v>
      </c>
      <c r="M49" s="14">
        <v>0.78</v>
      </c>
      <c r="N49" s="14">
        <v>0.91</v>
      </c>
      <c r="O49" s="14">
        <v>0.89</v>
      </c>
      <c r="P49" s="14">
        <v>0.89</v>
      </c>
      <c r="Q49" s="14">
        <v>0.92</v>
      </c>
      <c r="R49" s="14">
        <v>0.89</v>
      </c>
      <c r="S49" s="4" t="s">
        <v>150</v>
      </c>
      <c r="T49" s="10"/>
    </row>
    <row r="50" spans="1:20" s="4" customFormat="1" x14ac:dyDescent="0.25">
      <c r="A50" s="4" t="s">
        <v>151</v>
      </c>
      <c r="B50" s="4" t="s">
        <v>296</v>
      </c>
      <c r="C50" s="5">
        <v>2</v>
      </c>
      <c r="D50" s="5" t="s">
        <v>17</v>
      </c>
      <c r="E50" s="5" t="s">
        <v>12</v>
      </c>
      <c r="F50" s="14">
        <v>0.754</v>
      </c>
      <c r="G50" s="14">
        <v>0.75</v>
      </c>
      <c r="H50" s="14">
        <v>0.74</v>
      </c>
      <c r="I50" s="14">
        <v>0.79</v>
      </c>
      <c r="J50" s="14">
        <v>0.81</v>
      </c>
      <c r="K50" s="14">
        <v>0.74</v>
      </c>
      <c r="L50" s="14">
        <v>0.82</v>
      </c>
      <c r="M50" s="14">
        <v>0.71</v>
      </c>
      <c r="N50" s="14">
        <v>0.82</v>
      </c>
      <c r="O50" s="14">
        <v>0.8</v>
      </c>
      <c r="P50" s="14">
        <v>0.77</v>
      </c>
      <c r="Q50" s="14">
        <v>0.87</v>
      </c>
      <c r="R50" s="14">
        <v>0.8</v>
      </c>
      <c r="S50" s="4" t="s">
        <v>152</v>
      </c>
      <c r="T50" s="10"/>
    </row>
    <row r="51" spans="1:20" s="4" customFormat="1" x14ac:dyDescent="0.25">
      <c r="A51" s="4" t="s">
        <v>153</v>
      </c>
      <c r="B51" s="4" t="s">
        <v>296</v>
      </c>
      <c r="C51" s="5">
        <v>2</v>
      </c>
      <c r="D51" s="5" t="s">
        <v>17</v>
      </c>
      <c r="E51" s="5" t="s">
        <v>12</v>
      </c>
      <c r="F51" s="14">
        <v>0.629</v>
      </c>
      <c r="G51" s="14">
        <v>0.85</v>
      </c>
      <c r="H51" s="14">
        <v>0.84</v>
      </c>
      <c r="I51" s="14">
        <v>0.86</v>
      </c>
      <c r="J51" s="14">
        <v>0.88</v>
      </c>
      <c r="K51" s="14">
        <v>0.86</v>
      </c>
      <c r="L51" s="14">
        <v>0.88</v>
      </c>
      <c r="M51" s="14">
        <v>0.84</v>
      </c>
      <c r="N51" s="14">
        <v>0.88</v>
      </c>
      <c r="O51" s="14">
        <v>0.88</v>
      </c>
      <c r="P51" s="14">
        <v>0.85</v>
      </c>
      <c r="Q51" s="14">
        <v>0.91</v>
      </c>
      <c r="R51" s="14">
        <v>0.88</v>
      </c>
      <c r="S51" s="4" t="s">
        <v>154</v>
      </c>
      <c r="T51" s="10"/>
    </row>
    <row r="52" spans="1:20" x14ac:dyDescent="0.25">
      <c r="A52" s="5" t="s">
        <v>158</v>
      </c>
      <c r="B52" s="4" t="s">
        <v>296</v>
      </c>
      <c r="C52" s="5">
        <v>1</v>
      </c>
      <c r="D52" s="5" t="s">
        <v>11</v>
      </c>
      <c r="E52" s="5" t="s">
        <v>12</v>
      </c>
      <c r="F52" s="15">
        <v>0.47</v>
      </c>
      <c r="G52" s="15">
        <v>0.47</v>
      </c>
      <c r="H52" s="15">
        <v>0.47</v>
      </c>
      <c r="I52" s="15">
        <v>0.44</v>
      </c>
      <c r="J52" s="15">
        <v>0.47</v>
      </c>
      <c r="K52" s="15">
        <v>0.48</v>
      </c>
      <c r="L52" s="15">
        <v>0.41</v>
      </c>
      <c r="M52" s="15">
        <v>0.47</v>
      </c>
      <c r="N52" s="15">
        <v>0.47</v>
      </c>
      <c r="O52" s="15">
        <v>0.47</v>
      </c>
      <c r="P52" s="15">
        <v>0.47</v>
      </c>
      <c r="Q52" s="15">
        <v>0.49</v>
      </c>
      <c r="R52" s="15">
        <v>0.42</v>
      </c>
    </row>
    <row r="53" spans="1:20" x14ac:dyDescent="0.25">
      <c r="A53" s="5" t="s">
        <v>22</v>
      </c>
      <c r="B53" s="4" t="s">
        <v>296</v>
      </c>
      <c r="C53" s="5">
        <v>1</v>
      </c>
      <c r="D53" s="5" t="s">
        <v>11</v>
      </c>
      <c r="E53" s="5" t="s">
        <v>12</v>
      </c>
      <c r="F53" s="15">
        <v>0.52</v>
      </c>
      <c r="G53" s="15">
        <v>0.47</v>
      </c>
      <c r="H53" s="15">
        <v>0.52</v>
      </c>
      <c r="I53" s="15">
        <v>0.51</v>
      </c>
      <c r="J53" s="15">
        <v>0.52</v>
      </c>
      <c r="K53" s="15">
        <v>0.51</v>
      </c>
      <c r="L53" s="15">
        <v>0.47</v>
      </c>
      <c r="M53" s="15">
        <v>0.52</v>
      </c>
      <c r="N53" s="15">
        <v>0.52</v>
      </c>
      <c r="O53" s="15">
        <v>0.49</v>
      </c>
      <c r="P53" s="15">
        <v>0.52</v>
      </c>
      <c r="Q53" s="15">
        <v>0.54</v>
      </c>
      <c r="R53" s="15">
        <v>0.47</v>
      </c>
    </row>
    <row r="54" spans="1:20" x14ac:dyDescent="0.25">
      <c r="A54" s="5" t="s">
        <v>288</v>
      </c>
      <c r="B54" s="4" t="s">
        <v>296</v>
      </c>
      <c r="C54" s="5">
        <v>1</v>
      </c>
      <c r="D54" s="5" t="s">
        <v>11</v>
      </c>
      <c r="E54" s="5" t="s">
        <v>12</v>
      </c>
      <c r="F54" s="15">
        <v>0.51</v>
      </c>
      <c r="G54" s="15">
        <v>0.47</v>
      </c>
      <c r="H54" s="15">
        <v>0.52</v>
      </c>
      <c r="I54" s="15">
        <v>0.51</v>
      </c>
      <c r="J54" s="15">
        <v>0.5</v>
      </c>
      <c r="K54" s="15">
        <v>0.52</v>
      </c>
      <c r="L54" s="15">
        <v>0.47</v>
      </c>
      <c r="M54" s="15">
        <v>0.52</v>
      </c>
      <c r="N54" s="15">
        <v>0.52</v>
      </c>
      <c r="O54" s="15">
        <v>0.53</v>
      </c>
      <c r="P54" s="15">
        <v>0.52</v>
      </c>
      <c r="Q54" s="15">
        <v>0.51</v>
      </c>
      <c r="R54" s="15">
        <v>0.47</v>
      </c>
    </row>
    <row r="55" spans="1:20" x14ac:dyDescent="0.25">
      <c r="A55" s="5" t="s">
        <v>289</v>
      </c>
      <c r="B55" s="4" t="s">
        <v>296</v>
      </c>
      <c r="C55" s="5">
        <v>1</v>
      </c>
      <c r="D55" s="5" t="s">
        <v>11</v>
      </c>
      <c r="E55" s="5" t="s">
        <v>12</v>
      </c>
      <c r="F55" s="15">
        <v>0.5</v>
      </c>
      <c r="G55" s="15">
        <v>0.47</v>
      </c>
      <c r="H55" s="15">
        <v>0.48</v>
      </c>
      <c r="I55" s="15">
        <v>0.53</v>
      </c>
      <c r="J55" s="15">
        <v>0.5</v>
      </c>
      <c r="K55" s="15">
        <v>0.52</v>
      </c>
      <c r="L55" s="15">
        <v>0.52</v>
      </c>
      <c r="M55" s="15">
        <v>0.52</v>
      </c>
      <c r="N55" s="15">
        <v>0.51</v>
      </c>
      <c r="O55" s="15">
        <v>0.51</v>
      </c>
      <c r="P55" s="15">
        <v>0.51</v>
      </c>
      <c r="Q55" s="15">
        <v>0.49</v>
      </c>
      <c r="R55" s="15">
        <v>0.51</v>
      </c>
    </row>
    <row r="56" spans="1:20" x14ac:dyDescent="0.25">
      <c r="A56" s="5" t="s">
        <v>23</v>
      </c>
      <c r="B56" s="4" t="s">
        <v>296</v>
      </c>
      <c r="C56" s="5">
        <v>1</v>
      </c>
      <c r="D56" s="5" t="s">
        <v>11</v>
      </c>
      <c r="E56" s="5" t="s">
        <v>12</v>
      </c>
      <c r="F56" s="15">
        <v>0.56000000000000005</v>
      </c>
      <c r="G56" s="15">
        <v>0.47</v>
      </c>
      <c r="H56" s="15">
        <v>0.62</v>
      </c>
      <c r="I56" s="15">
        <v>0.56000000000000005</v>
      </c>
      <c r="J56" s="15">
        <v>0.56000000000000005</v>
      </c>
      <c r="K56" s="15">
        <v>0.62</v>
      </c>
      <c r="L56" s="15">
        <v>0.66</v>
      </c>
      <c r="M56" s="15">
        <v>0.54</v>
      </c>
      <c r="N56" s="15">
        <v>0.56999999999999995</v>
      </c>
      <c r="O56" s="15">
        <v>0.57999999999999996</v>
      </c>
      <c r="P56" s="15">
        <v>0.57999999999999996</v>
      </c>
      <c r="Q56" s="15">
        <v>0.56999999999999995</v>
      </c>
      <c r="R56" s="15">
        <v>0.53</v>
      </c>
    </row>
    <row r="57" spans="1:20" x14ac:dyDescent="0.25">
      <c r="A57" s="5" t="s">
        <v>290</v>
      </c>
      <c r="B57" s="4" t="s">
        <v>296</v>
      </c>
      <c r="C57" s="5">
        <v>1</v>
      </c>
      <c r="D57" s="5" t="s">
        <v>11</v>
      </c>
      <c r="E57" s="5" t="s">
        <v>12</v>
      </c>
      <c r="F57" s="15">
        <v>0.56999999999999995</v>
      </c>
      <c r="G57" s="15">
        <v>0.51</v>
      </c>
      <c r="H57" s="15">
        <v>0.62</v>
      </c>
      <c r="I57" s="15">
        <v>0.57999999999999996</v>
      </c>
      <c r="J57" s="15">
        <v>0.57999999999999996</v>
      </c>
      <c r="K57" s="15">
        <v>0.63</v>
      </c>
      <c r="L57" s="15">
        <v>0.68</v>
      </c>
      <c r="M57" s="15">
        <v>0.49</v>
      </c>
      <c r="N57" s="15">
        <v>0.56999999999999995</v>
      </c>
      <c r="O57" s="15">
        <v>0.56999999999999995</v>
      </c>
      <c r="P57" s="15">
        <v>0.57999999999999996</v>
      </c>
      <c r="Q57" s="15">
        <v>0.56999999999999995</v>
      </c>
      <c r="R57" s="15">
        <v>0.56999999999999995</v>
      </c>
    </row>
    <row r="58" spans="1:20" x14ac:dyDescent="0.25">
      <c r="A58" s="5" t="s">
        <v>292</v>
      </c>
      <c r="B58" s="4" t="s">
        <v>296</v>
      </c>
      <c r="C58" s="5">
        <v>1</v>
      </c>
      <c r="D58" s="5" t="s">
        <v>11</v>
      </c>
      <c r="E58" s="5" t="s">
        <v>12</v>
      </c>
      <c r="F58" s="15">
        <v>0.57999999999999996</v>
      </c>
      <c r="G58" s="15">
        <v>0.47</v>
      </c>
      <c r="H58" s="15">
        <v>0.62</v>
      </c>
      <c r="I58" s="15">
        <v>0.57999999999999996</v>
      </c>
      <c r="J58" s="15">
        <v>0.57999999999999996</v>
      </c>
      <c r="K58" s="15">
        <v>0.64</v>
      </c>
      <c r="L58" s="15">
        <v>0.7</v>
      </c>
      <c r="M58" s="15">
        <v>0.5</v>
      </c>
      <c r="N58" s="15">
        <v>0.57999999999999996</v>
      </c>
      <c r="O58" s="15">
        <v>0.56000000000000005</v>
      </c>
      <c r="P58" s="15">
        <v>0.57999999999999996</v>
      </c>
      <c r="Q58" s="15">
        <v>0.57999999999999996</v>
      </c>
      <c r="R58" s="15">
        <v>0.61</v>
      </c>
    </row>
    <row r="59" spans="1:20" x14ac:dyDescent="0.25">
      <c r="A59" s="5" t="s">
        <v>291</v>
      </c>
      <c r="B59" s="4" t="s">
        <v>296</v>
      </c>
      <c r="C59" s="5">
        <v>1</v>
      </c>
      <c r="D59" s="5" t="s">
        <v>11</v>
      </c>
      <c r="E59" s="5" t="s">
        <v>12</v>
      </c>
      <c r="F59" s="15">
        <v>0.56999999999999995</v>
      </c>
      <c r="G59" s="15">
        <v>0.47</v>
      </c>
      <c r="H59" s="15">
        <v>0.63</v>
      </c>
      <c r="I59" s="15">
        <v>0.59</v>
      </c>
      <c r="J59" s="15">
        <v>0.56999999999999995</v>
      </c>
      <c r="K59" s="15">
        <v>0.62</v>
      </c>
      <c r="L59" s="15">
        <v>0.64</v>
      </c>
      <c r="M59" s="15">
        <v>0.47</v>
      </c>
      <c r="N59" s="15">
        <v>0.57999999999999996</v>
      </c>
      <c r="O59" s="15">
        <v>0.56999999999999995</v>
      </c>
      <c r="P59" s="15">
        <v>0.56999999999999995</v>
      </c>
      <c r="Q59" s="15">
        <v>0.57999999999999996</v>
      </c>
      <c r="R59" s="15">
        <v>0.57999999999999996</v>
      </c>
    </row>
    <row r="60" spans="1:20" x14ac:dyDescent="0.25">
      <c r="A60" s="5" t="s">
        <v>293</v>
      </c>
      <c r="B60" s="4" t="s">
        <v>296</v>
      </c>
      <c r="C60" s="5">
        <v>1</v>
      </c>
      <c r="D60" s="5" t="s">
        <v>11</v>
      </c>
      <c r="E60" s="5" t="s">
        <v>12</v>
      </c>
      <c r="F60" s="15">
        <v>0.57999999999999996</v>
      </c>
      <c r="G60" s="15">
        <v>0.52</v>
      </c>
      <c r="H60" s="15">
        <v>0.61</v>
      </c>
      <c r="I60" s="15">
        <v>0.56000000000000005</v>
      </c>
      <c r="J60" s="15">
        <v>0.59</v>
      </c>
      <c r="K60" s="15">
        <v>0.63</v>
      </c>
      <c r="L60" s="15">
        <v>0.62</v>
      </c>
      <c r="M60" s="15">
        <v>0.51</v>
      </c>
      <c r="N60" s="15">
        <v>0.56000000000000005</v>
      </c>
      <c r="O60" s="15">
        <v>0.57999999999999996</v>
      </c>
      <c r="P60" s="15">
        <v>0.57999999999999996</v>
      </c>
      <c r="Q60" s="15">
        <v>0.57999999999999996</v>
      </c>
      <c r="R60" s="15">
        <v>0.56000000000000005</v>
      </c>
    </row>
    <row r="61" spans="1:20" x14ac:dyDescent="0.25">
      <c r="A61" s="5" t="s">
        <v>157</v>
      </c>
      <c r="B61" s="4" t="s">
        <v>296</v>
      </c>
      <c r="C61" s="5">
        <v>1</v>
      </c>
      <c r="D61" s="5" t="s">
        <v>11</v>
      </c>
      <c r="E61" s="5" t="s">
        <v>12</v>
      </c>
      <c r="F61" s="15">
        <v>0.52</v>
      </c>
      <c r="G61" s="15">
        <v>0.47</v>
      </c>
      <c r="H61" s="15">
        <v>0.51</v>
      </c>
      <c r="I61" s="15">
        <v>0.55000000000000004</v>
      </c>
      <c r="J61" s="15">
        <v>0.51</v>
      </c>
      <c r="K61" s="15">
        <v>0.53</v>
      </c>
      <c r="L61" s="15">
        <v>0.64</v>
      </c>
      <c r="M61" s="15">
        <v>0.47</v>
      </c>
      <c r="N61" s="15">
        <v>0.53</v>
      </c>
      <c r="O61" s="15">
        <v>0.51</v>
      </c>
      <c r="P61" s="15">
        <v>0.47</v>
      </c>
      <c r="Q61" s="15">
        <v>0.53</v>
      </c>
      <c r="R61" s="15">
        <v>0.47</v>
      </c>
    </row>
    <row r="62" spans="1:20" s="4" customFormat="1" x14ac:dyDescent="0.25">
      <c r="A62" s="4" t="s">
        <v>155</v>
      </c>
      <c r="B62" s="4" t="s">
        <v>296</v>
      </c>
      <c r="C62" s="5">
        <v>2</v>
      </c>
      <c r="D62" s="5" t="s">
        <v>17</v>
      </c>
      <c r="E62" s="5" t="s">
        <v>12</v>
      </c>
      <c r="F62" s="14">
        <v>0.66500000000000004</v>
      </c>
      <c r="G62" s="14">
        <v>0.84</v>
      </c>
      <c r="H62" s="14">
        <v>0.83</v>
      </c>
      <c r="I62" s="14">
        <v>0.85</v>
      </c>
      <c r="J62" s="14">
        <v>0.87</v>
      </c>
      <c r="K62" s="14">
        <v>0.85</v>
      </c>
      <c r="L62" s="14">
        <v>0.88</v>
      </c>
      <c r="M62" s="14">
        <v>0.83</v>
      </c>
      <c r="N62" s="14">
        <v>0.88</v>
      </c>
      <c r="O62" s="14">
        <v>0.87</v>
      </c>
      <c r="P62" s="14">
        <v>0.85</v>
      </c>
      <c r="Q62" s="14">
        <v>0.91</v>
      </c>
      <c r="R62" s="14">
        <v>0.87</v>
      </c>
      <c r="S62" s="4" t="s">
        <v>156</v>
      </c>
      <c r="T62" s="10"/>
    </row>
    <row r="63" spans="1:20" s="6" customFormat="1" x14ac:dyDescent="0.25">
      <c r="F63" s="16"/>
      <c r="G63" s="16"/>
      <c r="H63" s="16"/>
      <c r="I63" s="16"/>
      <c r="J63" s="16"/>
      <c r="K63" s="16"/>
      <c r="L63" s="16"/>
      <c r="M63" s="16"/>
      <c r="N63" s="16"/>
      <c r="O63" s="16"/>
      <c r="P63" s="16"/>
      <c r="Q63" s="16"/>
      <c r="R63" s="16"/>
      <c r="T63" s="10"/>
    </row>
    <row r="64" spans="1:20" s="4" customFormat="1" x14ac:dyDescent="0.25">
      <c r="A64" s="4" t="s">
        <v>250</v>
      </c>
      <c r="B64" s="4" t="s">
        <v>298</v>
      </c>
      <c r="C64" s="5">
        <v>9</v>
      </c>
      <c r="D64" s="5" t="s">
        <v>17</v>
      </c>
      <c r="E64" s="5" t="s">
        <v>240</v>
      </c>
      <c r="F64" s="14">
        <v>0.79600000000000004</v>
      </c>
      <c r="G64" s="14">
        <v>0.77</v>
      </c>
      <c r="H64" s="14">
        <v>0.86599999999999999</v>
      </c>
      <c r="I64" s="14">
        <v>0.88600000000000001</v>
      </c>
      <c r="J64" s="14">
        <v>0.93899999999999995</v>
      </c>
      <c r="K64" s="14">
        <v>0.89900000000000002</v>
      </c>
      <c r="L64" s="14">
        <v>0.83399999999999996</v>
      </c>
      <c r="M64" s="14">
        <v>0.52900000000000003</v>
      </c>
      <c r="N64" s="14">
        <v>0.89400000000000002</v>
      </c>
      <c r="O64" s="14">
        <v>0.85099999999999998</v>
      </c>
      <c r="P64" s="14">
        <v>0.89200000000000002</v>
      </c>
      <c r="Q64" s="14">
        <v>0.93100000000000005</v>
      </c>
      <c r="R64" s="14">
        <v>0.88900000000000001</v>
      </c>
      <c r="T64" s="10"/>
    </row>
    <row r="65" spans="1:20" x14ac:dyDescent="0.25">
      <c r="A65" s="5" t="s">
        <v>175</v>
      </c>
      <c r="B65" s="4" t="s">
        <v>298</v>
      </c>
      <c r="C65" s="5">
        <v>2</v>
      </c>
      <c r="D65" s="5" t="s">
        <v>17</v>
      </c>
      <c r="E65" s="5" t="s">
        <v>12</v>
      </c>
      <c r="F65" s="15">
        <v>0.86399999999999999</v>
      </c>
      <c r="G65" s="15">
        <v>0.79</v>
      </c>
      <c r="H65" s="15">
        <v>0.79</v>
      </c>
      <c r="I65" s="15">
        <v>0.82</v>
      </c>
      <c r="J65" s="15">
        <v>0.84</v>
      </c>
      <c r="K65" s="15">
        <v>0.8</v>
      </c>
      <c r="L65" s="15">
        <v>0.85</v>
      </c>
      <c r="M65" s="15">
        <v>0.78</v>
      </c>
      <c r="N65" s="15">
        <v>0.85</v>
      </c>
      <c r="O65" s="15">
        <v>0.84</v>
      </c>
      <c r="P65" s="15">
        <v>0.81</v>
      </c>
      <c r="Q65" s="15">
        <v>0.89</v>
      </c>
      <c r="R65" s="15">
        <v>0.84</v>
      </c>
      <c r="S65" s="5" t="s">
        <v>176</v>
      </c>
    </row>
    <row r="66" spans="1:20" x14ac:dyDescent="0.25">
      <c r="A66" s="5" t="s">
        <v>177</v>
      </c>
      <c r="B66" s="4" t="s">
        <v>298</v>
      </c>
      <c r="C66" s="5">
        <v>2</v>
      </c>
      <c r="D66" s="5" t="s">
        <v>17</v>
      </c>
      <c r="E66" s="5" t="s">
        <v>12</v>
      </c>
      <c r="F66" s="15">
        <v>0.38400000000000001</v>
      </c>
      <c r="G66" s="15">
        <v>0.46</v>
      </c>
      <c r="H66" s="15">
        <v>0.63</v>
      </c>
      <c r="I66" s="15">
        <v>0.68</v>
      </c>
      <c r="J66" s="15">
        <v>0.72</v>
      </c>
      <c r="K66" s="15">
        <v>0.55000000000000004</v>
      </c>
      <c r="L66" s="15">
        <v>0.75</v>
      </c>
      <c r="M66" s="15">
        <v>0.35</v>
      </c>
      <c r="N66" s="15">
        <v>0.72</v>
      </c>
      <c r="O66" s="15">
        <v>0.66</v>
      </c>
      <c r="P66" s="15">
        <v>0.67</v>
      </c>
      <c r="Q66" s="15">
        <v>0.73</v>
      </c>
      <c r="R66" s="15">
        <v>0.56999999999999995</v>
      </c>
      <c r="S66" s="5" t="s">
        <v>178</v>
      </c>
    </row>
    <row r="67" spans="1:20" x14ac:dyDescent="0.25">
      <c r="A67" s="5" t="s">
        <v>179</v>
      </c>
      <c r="B67" s="4" t="s">
        <v>298</v>
      </c>
      <c r="C67" s="5">
        <v>2</v>
      </c>
      <c r="D67" s="5" t="s">
        <v>17</v>
      </c>
      <c r="E67" s="5" t="s">
        <v>12</v>
      </c>
      <c r="F67" s="15">
        <v>0.504</v>
      </c>
      <c r="G67" s="15">
        <v>0.46</v>
      </c>
      <c r="H67" s="15">
        <v>0.72</v>
      </c>
      <c r="I67" s="15">
        <v>0.75</v>
      </c>
      <c r="J67" s="15">
        <v>0.77</v>
      </c>
      <c r="K67" s="15">
        <v>0.72</v>
      </c>
      <c r="L67" s="15">
        <v>0.78</v>
      </c>
      <c r="M67" s="15">
        <v>0.35</v>
      </c>
      <c r="N67" s="15">
        <v>0.75</v>
      </c>
      <c r="O67" s="15">
        <v>0.76</v>
      </c>
      <c r="P67" s="15">
        <v>0.72</v>
      </c>
      <c r="Q67" s="15">
        <v>0.86</v>
      </c>
      <c r="R67" s="15">
        <v>0.68</v>
      </c>
      <c r="S67" s="5" t="s">
        <v>180</v>
      </c>
    </row>
    <row r="68" spans="1:20" s="4" customFormat="1" x14ac:dyDescent="0.25">
      <c r="A68" s="4" t="s">
        <v>251</v>
      </c>
      <c r="B68" s="4" t="s">
        <v>298</v>
      </c>
      <c r="C68" s="5">
        <v>9</v>
      </c>
      <c r="D68" s="5" t="s">
        <v>17</v>
      </c>
      <c r="E68" s="5" t="s">
        <v>240</v>
      </c>
      <c r="F68" s="14">
        <v>0.85699999999999998</v>
      </c>
      <c r="G68" s="14">
        <v>0.83499999999999996</v>
      </c>
      <c r="H68" s="14">
        <v>0.89200000000000002</v>
      </c>
      <c r="I68" s="14">
        <v>0.92</v>
      </c>
      <c r="J68" s="14">
        <v>0.95499999999999996</v>
      </c>
      <c r="K68" s="14">
        <v>0.92900000000000005</v>
      </c>
      <c r="L68" s="14">
        <v>0.83299999999999996</v>
      </c>
      <c r="M68" s="14">
        <v>0.67800000000000005</v>
      </c>
      <c r="N68" s="14">
        <v>0.91400000000000003</v>
      </c>
      <c r="O68" s="14">
        <v>0.88500000000000001</v>
      </c>
      <c r="P68" s="14">
        <v>0.91100000000000003</v>
      </c>
      <c r="Q68" s="14">
        <v>0.97199999999999998</v>
      </c>
      <c r="R68" s="14">
        <v>0.84899999999999998</v>
      </c>
      <c r="T68" s="10"/>
    </row>
    <row r="69" spans="1:20" s="4" customFormat="1" ht="14.25" customHeight="1" x14ac:dyDescent="0.25">
      <c r="A69" s="4" t="s">
        <v>307</v>
      </c>
      <c r="B69" s="4" t="s">
        <v>298</v>
      </c>
      <c r="C69" s="5">
        <v>2</v>
      </c>
      <c r="D69" s="5" t="s">
        <v>17</v>
      </c>
      <c r="E69" s="5" t="s">
        <v>12</v>
      </c>
      <c r="F69" s="14">
        <v>0.87</v>
      </c>
      <c r="G69" s="14">
        <v>0.83</v>
      </c>
      <c r="H69" s="14">
        <v>0.77</v>
      </c>
      <c r="I69" s="14">
        <v>0.82</v>
      </c>
      <c r="J69" s="14">
        <v>0.86</v>
      </c>
      <c r="K69" s="14">
        <v>0.94</v>
      </c>
      <c r="L69" s="14">
        <v>0.89</v>
      </c>
      <c r="M69" s="14">
        <v>0.89</v>
      </c>
      <c r="N69" s="14">
        <v>0.89</v>
      </c>
      <c r="O69" s="14">
        <v>0.89</v>
      </c>
      <c r="P69" s="14">
        <v>0.81</v>
      </c>
      <c r="Q69" s="14">
        <v>0.96</v>
      </c>
      <c r="R69" s="14">
        <v>0.87</v>
      </c>
      <c r="S69" s="4" t="s">
        <v>51</v>
      </c>
      <c r="T69" s="10"/>
    </row>
    <row r="70" spans="1:20" x14ac:dyDescent="0.25">
      <c r="A70" s="5" t="s">
        <v>308</v>
      </c>
      <c r="B70" s="4" t="s">
        <v>298</v>
      </c>
      <c r="C70" s="5">
        <v>17</v>
      </c>
      <c r="D70" s="5" t="s">
        <v>16</v>
      </c>
      <c r="E70" s="5" t="s">
        <v>240</v>
      </c>
      <c r="F70" s="32">
        <v>0.746</v>
      </c>
      <c r="G70" s="32">
        <v>0.746</v>
      </c>
      <c r="H70" s="15">
        <v>0.72499999999999998</v>
      </c>
      <c r="I70" s="15">
        <v>0.81399999999999995</v>
      </c>
      <c r="J70" s="15">
        <v>0.79500000000000004</v>
      </c>
      <c r="K70" s="15">
        <v>0.6</v>
      </c>
      <c r="L70" s="15">
        <v>0.71799999999999997</v>
      </c>
      <c r="M70" s="32">
        <v>0.746</v>
      </c>
      <c r="N70" s="15">
        <v>0.80900000000000005</v>
      </c>
      <c r="O70" s="32">
        <v>0.746</v>
      </c>
      <c r="P70" s="15">
        <v>0.75900000000000001</v>
      </c>
      <c r="Q70" s="32">
        <v>0.746</v>
      </c>
      <c r="R70" s="32">
        <v>0.746</v>
      </c>
      <c r="S70" s="5" t="s">
        <v>357</v>
      </c>
    </row>
    <row r="71" spans="1:20" s="4" customFormat="1" x14ac:dyDescent="0.25">
      <c r="A71" s="4" t="s">
        <v>253</v>
      </c>
      <c r="B71" s="4" t="s">
        <v>298</v>
      </c>
      <c r="C71" s="5">
        <v>9</v>
      </c>
      <c r="D71" s="5" t="s">
        <v>17</v>
      </c>
      <c r="E71" s="5" t="s">
        <v>240</v>
      </c>
      <c r="F71" s="14">
        <v>0.86599999999999999</v>
      </c>
      <c r="G71" s="14">
        <v>0.86899999999999999</v>
      </c>
      <c r="H71" s="14">
        <v>0.79400000000000004</v>
      </c>
      <c r="I71" s="14">
        <v>0.84799999999999998</v>
      </c>
      <c r="J71" s="14">
        <v>0.90300000000000002</v>
      </c>
      <c r="K71" s="14">
        <v>0.876</v>
      </c>
      <c r="L71" s="14">
        <v>0.86699999999999999</v>
      </c>
      <c r="M71" s="14">
        <v>0.76900000000000002</v>
      </c>
      <c r="N71" s="14">
        <v>0.85299999999999998</v>
      </c>
      <c r="O71" s="14">
        <v>0.75700000000000001</v>
      </c>
      <c r="P71" s="14">
        <v>0.83399999999999996</v>
      </c>
      <c r="Q71" s="14">
        <v>0.95499999999999996</v>
      </c>
      <c r="R71" s="14">
        <v>0.72599999999999998</v>
      </c>
      <c r="T71" s="10"/>
    </row>
    <row r="72" spans="1:20" s="4" customFormat="1" x14ac:dyDescent="0.25">
      <c r="A72" s="4" t="s">
        <v>285</v>
      </c>
      <c r="B72" s="4" t="s">
        <v>298</v>
      </c>
      <c r="C72" s="5">
        <v>1</v>
      </c>
      <c r="D72" s="5" t="s">
        <v>409</v>
      </c>
      <c r="E72" s="5" t="s">
        <v>12</v>
      </c>
      <c r="F72" s="14">
        <v>0.54</v>
      </c>
      <c r="G72" s="14">
        <v>0.56999999999999995</v>
      </c>
      <c r="H72" s="14">
        <v>0.55000000000000004</v>
      </c>
      <c r="I72" s="14">
        <v>0.56000000000000005</v>
      </c>
      <c r="J72" s="14">
        <v>0.55000000000000004</v>
      </c>
      <c r="K72" s="14">
        <v>0.54</v>
      </c>
      <c r="L72" s="14">
        <v>0.56000000000000005</v>
      </c>
      <c r="M72" s="14">
        <v>0.56000000000000005</v>
      </c>
      <c r="N72" s="14">
        <v>0.55000000000000004</v>
      </c>
      <c r="O72" s="14">
        <v>0.56000000000000005</v>
      </c>
      <c r="P72" s="14">
        <v>0.54</v>
      </c>
      <c r="Q72" s="14">
        <v>0.55000000000000004</v>
      </c>
      <c r="R72" s="14">
        <v>0.53</v>
      </c>
      <c r="T72" s="10"/>
    </row>
    <row r="73" spans="1:20" s="4" customFormat="1" x14ac:dyDescent="0.25">
      <c r="A73" s="4" t="s">
        <v>309</v>
      </c>
      <c r="B73" s="4" t="s">
        <v>298</v>
      </c>
      <c r="C73" s="5">
        <v>2</v>
      </c>
      <c r="D73" s="5" t="s">
        <v>17</v>
      </c>
      <c r="E73" s="5" t="s">
        <v>12</v>
      </c>
      <c r="F73" s="14">
        <v>0.76</v>
      </c>
      <c r="G73" s="14">
        <v>0.82</v>
      </c>
      <c r="H73" s="14">
        <v>0.76</v>
      </c>
      <c r="I73" s="14">
        <v>0.72</v>
      </c>
      <c r="J73" s="14">
        <v>0.71</v>
      </c>
      <c r="K73" s="14">
        <v>0.85</v>
      </c>
      <c r="L73" s="14">
        <v>0.87</v>
      </c>
      <c r="M73" s="14">
        <v>0.81</v>
      </c>
      <c r="N73" s="14">
        <v>0.74</v>
      </c>
      <c r="O73" s="14">
        <v>0.67</v>
      </c>
      <c r="P73" s="14">
        <v>0.65</v>
      </c>
      <c r="Q73" s="14">
        <v>0.94</v>
      </c>
      <c r="R73" s="14">
        <v>0.66</v>
      </c>
      <c r="S73" s="4" t="s">
        <v>52</v>
      </c>
      <c r="T73" s="10"/>
    </row>
    <row r="74" spans="1:20" s="4" customFormat="1" x14ac:dyDescent="0.25">
      <c r="A74" s="4" t="s">
        <v>310</v>
      </c>
      <c r="B74" s="4" t="s">
        <v>298</v>
      </c>
      <c r="C74" s="5">
        <v>2</v>
      </c>
      <c r="D74" s="5" t="s">
        <v>17</v>
      </c>
      <c r="E74" s="5" t="s">
        <v>12</v>
      </c>
      <c r="F74" s="14">
        <v>0.95499999999999996</v>
      </c>
      <c r="G74" s="14">
        <v>0.78</v>
      </c>
      <c r="H74" s="14">
        <v>0.77</v>
      </c>
      <c r="I74" s="14">
        <v>0.81</v>
      </c>
      <c r="J74" s="14">
        <v>0.83</v>
      </c>
      <c r="K74" s="14">
        <v>0.78</v>
      </c>
      <c r="L74" s="14">
        <v>0.84</v>
      </c>
      <c r="M74" s="14">
        <v>0.76</v>
      </c>
      <c r="N74" s="14">
        <v>0.84</v>
      </c>
      <c r="O74" s="14">
        <v>0.83</v>
      </c>
      <c r="P74" s="14">
        <v>0.8</v>
      </c>
      <c r="Q74" s="14">
        <v>0.88</v>
      </c>
      <c r="R74" s="14">
        <v>0.83</v>
      </c>
      <c r="S74" s="8"/>
      <c r="T74" s="10"/>
    </row>
    <row r="75" spans="1:20" s="4" customFormat="1" x14ac:dyDescent="0.25">
      <c r="A75" s="4" t="s">
        <v>311</v>
      </c>
      <c r="B75" s="4" t="s">
        <v>298</v>
      </c>
      <c r="C75" s="5">
        <v>2</v>
      </c>
      <c r="D75" s="5" t="s">
        <v>17</v>
      </c>
      <c r="E75" s="5" t="s">
        <v>12</v>
      </c>
      <c r="F75" s="14">
        <v>0.66</v>
      </c>
      <c r="G75" s="14">
        <v>0.66</v>
      </c>
      <c r="H75" s="14">
        <v>0.65</v>
      </c>
      <c r="I75" s="14">
        <v>0.73</v>
      </c>
      <c r="J75" s="14">
        <v>0.75</v>
      </c>
      <c r="K75" s="14">
        <v>0.64</v>
      </c>
      <c r="L75" s="14">
        <v>0.77</v>
      </c>
      <c r="M75" s="14">
        <v>0.61</v>
      </c>
      <c r="N75" s="14">
        <v>0.77</v>
      </c>
      <c r="O75" s="14">
        <v>0.74</v>
      </c>
      <c r="P75" s="14">
        <v>0.7</v>
      </c>
      <c r="Q75" s="14">
        <v>0.82</v>
      </c>
      <c r="R75" s="14">
        <v>0.72</v>
      </c>
      <c r="T75" s="10"/>
    </row>
    <row r="76" spans="1:20" s="4" customFormat="1" x14ac:dyDescent="0.25">
      <c r="A76" s="4" t="s">
        <v>312</v>
      </c>
      <c r="B76" s="4" t="s">
        <v>298</v>
      </c>
      <c r="C76" s="5">
        <v>2</v>
      </c>
      <c r="D76" s="5" t="s">
        <v>17</v>
      </c>
      <c r="E76" s="5" t="s">
        <v>12</v>
      </c>
      <c r="F76" s="14">
        <v>0.65800000000000003</v>
      </c>
      <c r="G76" s="14">
        <v>0.66</v>
      </c>
      <c r="H76" s="14">
        <v>0.65</v>
      </c>
      <c r="I76" s="14">
        <v>0.73</v>
      </c>
      <c r="J76" s="14">
        <v>0.75</v>
      </c>
      <c r="K76" s="14">
        <v>0.64</v>
      </c>
      <c r="L76" s="14">
        <v>0.77</v>
      </c>
      <c r="M76" s="14">
        <v>0.61</v>
      </c>
      <c r="N76" s="14">
        <v>0.77</v>
      </c>
      <c r="O76" s="14">
        <v>0.74</v>
      </c>
      <c r="P76" s="14">
        <v>0.7</v>
      </c>
      <c r="Q76" s="14">
        <v>0.82</v>
      </c>
      <c r="R76" s="14">
        <v>0.72</v>
      </c>
      <c r="T76" s="10"/>
    </row>
    <row r="77" spans="1:20" s="4" customFormat="1" x14ac:dyDescent="0.25">
      <c r="A77" s="4" t="s">
        <v>313</v>
      </c>
      <c r="B77" s="4" t="s">
        <v>298</v>
      </c>
      <c r="C77" s="5">
        <v>2</v>
      </c>
      <c r="D77" s="5" t="s">
        <v>17</v>
      </c>
      <c r="E77" s="5" t="s">
        <v>12</v>
      </c>
      <c r="F77" s="14">
        <v>0.95</v>
      </c>
      <c r="G77" s="14">
        <v>0.82</v>
      </c>
      <c r="H77" s="14">
        <v>0.81</v>
      </c>
      <c r="I77" s="14">
        <v>0.84</v>
      </c>
      <c r="J77" s="14">
        <v>0.86</v>
      </c>
      <c r="K77" s="14">
        <v>0.82</v>
      </c>
      <c r="L77" s="14">
        <v>0.86</v>
      </c>
      <c r="M77" s="14">
        <v>0.8</v>
      </c>
      <c r="N77" s="14">
        <v>0.86</v>
      </c>
      <c r="O77" s="14">
        <v>0.85</v>
      </c>
      <c r="P77" s="14">
        <v>0.83</v>
      </c>
      <c r="Q77" s="14">
        <v>0.9</v>
      </c>
      <c r="R77" s="14">
        <v>0.85</v>
      </c>
      <c r="S77" s="4" t="s">
        <v>53</v>
      </c>
      <c r="T77" s="10"/>
    </row>
    <row r="78" spans="1:20" s="4" customFormat="1" x14ac:dyDescent="0.25">
      <c r="A78" s="4" t="s">
        <v>338</v>
      </c>
      <c r="B78" s="4" t="s">
        <v>298</v>
      </c>
      <c r="C78" s="5">
        <v>2</v>
      </c>
      <c r="D78" s="5" t="s">
        <v>17</v>
      </c>
      <c r="E78" s="5" t="s">
        <v>12</v>
      </c>
      <c r="F78" s="14">
        <v>0.8</v>
      </c>
      <c r="G78" s="14">
        <v>0.7</v>
      </c>
      <c r="H78" s="14">
        <v>0.8</v>
      </c>
      <c r="I78" s="14">
        <v>0.82</v>
      </c>
      <c r="J78" s="14">
        <v>0.84</v>
      </c>
      <c r="K78" s="14">
        <v>0.85</v>
      </c>
      <c r="L78" s="14">
        <v>0.8</v>
      </c>
      <c r="M78" s="14">
        <v>0.73</v>
      </c>
      <c r="N78" s="14">
        <v>0.83</v>
      </c>
      <c r="O78" s="14">
        <v>0.81</v>
      </c>
      <c r="P78" s="14">
        <v>0.79</v>
      </c>
      <c r="Q78" s="14">
        <v>0.89</v>
      </c>
      <c r="R78" s="14">
        <v>0.85</v>
      </c>
      <c r="T78" s="10"/>
    </row>
    <row r="79" spans="1:20" s="4" customFormat="1" x14ac:dyDescent="0.25">
      <c r="A79" s="4" t="s">
        <v>340</v>
      </c>
      <c r="B79" s="4" t="s">
        <v>298</v>
      </c>
      <c r="C79" s="5">
        <v>2</v>
      </c>
      <c r="D79" s="5" t="s">
        <v>17</v>
      </c>
      <c r="E79" s="5" t="s">
        <v>12</v>
      </c>
      <c r="F79" s="14">
        <v>0.8</v>
      </c>
      <c r="G79" s="14">
        <v>0.71</v>
      </c>
      <c r="H79" s="14">
        <v>0.81</v>
      </c>
      <c r="I79" s="14">
        <v>0.82</v>
      </c>
      <c r="J79" s="14">
        <v>0.85</v>
      </c>
      <c r="K79" s="14">
        <v>0.87</v>
      </c>
      <c r="L79" s="14">
        <v>0.84</v>
      </c>
      <c r="M79" s="14">
        <v>0.75</v>
      </c>
      <c r="N79" s="14">
        <v>0.84</v>
      </c>
      <c r="O79" s="14">
        <v>0.81</v>
      </c>
      <c r="P79" s="14">
        <v>0.81</v>
      </c>
      <c r="Q79" s="14">
        <v>0.9</v>
      </c>
      <c r="R79" s="14">
        <v>0.85</v>
      </c>
      <c r="T79" s="10"/>
    </row>
    <row r="80" spans="1:20" s="4" customFormat="1" x14ac:dyDescent="0.25">
      <c r="A80" s="4" t="s">
        <v>54</v>
      </c>
      <c r="B80" s="4" t="s">
        <v>298</v>
      </c>
      <c r="C80" s="5">
        <v>2</v>
      </c>
      <c r="D80" s="5" t="s">
        <v>17</v>
      </c>
      <c r="E80" s="5" t="s">
        <v>12</v>
      </c>
      <c r="F80" s="14">
        <v>0.84</v>
      </c>
      <c r="G80" s="14">
        <v>0.75</v>
      </c>
      <c r="H80" s="14">
        <v>0.84</v>
      </c>
      <c r="I80" s="14">
        <v>0.84</v>
      </c>
      <c r="J80" s="14">
        <v>0.87</v>
      </c>
      <c r="K80" s="14">
        <v>0.89</v>
      </c>
      <c r="L80" s="14">
        <v>0.86</v>
      </c>
      <c r="M80" s="14">
        <v>0.77</v>
      </c>
      <c r="N80" s="14">
        <v>0.87</v>
      </c>
      <c r="O80" s="14">
        <v>0.85</v>
      </c>
      <c r="P80" s="14">
        <v>0.83</v>
      </c>
      <c r="Q80" s="14">
        <v>0.92</v>
      </c>
      <c r="R80" s="14">
        <v>0.89</v>
      </c>
      <c r="T80" s="10"/>
    </row>
    <row r="81" spans="1:20" s="4" customFormat="1" x14ac:dyDescent="0.25">
      <c r="A81" s="4" t="s">
        <v>268</v>
      </c>
      <c r="B81" s="4" t="s">
        <v>298</v>
      </c>
      <c r="C81" s="5">
        <v>12</v>
      </c>
      <c r="D81" s="5" t="s">
        <v>17</v>
      </c>
      <c r="E81" s="5" t="s">
        <v>12</v>
      </c>
      <c r="F81" s="14">
        <v>0.85</v>
      </c>
      <c r="G81" s="14">
        <v>0.83</v>
      </c>
      <c r="H81" s="14">
        <v>0.82399999999999995</v>
      </c>
      <c r="I81" s="14">
        <v>0.89700000000000002</v>
      </c>
      <c r="J81" s="14">
        <v>0.92700000000000005</v>
      </c>
      <c r="K81" s="14">
        <v>0.66500000000000004</v>
      </c>
      <c r="L81" s="14">
        <v>0.90200000000000002</v>
      </c>
      <c r="M81" s="14">
        <v>0.78200000000000003</v>
      </c>
      <c r="N81" s="14">
        <v>0.94099999999999995</v>
      </c>
      <c r="O81" s="14">
        <v>0.91100000000000003</v>
      </c>
      <c r="P81" s="14">
        <v>0.9</v>
      </c>
      <c r="Q81" s="14">
        <v>0.94599999999999995</v>
      </c>
      <c r="R81" s="14">
        <v>0.85699999999999998</v>
      </c>
      <c r="T81" s="10"/>
    </row>
    <row r="82" spans="1:20" s="4" customFormat="1" x14ac:dyDescent="0.25">
      <c r="A82" s="4" t="s">
        <v>248</v>
      </c>
      <c r="B82" s="4" t="s">
        <v>298</v>
      </c>
      <c r="C82" s="5">
        <v>9</v>
      </c>
      <c r="D82" s="5" t="s">
        <v>17</v>
      </c>
      <c r="E82" s="5" t="s">
        <v>240</v>
      </c>
      <c r="F82" s="14">
        <v>0.76</v>
      </c>
      <c r="G82" s="14">
        <v>0.77900000000000003</v>
      </c>
      <c r="H82" s="14">
        <v>0.746</v>
      </c>
      <c r="I82" s="14">
        <v>0.79900000000000004</v>
      </c>
      <c r="J82" s="14">
        <v>0.88700000000000001</v>
      </c>
      <c r="K82" s="14">
        <v>0.83599999999999997</v>
      </c>
      <c r="L82" s="14">
        <v>0.84199999999999997</v>
      </c>
      <c r="M82" s="14">
        <v>0.437</v>
      </c>
      <c r="N82" s="14">
        <v>0.77800000000000002</v>
      </c>
      <c r="O82" s="14">
        <v>0.59099999999999997</v>
      </c>
      <c r="P82" s="14">
        <v>0.79900000000000004</v>
      </c>
      <c r="Q82" s="14">
        <v>0.84</v>
      </c>
      <c r="R82" s="14">
        <v>0.56499999999999995</v>
      </c>
      <c r="T82" s="10"/>
    </row>
    <row r="83" spans="1:20" s="4" customFormat="1" x14ac:dyDescent="0.25">
      <c r="A83" s="4" t="s">
        <v>314</v>
      </c>
      <c r="B83" s="4" t="s">
        <v>298</v>
      </c>
      <c r="C83" s="5">
        <v>2</v>
      </c>
      <c r="D83" s="5" t="s">
        <v>17</v>
      </c>
      <c r="E83" s="5" t="s">
        <v>12</v>
      </c>
      <c r="F83" s="14">
        <v>0.97799999999999998</v>
      </c>
      <c r="G83" s="14">
        <v>0.82</v>
      </c>
      <c r="H83" s="14">
        <v>0.81</v>
      </c>
      <c r="I83" s="14">
        <v>0.84</v>
      </c>
      <c r="J83" s="14">
        <v>0.86</v>
      </c>
      <c r="K83" s="14">
        <v>0.82</v>
      </c>
      <c r="L83" s="14">
        <v>0.86</v>
      </c>
      <c r="M83" s="14">
        <v>0.8</v>
      </c>
      <c r="N83" s="14">
        <v>0.86</v>
      </c>
      <c r="O83" s="14">
        <v>0.85</v>
      </c>
      <c r="P83" s="14">
        <v>0.83</v>
      </c>
      <c r="Q83" s="14">
        <v>0.9</v>
      </c>
      <c r="R83" s="14">
        <v>0.86</v>
      </c>
      <c r="T83" s="10"/>
    </row>
    <row r="84" spans="1:20" s="4" customFormat="1" x14ac:dyDescent="0.25">
      <c r="A84" s="4" t="s">
        <v>315</v>
      </c>
      <c r="B84" s="4" t="s">
        <v>298</v>
      </c>
      <c r="C84" s="5">
        <v>13</v>
      </c>
      <c r="D84" s="5" t="s">
        <v>17</v>
      </c>
      <c r="E84" s="5" t="s">
        <v>12</v>
      </c>
      <c r="F84" s="14">
        <v>0.80300000000000005</v>
      </c>
      <c r="G84" s="14">
        <v>0.86399999999999999</v>
      </c>
      <c r="H84" s="14">
        <v>0.79</v>
      </c>
      <c r="I84" s="14">
        <v>0.77800000000000002</v>
      </c>
      <c r="J84" s="14">
        <v>0.79</v>
      </c>
      <c r="K84" s="14">
        <v>0.80600000000000005</v>
      </c>
      <c r="L84" s="14">
        <v>0.75600000000000001</v>
      </c>
      <c r="M84" s="14">
        <v>0.71699999999999997</v>
      </c>
      <c r="N84" s="14">
        <v>0.78700000000000003</v>
      </c>
      <c r="O84" s="14">
        <v>0.80200000000000005</v>
      </c>
      <c r="P84" s="14">
        <v>0.77300000000000002</v>
      </c>
      <c r="Q84" s="14">
        <v>0.86199999999999999</v>
      </c>
      <c r="R84" s="14">
        <v>0.79700000000000004</v>
      </c>
      <c r="S84" s="4" t="s">
        <v>270</v>
      </c>
      <c r="T84" s="10"/>
    </row>
    <row r="85" spans="1:20" s="4" customFormat="1" x14ac:dyDescent="0.25">
      <c r="A85" s="4" t="s">
        <v>316</v>
      </c>
      <c r="B85" s="4" t="s">
        <v>298</v>
      </c>
      <c r="C85" s="5">
        <v>13</v>
      </c>
      <c r="D85" s="5" t="s">
        <v>17</v>
      </c>
      <c r="E85" s="5" t="s">
        <v>12</v>
      </c>
      <c r="F85" s="14">
        <v>0.86799999999999999</v>
      </c>
      <c r="G85" s="14">
        <v>0.93</v>
      </c>
      <c r="H85" s="14">
        <v>0.85499999999999998</v>
      </c>
      <c r="I85" s="14">
        <v>0.85799999999999998</v>
      </c>
      <c r="J85" s="14">
        <v>0.86799999999999999</v>
      </c>
      <c r="K85" s="14">
        <v>0.873</v>
      </c>
      <c r="L85" s="14">
        <v>0.86</v>
      </c>
      <c r="M85" s="14">
        <v>0.79600000000000004</v>
      </c>
      <c r="N85" s="14">
        <v>0.85899999999999999</v>
      </c>
      <c r="O85" s="14">
        <v>0.83899999999999997</v>
      </c>
      <c r="P85" s="14">
        <v>0.84899999999999998</v>
      </c>
      <c r="Q85" s="14">
        <v>0.92500000000000004</v>
      </c>
      <c r="R85" s="14">
        <v>0.86199999999999999</v>
      </c>
      <c r="S85" s="4" t="s">
        <v>272</v>
      </c>
      <c r="T85" s="10"/>
    </row>
    <row r="86" spans="1:20" s="4" customFormat="1" x14ac:dyDescent="0.25">
      <c r="A86" s="4" t="s">
        <v>317</v>
      </c>
      <c r="B86" s="4" t="s">
        <v>298</v>
      </c>
      <c r="C86" s="5">
        <v>13</v>
      </c>
      <c r="D86" s="5" t="s">
        <v>17</v>
      </c>
      <c r="E86" s="5" t="s">
        <v>12</v>
      </c>
      <c r="F86" s="14">
        <v>0.876</v>
      </c>
      <c r="G86" s="14">
        <v>0.95599999999999996</v>
      </c>
      <c r="H86" s="14">
        <v>0.879</v>
      </c>
      <c r="I86" s="14">
        <v>0.876</v>
      </c>
      <c r="J86" s="14">
        <v>0.88200000000000001</v>
      </c>
      <c r="K86" s="14">
        <v>0.879</v>
      </c>
      <c r="L86" s="14">
        <v>0.86599999999999999</v>
      </c>
      <c r="M86" s="14">
        <v>0.76400000000000001</v>
      </c>
      <c r="N86" s="14">
        <v>0.88900000000000001</v>
      </c>
      <c r="O86" s="14">
        <v>0.88300000000000001</v>
      </c>
      <c r="P86" s="14">
        <v>0.87</v>
      </c>
      <c r="Q86" s="14">
        <v>0.93</v>
      </c>
      <c r="R86" s="14">
        <v>0.87</v>
      </c>
      <c r="S86" s="4" t="s">
        <v>272</v>
      </c>
      <c r="T86" s="10"/>
    </row>
    <row r="87" spans="1:20" s="4" customFormat="1" x14ac:dyDescent="0.25">
      <c r="A87" s="4" t="s">
        <v>318</v>
      </c>
      <c r="B87" s="4" t="s">
        <v>298</v>
      </c>
      <c r="C87" s="5">
        <v>2</v>
      </c>
      <c r="D87" s="5" t="s">
        <v>17</v>
      </c>
      <c r="E87" s="5" t="s">
        <v>12</v>
      </c>
      <c r="F87" s="14">
        <v>0.86399999999999999</v>
      </c>
      <c r="G87" s="14">
        <v>0.76</v>
      </c>
      <c r="H87" s="14">
        <v>0.75</v>
      </c>
      <c r="I87" s="14">
        <v>0.8</v>
      </c>
      <c r="J87" s="14">
        <v>0.82</v>
      </c>
      <c r="K87" s="14">
        <v>0.75</v>
      </c>
      <c r="L87" s="14">
        <v>0.83</v>
      </c>
      <c r="M87" s="14">
        <v>0.73</v>
      </c>
      <c r="N87" s="14">
        <v>0.83</v>
      </c>
      <c r="O87" s="14">
        <v>0.81</v>
      </c>
      <c r="P87" s="14">
        <v>0.78</v>
      </c>
      <c r="Q87" s="14">
        <v>0.87</v>
      </c>
      <c r="R87" s="14">
        <v>0.81</v>
      </c>
      <c r="T87" s="10"/>
    </row>
    <row r="88" spans="1:20" s="4" customFormat="1" x14ac:dyDescent="0.25">
      <c r="A88" s="4" t="s">
        <v>319</v>
      </c>
      <c r="B88" s="4" t="s">
        <v>298</v>
      </c>
      <c r="C88" s="5">
        <v>2</v>
      </c>
      <c r="D88" s="5" t="s">
        <v>17</v>
      </c>
      <c r="E88" s="5" t="s">
        <v>12</v>
      </c>
      <c r="F88" s="14">
        <v>0.86399999999999999</v>
      </c>
      <c r="G88" s="14">
        <v>0.76</v>
      </c>
      <c r="H88" s="14">
        <v>0.75</v>
      </c>
      <c r="I88" s="14">
        <v>0.8</v>
      </c>
      <c r="J88" s="14">
        <v>0.82</v>
      </c>
      <c r="K88" s="14">
        <v>0.75</v>
      </c>
      <c r="L88" s="14">
        <v>0.83</v>
      </c>
      <c r="M88" s="14">
        <v>0.73</v>
      </c>
      <c r="N88" s="14">
        <v>0.83</v>
      </c>
      <c r="O88" s="14">
        <v>0.81</v>
      </c>
      <c r="P88" s="14">
        <v>0.78</v>
      </c>
      <c r="Q88" s="14">
        <v>0.87</v>
      </c>
      <c r="R88" s="14">
        <v>0.81</v>
      </c>
      <c r="T88" s="10"/>
    </row>
    <row r="89" spans="1:20" s="4" customFormat="1" x14ac:dyDescent="0.25">
      <c r="A89" s="4" t="s">
        <v>320</v>
      </c>
      <c r="B89" s="4" t="s">
        <v>298</v>
      </c>
      <c r="C89" s="5">
        <v>2</v>
      </c>
      <c r="D89" s="5" t="s">
        <v>17</v>
      </c>
      <c r="E89" s="5" t="s">
        <v>12</v>
      </c>
      <c r="F89" s="14">
        <v>0.87</v>
      </c>
      <c r="G89" s="14">
        <v>0.77</v>
      </c>
      <c r="H89" s="14">
        <v>0.83</v>
      </c>
      <c r="I89" s="14">
        <v>0.88</v>
      </c>
      <c r="J89" s="14">
        <v>0.88</v>
      </c>
      <c r="K89" s="14">
        <v>0.87</v>
      </c>
      <c r="L89" s="14">
        <v>0.86</v>
      </c>
      <c r="M89" s="14">
        <v>0.86</v>
      </c>
      <c r="N89" s="14">
        <v>0.9</v>
      </c>
      <c r="O89" s="14">
        <v>0.88</v>
      </c>
      <c r="P89" s="14">
        <v>0.84</v>
      </c>
      <c r="Q89" s="14">
        <v>0.94</v>
      </c>
      <c r="R89" s="14">
        <v>0.92</v>
      </c>
      <c r="T89" s="10"/>
    </row>
    <row r="90" spans="1:20" s="4" customFormat="1" x14ac:dyDescent="0.25">
      <c r="A90" s="4" t="s">
        <v>321</v>
      </c>
      <c r="B90" s="4" t="s">
        <v>298</v>
      </c>
      <c r="C90" s="5">
        <v>2</v>
      </c>
      <c r="D90" s="5" t="s">
        <v>17</v>
      </c>
      <c r="E90" s="5" t="s">
        <v>12</v>
      </c>
      <c r="F90" s="14">
        <v>0.82</v>
      </c>
      <c r="G90" s="14">
        <v>0.78</v>
      </c>
      <c r="H90" s="14">
        <v>0.78</v>
      </c>
      <c r="I90" s="14">
        <v>0.87</v>
      </c>
      <c r="J90" s="14">
        <v>0.86</v>
      </c>
      <c r="K90" s="14">
        <v>0.82</v>
      </c>
      <c r="L90" s="14">
        <v>0.76</v>
      </c>
      <c r="M90" s="14">
        <v>0.76</v>
      </c>
      <c r="N90" s="14">
        <v>0.86</v>
      </c>
      <c r="O90" s="14">
        <v>0.89</v>
      </c>
      <c r="P90" s="14">
        <v>0.74</v>
      </c>
      <c r="Q90" s="14">
        <v>0.93</v>
      </c>
      <c r="R90" s="14">
        <v>0.86</v>
      </c>
      <c r="T90" s="10"/>
    </row>
    <row r="91" spans="1:20" s="4" customFormat="1" x14ac:dyDescent="0.25">
      <c r="A91" s="4" t="s">
        <v>322</v>
      </c>
      <c r="B91" s="4" t="s">
        <v>298</v>
      </c>
      <c r="C91" s="5">
        <v>2</v>
      </c>
      <c r="D91" s="5" t="s">
        <v>17</v>
      </c>
      <c r="E91" s="5" t="s">
        <v>12</v>
      </c>
      <c r="F91" s="14">
        <v>0.82</v>
      </c>
      <c r="G91" s="14">
        <v>0.78</v>
      </c>
      <c r="H91" s="14">
        <v>0.78</v>
      </c>
      <c r="I91" s="14">
        <v>0.87</v>
      </c>
      <c r="J91" s="14">
        <v>0.86</v>
      </c>
      <c r="K91" s="14">
        <v>0.82</v>
      </c>
      <c r="L91" s="14">
        <v>0.76</v>
      </c>
      <c r="M91" s="14">
        <v>0.76</v>
      </c>
      <c r="N91" s="14">
        <v>0.86</v>
      </c>
      <c r="O91" s="14">
        <v>0.89</v>
      </c>
      <c r="P91" s="14">
        <v>0.74</v>
      </c>
      <c r="Q91" s="14">
        <v>0.93</v>
      </c>
      <c r="R91" s="14">
        <v>0.86</v>
      </c>
      <c r="T91" s="10"/>
    </row>
    <row r="92" spans="1:20" x14ac:dyDescent="0.25">
      <c r="A92" s="5" t="s">
        <v>323</v>
      </c>
      <c r="B92" s="4" t="s">
        <v>298</v>
      </c>
      <c r="C92" s="5">
        <v>17</v>
      </c>
      <c r="D92" s="5" t="s">
        <v>16</v>
      </c>
      <c r="E92" s="5" t="s">
        <v>240</v>
      </c>
      <c r="F92" s="32">
        <v>0.63100000000000001</v>
      </c>
      <c r="G92" s="32">
        <v>0.63100000000000001</v>
      </c>
      <c r="H92" s="15">
        <v>0.42499999999999999</v>
      </c>
      <c r="I92" s="15">
        <v>0.75800000000000001</v>
      </c>
      <c r="J92" s="15">
        <v>0.67500000000000004</v>
      </c>
      <c r="K92" s="15">
        <v>0.63</v>
      </c>
      <c r="L92" s="15">
        <v>0.52200000000000002</v>
      </c>
      <c r="M92" s="32">
        <v>0.63100000000000001</v>
      </c>
      <c r="N92" s="15">
        <v>0.73399999999999999</v>
      </c>
      <c r="O92" s="32">
        <v>0.63100000000000001</v>
      </c>
      <c r="P92" s="15">
        <v>0.67800000000000005</v>
      </c>
      <c r="Q92" s="32">
        <v>0.63100000000000001</v>
      </c>
      <c r="R92" s="32">
        <v>0.63100000000000001</v>
      </c>
      <c r="S92" s="5" t="s">
        <v>357</v>
      </c>
    </row>
    <row r="93" spans="1:20" x14ac:dyDescent="0.25">
      <c r="A93" s="5" t="s">
        <v>324</v>
      </c>
      <c r="B93" s="4" t="s">
        <v>298</v>
      </c>
      <c r="C93" s="5">
        <v>17</v>
      </c>
      <c r="D93" s="5" t="s">
        <v>16</v>
      </c>
      <c r="E93" s="5" t="s">
        <v>240</v>
      </c>
      <c r="F93" s="32">
        <v>0.70899999999999996</v>
      </c>
      <c r="G93" s="32">
        <v>0.70899999999999996</v>
      </c>
      <c r="H93" s="15">
        <v>0.54500000000000004</v>
      </c>
      <c r="I93" s="15">
        <v>0.82899999999999996</v>
      </c>
      <c r="J93" s="15">
        <v>0.76300000000000001</v>
      </c>
      <c r="K93" s="15">
        <v>0.63400000000000001</v>
      </c>
      <c r="L93" s="15">
        <v>0.64300000000000002</v>
      </c>
      <c r="M93" s="32">
        <v>0.70899999999999996</v>
      </c>
      <c r="N93" s="15">
        <v>0.751</v>
      </c>
      <c r="O93" s="32">
        <v>0.70899999999999996</v>
      </c>
      <c r="P93" s="15">
        <v>0.8</v>
      </c>
      <c r="Q93" s="32">
        <v>0.70899999999999996</v>
      </c>
      <c r="R93" s="32">
        <v>0.70899999999999996</v>
      </c>
      <c r="S93" s="5" t="s">
        <v>357</v>
      </c>
    </row>
    <row r="94" spans="1:20" s="4" customFormat="1" x14ac:dyDescent="0.25">
      <c r="A94" s="4" t="s">
        <v>249</v>
      </c>
      <c r="B94" s="4" t="s">
        <v>298</v>
      </c>
      <c r="C94" s="5">
        <v>9</v>
      </c>
      <c r="D94" s="5" t="s">
        <v>17</v>
      </c>
      <c r="E94" s="5" t="s">
        <v>240</v>
      </c>
      <c r="F94" s="14">
        <v>0.81899999999999995</v>
      </c>
      <c r="G94" s="14">
        <v>0.82199999999999995</v>
      </c>
      <c r="H94" s="14">
        <v>0.76900000000000002</v>
      </c>
      <c r="I94" s="14">
        <v>0.83</v>
      </c>
      <c r="J94" s="14">
        <v>0.90600000000000003</v>
      </c>
      <c r="K94" s="14">
        <v>0.86099999999999999</v>
      </c>
      <c r="L94" s="14">
        <v>0.83099999999999996</v>
      </c>
      <c r="M94" s="14">
        <v>0.53</v>
      </c>
      <c r="N94" s="14">
        <v>0.83899999999999997</v>
      </c>
      <c r="O94" s="14">
        <v>0.76800000000000002</v>
      </c>
      <c r="P94" s="14">
        <v>0.82799999999999996</v>
      </c>
      <c r="Q94" s="14">
        <v>0.88100000000000001</v>
      </c>
      <c r="R94" s="14">
        <v>0.68100000000000005</v>
      </c>
      <c r="T94" s="10"/>
    </row>
    <row r="95" spans="1:20" s="4" customFormat="1" x14ac:dyDescent="0.25">
      <c r="A95" s="4" t="s">
        <v>325</v>
      </c>
      <c r="B95" s="4" t="s">
        <v>298</v>
      </c>
      <c r="C95" s="5">
        <v>2</v>
      </c>
      <c r="D95" s="5" t="s">
        <v>17</v>
      </c>
      <c r="E95" s="5" t="s">
        <v>12</v>
      </c>
      <c r="F95" s="14">
        <v>0.8</v>
      </c>
      <c r="G95" s="14">
        <v>0.73</v>
      </c>
      <c r="H95" s="14">
        <v>0.76</v>
      </c>
      <c r="I95" s="14">
        <v>0.79</v>
      </c>
      <c r="J95" s="14">
        <v>0.8</v>
      </c>
      <c r="K95" s="14">
        <v>0.83</v>
      </c>
      <c r="L95" s="14">
        <v>0.8</v>
      </c>
      <c r="M95" s="14">
        <v>0.72</v>
      </c>
      <c r="N95" s="14">
        <v>0.8</v>
      </c>
      <c r="O95" s="14">
        <v>0.81</v>
      </c>
      <c r="P95" s="14">
        <v>0.77</v>
      </c>
      <c r="Q95" s="14">
        <v>0.89</v>
      </c>
      <c r="R95" s="14">
        <v>0.84</v>
      </c>
      <c r="T95" s="10"/>
    </row>
    <row r="96" spans="1:20" x14ac:dyDescent="0.25">
      <c r="A96" s="4" t="s">
        <v>325</v>
      </c>
      <c r="B96" s="4" t="s">
        <v>298</v>
      </c>
      <c r="C96" s="5">
        <v>1</v>
      </c>
      <c r="D96" s="5" t="s">
        <v>11</v>
      </c>
      <c r="E96" s="5" t="s">
        <v>12</v>
      </c>
      <c r="F96" s="15">
        <v>0.78</v>
      </c>
      <c r="G96" s="15">
        <v>0.69</v>
      </c>
      <c r="H96" s="15">
        <v>0.74</v>
      </c>
      <c r="I96" s="15">
        <v>0.77</v>
      </c>
      <c r="J96" s="15">
        <v>0.77</v>
      </c>
      <c r="K96" s="15">
        <v>0.81</v>
      </c>
      <c r="L96" s="15">
        <v>0.76</v>
      </c>
      <c r="M96" s="15">
        <v>0.72</v>
      </c>
      <c r="N96" s="15">
        <v>0.76</v>
      </c>
      <c r="O96" s="15">
        <v>0.78</v>
      </c>
      <c r="P96" s="15">
        <v>0.74</v>
      </c>
      <c r="Q96" s="15">
        <v>0.87</v>
      </c>
      <c r="R96" s="15">
        <v>0.81</v>
      </c>
    </row>
    <row r="97" spans="1:20" s="4" customFormat="1" x14ac:dyDescent="0.25">
      <c r="A97" s="4" t="s">
        <v>326</v>
      </c>
      <c r="B97" s="4" t="s">
        <v>298</v>
      </c>
      <c r="C97" s="5">
        <v>2</v>
      </c>
      <c r="D97" s="5" t="s">
        <v>17</v>
      </c>
      <c r="E97" s="5" t="s">
        <v>12</v>
      </c>
      <c r="F97" s="14">
        <v>0.8</v>
      </c>
      <c r="G97" s="14">
        <v>0.89</v>
      </c>
      <c r="H97" s="14">
        <v>0.9</v>
      </c>
      <c r="I97" s="14">
        <v>0.91</v>
      </c>
      <c r="J97" s="14">
        <v>0.92</v>
      </c>
      <c r="K97" s="14">
        <v>0.93</v>
      </c>
      <c r="L97" s="14">
        <v>0.86</v>
      </c>
      <c r="M97" s="14">
        <v>0.88</v>
      </c>
      <c r="N97" s="14">
        <v>0.93</v>
      </c>
      <c r="O97" s="14">
        <v>0.94</v>
      </c>
      <c r="P97" s="14">
        <v>0.89</v>
      </c>
      <c r="Q97" s="14">
        <v>0.94</v>
      </c>
      <c r="R97" s="14">
        <v>0.94</v>
      </c>
      <c r="T97" s="10"/>
    </row>
    <row r="98" spans="1:20" x14ac:dyDescent="0.25">
      <c r="A98" s="5" t="s">
        <v>181</v>
      </c>
      <c r="B98" s="4" t="s">
        <v>298</v>
      </c>
      <c r="C98" s="5">
        <v>2</v>
      </c>
      <c r="D98" s="5" t="s">
        <v>17</v>
      </c>
      <c r="E98" s="5" t="s">
        <v>12</v>
      </c>
      <c r="F98" s="15">
        <v>0.8</v>
      </c>
      <c r="G98" s="15">
        <v>0.9</v>
      </c>
      <c r="H98" s="15">
        <v>0.65</v>
      </c>
      <c r="I98" s="15">
        <v>0.93</v>
      </c>
      <c r="J98" s="15">
        <v>0.94</v>
      </c>
      <c r="K98" s="15">
        <v>0.95</v>
      </c>
      <c r="L98" s="15">
        <v>0.9</v>
      </c>
      <c r="M98" s="15">
        <v>0.89</v>
      </c>
      <c r="N98" s="15">
        <v>0.95</v>
      </c>
      <c r="O98" s="15">
        <v>0.94</v>
      </c>
      <c r="P98" s="15">
        <v>0.93</v>
      </c>
      <c r="Q98" s="15">
        <v>0.97</v>
      </c>
      <c r="R98" s="15">
        <v>0.96</v>
      </c>
      <c r="S98" s="5" t="s">
        <v>182</v>
      </c>
    </row>
    <row r="99" spans="1:20" s="4" customFormat="1" x14ac:dyDescent="0.25">
      <c r="A99" s="4" t="s">
        <v>247</v>
      </c>
      <c r="B99" s="4" t="s">
        <v>298</v>
      </c>
      <c r="C99" s="5">
        <v>8</v>
      </c>
      <c r="D99" s="5" t="s">
        <v>17</v>
      </c>
      <c r="E99" s="5" t="s">
        <v>12</v>
      </c>
      <c r="F99" s="14">
        <v>0.97399999999999998</v>
      </c>
      <c r="G99" s="14">
        <v>0.996</v>
      </c>
      <c r="H99" s="14">
        <v>0.92400000000000004</v>
      </c>
      <c r="I99" s="14">
        <v>0.94599999999999995</v>
      </c>
      <c r="J99" s="14">
        <v>0.94499999999999995</v>
      </c>
      <c r="K99" s="14">
        <v>0.93899999999999995</v>
      </c>
      <c r="L99" s="14">
        <v>0.80300000000000005</v>
      </c>
      <c r="M99" s="14">
        <v>1</v>
      </c>
      <c r="N99" s="14">
        <v>0.98299999999999998</v>
      </c>
      <c r="O99" s="14">
        <v>0.97699999999999998</v>
      </c>
      <c r="P99" s="14">
        <v>0.94799999999999995</v>
      </c>
      <c r="Q99" s="14">
        <v>0.94199999999999995</v>
      </c>
      <c r="R99" s="14">
        <v>0.91800000000000004</v>
      </c>
      <c r="S99" s="4" t="s">
        <v>242</v>
      </c>
      <c r="T99" s="10"/>
    </row>
    <row r="100" spans="1:20" s="4" customFormat="1" x14ac:dyDescent="0.25">
      <c r="A100" s="4" t="s">
        <v>252</v>
      </c>
      <c r="B100" s="4" t="s">
        <v>298</v>
      </c>
      <c r="C100" s="5">
        <v>9</v>
      </c>
      <c r="D100" s="5" t="s">
        <v>17</v>
      </c>
      <c r="E100" s="5" t="s">
        <v>240</v>
      </c>
      <c r="F100" s="14">
        <v>0.90900000000000003</v>
      </c>
      <c r="G100" s="14">
        <v>0.872</v>
      </c>
      <c r="H100" s="14">
        <v>0.83099999999999996</v>
      </c>
      <c r="I100" s="14">
        <v>0.88400000000000001</v>
      </c>
      <c r="J100" s="14">
        <v>0.93</v>
      </c>
      <c r="K100" s="14">
        <v>0.91</v>
      </c>
      <c r="L100" s="14">
        <v>0.88500000000000001</v>
      </c>
      <c r="M100" s="14">
        <v>0.752</v>
      </c>
      <c r="N100" s="14">
        <v>0.873</v>
      </c>
      <c r="O100" s="14">
        <v>0.82799999999999996</v>
      </c>
      <c r="P100" s="14">
        <v>0.871</v>
      </c>
      <c r="Q100" s="14">
        <v>0.96099999999999997</v>
      </c>
      <c r="R100" s="14">
        <v>0.752</v>
      </c>
      <c r="T100" s="10"/>
    </row>
    <row r="101" spans="1:20" x14ac:dyDescent="0.25">
      <c r="A101" s="5" t="s">
        <v>327</v>
      </c>
      <c r="B101" s="4" t="s">
        <v>298</v>
      </c>
      <c r="C101" s="5">
        <v>17</v>
      </c>
      <c r="D101" s="5" t="s">
        <v>16</v>
      </c>
      <c r="E101" s="5" t="s">
        <v>240</v>
      </c>
      <c r="F101" s="32">
        <v>0.70399999999999996</v>
      </c>
      <c r="G101" s="32">
        <v>0.70399999999999996</v>
      </c>
      <c r="H101" s="15">
        <v>0.66800000000000004</v>
      </c>
      <c r="I101" s="15">
        <v>0.79500000000000004</v>
      </c>
      <c r="J101" s="15">
        <v>0.7</v>
      </c>
      <c r="K101" s="15">
        <v>0.621</v>
      </c>
      <c r="L101" s="15">
        <v>0.56100000000000005</v>
      </c>
      <c r="M101" s="32">
        <v>0.70399999999999996</v>
      </c>
      <c r="N101" s="15">
        <v>0.80600000000000005</v>
      </c>
      <c r="O101" s="32">
        <v>0.70399999999999996</v>
      </c>
      <c r="P101" s="15">
        <v>0.77400000000000002</v>
      </c>
      <c r="Q101" s="32">
        <v>0.70399999999999996</v>
      </c>
      <c r="R101" s="32">
        <v>0.70399999999999996</v>
      </c>
      <c r="S101" s="5" t="s">
        <v>357</v>
      </c>
    </row>
    <row r="102" spans="1:20" s="4" customFormat="1" x14ac:dyDescent="0.25">
      <c r="A102" s="4" t="s">
        <v>328</v>
      </c>
      <c r="B102" s="4" t="s">
        <v>298</v>
      </c>
      <c r="C102" s="5">
        <v>14</v>
      </c>
      <c r="D102" s="5" t="s">
        <v>17</v>
      </c>
      <c r="E102" s="5" t="s">
        <v>12</v>
      </c>
      <c r="F102" s="14">
        <v>0.94499999999999995</v>
      </c>
      <c r="G102" s="14">
        <v>0.91800000000000004</v>
      </c>
      <c r="H102" s="14">
        <v>0.88</v>
      </c>
      <c r="I102" s="14">
        <v>0.872</v>
      </c>
      <c r="J102" s="14">
        <v>0.88</v>
      </c>
      <c r="K102" s="14">
        <v>0.86599999999999999</v>
      </c>
      <c r="L102" s="14">
        <v>0.86899999999999999</v>
      </c>
      <c r="M102" s="14">
        <v>0.88</v>
      </c>
      <c r="N102" s="14">
        <v>0.86899999999999999</v>
      </c>
      <c r="O102" s="14">
        <v>0.876</v>
      </c>
      <c r="P102" s="14">
        <v>0.878</v>
      </c>
      <c r="Q102" s="14">
        <v>0.97799999999999998</v>
      </c>
      <c r="R102" s="14">
        <v>0.88800000000000001</v>
      </c>
      <c r="T102" s="10"/>
    </row>
    <row r="103" spans="1:20" s="4" customFormat="1" x14ac:dyDescent="0.25">
      <c r="A103" s="4" t="s">
        <v>329</v>
      </c>
      <c r="B103" s="4" t="s">
        <v>298</v>
      </c>
      <c r="C103" s="5">
        <v>14</v>
      </c>
      <c r="D103" s="5" t="s">
        <v>17</v>
      </c>
      <c r="E103" s="5" t="s">
        <v>12</v>
      </c>
      <c r="F103" s="14">
        <v>0.85199999999999998</v>
      </c>
      <c r="G103" s="14">
        <v>0.84499999999999997</v>
      </c>
      <c r="H103" s="14">
        <v>0.77200000000000002</v>
      </c>
      <c r="I103" s="14">
        <v>0.78200000000000003</v>
      </c>
      <c r="J103" s="14">
        <v>0.79300000000000004</v>
      </c>
      <c r="K103" s="14">
        <v>0.77</v>
      </c>
      <c r="L103" s="14">
        <v>0.80100000000000005</v>
      </c>
      <c r="M103" s="14">
        <v>0.79500000000000004</v>
      </c>
      <c r="N103" s="14">
        <v>0.77300000000000002</v>
      </c>
      <c r="O103" s="14">
        <v>0.78400000000000003</v>
      </c>
      <c r="P103" s="14">
        <v>0.78</v>
      </c>
      <c r="Q103" s="14">
        <v>0.91800000000000004</v>
      </c>
      <c r="R103" s="14">
        <v>0.79200000000000004</v>
      </c>
      <c r="T103" s="10"/>
    </row>
    <row r="104" spans="1:20" s="4" customFormat="1" x14ac:dyDescent="0.25">
      <c r="A104" s="4" t="s">
        <v>330</v>
      </c>
      <c r="B104" s="4" t="s">
        <v>298</v>
      </c>
      <c r="C104" s="5">
        <v>2</v>
      </c>
      <c r="D104" s="5" t="s">
        <v>17</v>
      </c>
      <c r="E104" s="5" t="s">
        <v>12</v>
      </c>
      <c r="F104" s="14">
        <v>0.72</v>
      </c>
      <c r="G104" s="14">
        <v>0.73</v>
      </c>
      <c r="H104" s="14">
        <v>0.71</v>
      </c>
      <c r="I104" s="14">
        <v>0.68</v>
      </c>
      <c r="J104" s="14">
        <v>0.71</v>
      </c>
      <c r="K104" s="14">
        <v>0.78</v>
      </c>
      <c r="L104" s="14">
        <v>0.81</v>
      </c>
      <c r="M104" s="14">
        <v>0.8</v>
      </c>
      <c r="N104" s="14">
        <v>0.73</v>
      </c>
      <c r="O104" s="14">
        <v>0.74</v>
      </c>
      <c r="P104" s="14">
        <v>0.7</v>
      </c>
      <c r="Q104" s="14">
        <v>0.81</v>
      </c>
      <c r="R104" s="14">
        <v>0.73</v>
      </c>
      <c r="S104" s="4" t="s">
        <v>55</v>
      </c>
      <c r="T104" s="10"/>
    </row>
    <row r="105" spans="1:20" s="4" customFormat="1" x14ac:dyDescent="0.25">
      <c r="A105" s="4" t="s">
        <v>331</v>
      </c>
      <c r="B105" s="4" t="s">
        <v>298</v>
      </c>
      <c r="C105" s="5">
        <v>2</v>
      </c>
      <c r="D105" s="5" t="s">
        <v>17</v>
      </c>
      <c r="E105" s="5" t="s">
        <v>12</v>
      </c>
      <c r="F105" s="14">
        <v>0.72</v>
      </c>
      <c r="G105" s="14">
        <v>0.73</v>
      </c>
      <c r="H105" s="14">
        <v>0.71</v>
      </c>
      <c r="I105" s="14">
        <v>0.68</v>
      </c>
      <c r="J105" s="14">
        <v>0.71</v>
      </c>
      <c r="K105" s="14">
        <v>0.78</v>
      </c>
      <c r="L105" s="14">
        <v>0.81</v>
      </c>
      <c r="M105" s="14">
        <v>0.8</v>
      </c>
      <c r="N105" s="14">
        <v>0.73</v>
      </c>
      <c r="O105" s="14">
        <v>0.74</v>
      </c>
      <c r="P105" s="14">
        <v>0.7</v>
      </c>
      <c r="Q105" s="14">
        <v>0.81</v>
      </c>
      <c r="R105" s="14">
        <v>0.73</v>
      </c>
      <c r="T105" s="10"/>
    </row>
    <row r="106" spans="1:20" s="4" customFormat="1" x14ac:dyDescent="0.25">
      <c r="A106" s="4" t="s">
        <v>332</v>
      </c>
      <c r="B106" s="4" t="s">
        <v>298</v>
      </c>
      <c r="C106" s="5">
        <v>2</v>
      </c>
      <c r="D106" s="5" t="s">
        <v>17</v>
      </c>
      <c r="E106" s="5" t="s">
        <v>12</v>
      </c>
      <c r="F106" s="14">
        <v>0.83</v>
      </c>
      <c r="G106" s="14">
        <v>0.77</v>
      </c>
      <c r="H106" s="14">
        <v>0.84</v>
      </c>
      <c r="I106" s="14">
        <v>0.85</v>
      </c>
      <c r="J106" s="14">
        <v>0.85</v>
      </c>
      <c r="K106" s="14">
        <v>0.87</v>
      </c>
      <c r="L106" s="14">
        <v>0.85</v>
      </c>
      <c r="M106" s="14">
        <v>0.8</v>
      </c>
      <c r="N106" s="14">
        <v>0.86</v>
      </c>
      <c r="O106" s="14">
        <v>0.88</v>
      </c>
      <c r="P106" s="14">
        <v>0.84</v>
      </c>
      <c r="Q106" s="14">
        <v>0.91</v>
      </c>
      <c r="R106" s="14">
        <v>0.88</v>
      </c>
      <c r="T106" s="10"/>
    </row>
    <row r="107" spans="1:20" s="4" customFormat="1" x14ac:dyDescent="0.25">
      <c r="A107" s="4" t="s">
        <v>333</v>
      </c>
      <c r="B107" s="4" t="s">
        <v>298</v>
      </c>
      <c r="C107" s="5">
        <v>2</v>
      </c>
      <c r="D107" s="5" t="s">
        <v>17</v>
      </c>
      <c r="E107" s="5" t="s">
        <v>12</v>
      </c>
      <c r="F107" s="14">
        <v>0.83</v>
      </c>
      <c r="G107" s="14">
        <v>0.74</v>
      </c>
      <c r="H107" s="14">
        <v>0.78</v>
      </c>
      <c r="I107" s="14">
        <v>0.81</v>
      </c>
      <c r="J107" s="14">
        <v>0.81</v>
      </c>
      <c r="K107" s="14">
        <v>0.84</v>
      </c>
      <c r="L107" s="14">
        <v>0.82</v>
      </c>
      <c r="M107" s="14">
        <v>0.73</v>
      </c>
      <c r="N107" s="14">
        <v>0.8</v>
      </c>
      <c r="O107" s="14">
        <v>0.88</v>
      </c>
      <c r="P107" s="14">
        <v>0.8</v>
      </c>
      <c r="Q107" s="14">
        <v>0.88</v>
      </c>
      <c r="R107" s="14">
        <v>0.85</v>
      </c>
      <c r="T107" s="10"/>
    </row>
    <row r="108" spans="1:20" s="4" customFormat="1" x14ac:dyDescent="0.25">
      <c r="A108" s="4" t="s">
        <v>334</v>
      </c>
      <c r="B108" s="4" t="s">
        <v>298</v>
      </c>
      <c r="C108" s="5">
        <v>2</v>
      </c>
      <c r="D108" s="5" t="s">
        <v>17</v>
      </c>
      <c r="E108" s="5" t="s">
        <v>12</v>
      </c>
      <c r="F108" s="14">
        <v>0.74</v>
      </c>
      <c r="G108" s="14">
        <v>0.83</v>
      </c>
      <c r="H108" s="14">
        <v>0.75</v>
      </c>
      <c r="I108" s="14">
        <v>0.74</v>
      </c>
      <c r="J108" s="14">
        <v>0.76</v>
      </c>
      <c r="K108" s="14">
        <v>0.79</v>
      </c>
      <c r="L108" s="14">
        <v>0.78</v>
      </c>
      <c r="M108" s="14">
        <v>0.75</v>
      </c>
      <c r="N108" s="14">
        <v>0.77</v>
      </c>
      <c r="O108" s="14">
        <v>0.78</v>
      </c>
      <c r="P108" s="14">
        <v>0.74</v>
      </c>
      <c r="Q108" s="14">
        <v>0.83</v>
      </c>
      <c r="R108" s="14">
        <v>0.81</v>
      </c>
      <c r="T108" s="10"/>
    </row>
    <row r="109" spans="1:20" s="4" customFormat="1" x14ac:dyDescent="0.25">
      <c r="A109" s="4" t="s">
        <v>335</v>
      </c>
      <c r="B109" s="4" t="s">
        <v>298</v>
      </c>
      <c r="C109" s="5">
        <v>2</v>
      </c>
      <c r="D109" s="5" t="s">
        <v>17</v>
      </c>
      <c r="E109" s="5" t="s">
        <v>12</v>
      </c>
      <c r="F109" s="14">
        <v>0.83</v>
      </c>
      <c r="G109" s="14">
        <v>0.82</v>
      </c>
      <c r="H109" s="14">
        <v>0.74</v>
      </c>
      <c r="I109" s="14">
        <v>0.73</v>
      </c>
      <c r="J109" s="14">
        <v>0.73</v>
      </c>
      <c r="K109" s="14">
        <v>0.78</v>
      </c>
      <c r="L109" s="14">
        <v>0.76</v>
      </c>
      <c r="M109" s="14">
        <v>0.75</v>
      </c>
      <c r="N109" s="14">
        <v>0.74</v>
      </c>
      <c r="O109" s="14">
        <v>0.78</v>
      </c>
      <c r="P109" s="14">
        <v>0.72</v>
      </c>
      <c r="Q109" s="14">
        <v>0.8</v>
      </c>
      <c r="R109" s="14">
        <v>0.79</v>
      </c>
      <c r="T109" s="10"/>
    </row>
    <row r="110" spans="1:20" x14ac:dyDescent="0.25">
      <c r="A110" s="5" t="s">
        <v>183</v>
      </c>
      <c r="B110" s="4" t="s">
        <v>298</v>
      </c>
      <c r="C110" s="5">
        <v>2</v>
      </c>
      <c r="D110" s="5" t="s">
        <v>17</v>
      </c>
      <c r="E110" s="5" t="s">
        <v>12</v>
      </c>
      <c r="F110" s="15">
        <v>0.93899999999999995</v>
      </c>
      <c r="G110" s="15">
        <v>0.93</v>
      </c>
      <c r="H110" s="15">
        <v>0.92</v>
      </c>
      <c r="I110" s="15">
        <v>0.95</v>
      </c>
      <c r="J110" s="15">
        <v>0.95</v>
      </c>
      <c r="K110" s="15">
        <v>0.93</v>
      </c>
      <c r="L110" s="15">
        <v>0.95</v>
      </c>
      <c r="M110" s="15">
        <v>0.92</v>
      </c>
      <c r="N110" s="15">
        <v>0.95</v>
      </c>
      <c r="O110" s="15">
        <v>0.96</v>
      </c>
      <c r="P110" s="15">
        <v>0.93</v>
      </c>
      <c r="Q110" s="15">
        <v>0.98</v>
      </c>
      <c r="R110" s="15">
        <v>0.97</v>
      </c>
      <c r="S110" s="5" t="s">
        <v>184</v>
      </c>
    </row>
    <row r="111" spans="1:20" x14ac:dyDescent="0.25">
      <c r="A111" s="5" t="s">
        <v>185</v>
      </c>
      <c r="B111" s="4" t="s">
        <v>298</v>
      </c>
      <c r="C111" s="5">
        <v>2</v>
      </c>
      <c r="D111" s="5" t="s">
        <v>17</v>
      </c>
      <c r="E111" s="5" t="s">
        <v>12</v>
      </c>
      <c r="F111" s="15">
        <v>0.91900000000000004</v>
      </c>
      <c r="G111" s="15">
        <v>0.91</v>
      </c>
      <c r="H111" s="15">
        <v>0.87</v>
      </c>
      <c r="I111" s="15">
        <v>0.91</v>
      </c>
      <c r="J111" s="15">
        <v>0.92</v>
      </c>
      <c r="K111" s="15">
        <v>0.94</v>
      </c>
      <c r="L111" s="15">
        <v>0.92</v>
      </c>
      <c r="M111" s="15">
        <v>0.84</v>
      </c>
      <c r="N111" s="15">
        <v>0.92</v>
      </c>
      <c r="O111" s="15">
        <v>0.94</v>
      </c>
      <c r="P111" s="15">
        <v>0.9</v>
      </c>
      <c r="Q111" s="15">
        <v>0.97</v>
      </c>
      <c r="R111" s="15">
        <v>0.95</v>
      </c>
      <c r="S111" s="5" t="s">
        <v>184</v>
      </c>
    </row>
    <row r="112" spans="1:20" x14ac:dyDescent="0.25">
      <c r="A112" s="5" t="s">
        <v>187</v>
      </c>
      <c r="B112" s="4" t="s">
        <v>298</v>
      </c>
      <c r="C112" s="5">
        <v>2</v>
      </c>
      <c r="D112" s="5" t="s">
        <v>17</v>
      </c>
      <c r="E112" s="5" t="s">
        <v>12</v>
      </c>
      <c r="F112" s="15">
        <v>0.91900000000000004</v>
      </c>
      <c r="G112" s="15">
        <v>0.91</v>
      </c>
      <c r="H112" s="15">
        <v>0.87</v>
      </c>
      <c r="I112" s="15">
        <v>0.91</v>
      </c>
      <c r="J112" s="15">
        <v>0.92</v>
      </c>
      <c r="K112" s="15">
        <v>0.94</v>
      </c>
      <c r="L112" s="15">
        <v>0.92</v>
      </c>
      <c r="M112" s="15">
        <v>0.84</v>
      </c>
      <c r="N112" s="15">
        <v>0.92</v>
      </c>
      <c r="O112" s="15">
        <v>0.94</v>
      </c>
      <c r="P112" s="15">
        <v>0.9</v>
      </c>
      <c r="Q112" s="15">
        <v>0.97</v>
      </c>
      <c r="R112" s="15">
        <v>0.95</v>
      </c>
      <c r="S112" s="5" t="s">
        <v>186</v>
      </c>
    </row>
    <row r="113" spans="1:20" s="4" customFormat="1" x14ac:dyDescent="0.25">
      <c r="A113" s="4" t="s">
        <v>246</v>
      </c>
      <c r="B113" s="4" t="s">
        <v>298</v>
      </c>
      <c r="C113" s="5">
        <v>8</v>
      </c>
      <c r="D113" s="5" t="s">
        <v>17</v>
      </c>
      <c r="E113" s="5" t="s">
        <v>12</v>
      </c>
      <c r="F113" s="14">
        <v>0.92200000000000004</v>
      </c>
      <c r="G113" s="14">
        <v>0.998</v>
      </c>
      <c r="H113" s="14">
        <v>0.90600000000000003</v>
      </c>
      <c r="I113" s="14">
        <v>0.89100000000000001</v>
      </c>
      <c r="J113" s="14">
        <v>0.88300000000000001</v>
      </c>
      <c r="K113" s="14">
        <v>0.92500000000000004</v>
      </c>
      <c r="L113" s="14">
        <v>0.99299999999999999</v>
      </c>
      <c r="M113" s="14">
        <v>1</v>
      </c>
      <c r="N113" s="14">
        <v>0.94699999999999995</v>
      </c>
      <c r="O113" s="14">
        <v>0.90100000000000002</v>
      </c>
      <c r="P113" s="14">
        <v>0.90400000000000003</v>
      </c>
      <c r="Q113" s="14">
        <v>0.84</v>
      </c>
      <c r="R113" s="14">
        <v>0.92200000000000004</v>
      </c>
      <c r="S113" s="4" t="s">
        <v>241</v>
      </c>
      <c r="T113" s="10"/>
    </row>
    <row r="114" spans="1:20" s="4" customFormat="1" x14ac:dyDescent="0.25">
      <c r="A114" s="4" t="s">
        <v>267</v>
      </c>
      <c r="B114" s="4" t="s">
        <v>298</v>
      </c>
      <c r="C114" s="5">
        <v>12</v>
      </c>
      <c r="D114" s="5" t="s">
        <v>17</v>
      </c>
      <c r="E114" s="5" t="s">
        <v>12</v>
      </c>
      <c r="F114" s="14">
        <v>0.79500000000000004</v>
      </c>
      <c r="G114" s="14">
        <v>0.8</v>
      </c>
      <c r="H114" s="14">
        <v>0.76500000000000001</v>
      </c>
      <c r="I114" s="14">
        <v>0.80600000000000005</v>
      </c>
      <c r="J114" s="14">
        <v>0.80500000000000005</v>
      </c>
      <c r="K114" s="14">
        <v>0.81899999999999995</v>
      </c>
      <c r="L114" s="14">
        <v>0.81699999999999995</v>
      </c>
      <c r="M114" s="14">
        <v>0.69299999999999995</v>
      </c>
      <c r="N114" s="14">
        <v>0.82099999999999995</v>
      </c>
      <c r="O114" s="14">
        <v>0.80900000000000005</v>
      </c>
      <c r="P114" s="14">
        <v>0.77600000000000002</v>
      </c>
      <c r="Q114" s="14">
        <v>0.88400000000000001</v>
      </c>
      <c r="R114" s="14">
        <v>0.82199999999999995</v>
      </c>
      <c r="T114" s="10"/>
    </row>
    <row r="115" spans="1:20" s="4" customFormat="1" x14ac:dyDescent="0.25">
      <c r="A115" s="4" t="s">
        <v>56</v>
      </c>
      <c r="B115" s="4" t="s">
        <v>298</v>
      </c>
      <c r="C115" s="5">
        <v>2</v>
      </c>
      <c r="D115" s="5" t="s">
        <v>17</v>
      </c>
      <c r="E115" s="5" t="s">
        <v>12</v>
      </c>
      <c r="F115" s="14">
        <v>0.82</v>
      </c>
      <c r="G115" s="14">
        <v>0.86</v>
      </c>
      <c r="H115" s="14">
        <v>0.82</v>
      </c>
      <c r="I115" s="14">
        <v>0.86</v>
      </c>
      <c r="J115" s="14">
        <v>0.85</v>
      </c>
      <c r="K115" s="14">
        <v>0.75</v>
      </c>
      <c r="L115" s="14">
        <v>0.9</v>
      </c>
      <c r="M115" s="14">
        <v>0.85</v>
      </c>
      <c r="N115" s="14">
        <v>0.87</v>
      </c>
      <c r="O115" s="14">
        <v>0.83</v>
      </c>
      <c r="P115" s="14">
        <v>0.84</v>
      </c>
      <c r="Q115" s="14">
        <v>0.91</v>
      </c>
      <c r="R115" s="14">
        <v>0.85</v>
      </c>
      <c r="T115" s="10"/>
    </row>
    <row r="116" spans="1:20" s="4" customFormat="1" x14ac:dyDescent="0.25">
      <c r="A116" s="4" t="s">
        <v>245</v>
      </c>
      <c r="B116" s="4" t="s">
        <v>298</v>
      </c>
      <c r="C116" s="5">
        <v>8</v>
      </c>
      <c r="D116" s="5" t="s">
        <v>17</v>
      </c>
      <c r="E116" s="5" t="s">
        <v>12</v>
      </c>
      <c r="F116" s="14">
        <v>0.76</v>
      </c>
      <c r="G116" s="14">
        <v>1</v>
      </c>
      <c r="H116" s="14">
        <v>0.93</v>
      </c>
      <c r="I116" s="14">
        <v>0.92900000000000005</v>
      </c>
      <c r="J116" s="14">
        <v>0.93300000000000005</v>
      </c>
      <c r="K116" s="14">
        <v>0.93899999999999995</v>
      </c>
      <c r="L116" s="14">
        <v>0.85599999999999998</v>
      </c>
      <c r="M116" s="14">
        <v>0.83799999999999997</v>
      </c>
      <c r="N116" s="14">
        <v>0.98599999999999999</v>
      </c>
      <c r="O116" s="14">
        <v>0.92</v>
      </c>
      <c r="P116" s="14">
        <v>0.93300000000000005</v>
      </c>
      <c r="Q116" s="14">
        <v>0.90400000000000003</v>
      </c>
      <c r="R116" s="14">
        <v>0.95699999999999996</v>
      </c>
      <c r="S116" s="4" t="s">
        <v>241</v>
      </c>
      <c r="T116" s="10"/>
    </row>
    <row r="117" spans="1:20" s="6" customFormat="1" x14ac:dyDescent="0.25">
      <c r="F117" s="16"/>
      <c r="G117" s="16"/>
      <c r="H117" s="16"/>
      <c r="I117" s="16"/>
      <c r="J117" s="16"/>
      <c r="K117" s="16"/>
      <c r="L117" s="16"/>
      <c r="M117" s="16"/>
      <c r="N117" s="16"/>
      <c r="O117" s="16"/>
      <c r="P117" s="16"/>
      <c r="Q117" s="16"/>
      <c r="R117" s="16"/>
      <c r="T117" s="10"/>
    </row>
    <row r="118" spans="1:20" s="4" customFormat="1" x14ac:dyDescent="0.25">
      <c r="A118" s="4" t="s">
        <v>93</v>
      </c>
      <c r="B118" s="5" t="s">
        <v>123</v>
      </c>
      <c r="C118" s="5">
        <v>2</v>
      </c>
      <c r="D118" s="5" t="s">
        <v>17</v>
      </c>
      <c r="E118" s="5" t="s">
        <v>12</v>
      </c>
      <c r="F118" s="14">
        <v>0.621</v>
      </c>
      <c r="G118" s="14">
        <v>0.8</v>
      </c>
      <c r="H118" s="14">
        <v>0.51</v>
      </c>
      <c r="I118" s="14">
        <v>0.65</v>
      </c>
      <c r="J118" s="14">
        <v>0.69</v>
      </c>
      <c r="K118" s="14">
        <v>0.53</v>
      </c>
      <c r="L118" s="14">
        <v>0.74</v>
      </c>
      <c r="M118" s="14">
        <v>0.54</v>
      </c>
      <c r="N118" s="14">
        <v>0.69</v>
      </c>
      <c r="O118" s="14">
        <v>0.56000000000000005</v>
      </c>
      <c r="P118" s="14">
        <v>0.65</v>
      </c>
      <c r="Q118" s="14">
        <v>0.84</v>
      </c>
      <c r="R118" s="14">
        <v>0.73</v>
      </c>
      <c r="S118" s="4" t="s">
        <v>94</v>
      </c>
      <c r="T118" s="10"/>
    </row>
    <row r="119" spans="1:20" s="4" customFormat="1" x14ac:dyDescent="0.25">
      <c r="A119" s="4" t="s">
        <v>73</v>
      </c>
      <c r="B119" s="5" t="s">
        <v>123</v>
      </c>
      <c r="C119" s="5">
        <v>2</v>
      </c>
      <c r="D119" s="5" t="s">
        <v>17</v>
      </c>
      <c r="E119" s="5" t="s">
        <v>12</v>
      </c>
      <c r="F119" s="14">
        <v>0.79</v>
      </c>
      <c r="G119" s="14">
        <v>0.8</v>
      </c>
      <c r="H119" s="14">
        <v>0.75</v>
      </c>
      <c r="I119" s="14">
        <v>0.78</v>
      </c>
      <c r="J119" s="14">
        <v>0.82</v>
      </c>
      <c r="K119" s="14">
        <v>0.75</v>
      </c>
      <c r="L119" s="14">
        <v>0.87</v>
      </c>
      <c r="M119" s="14">
        <v>0.81</v>
      </c>
      <c r="N119" s="14">
        <v>0.83</v>
      </c>
      <c r="O119" s="14">
        <v>0.8</v>
      </c>
      <c r="P119" s="14">
        <v>0.77</v>
      </c>
      <c r="Q119" s="14">
        <v>0.87</v>
      </c>
      <c r="R119" s="14">
        <v>0.84</v>
      </c>
      <c r="S119" s="4" t="s">
        <v>74</v>
      </c>
      <c r="T119" s="10"/>
    </row>
    <row r="120" spans="1:20" s="4" customFormat="1" x14ac:dyDescent="0.25">
      <c r="A120" s="4" t="s">
        <v>79</v>
      </c>
      <c r="B120" s="5" t="s">
        <v>123</v>
      </c>
      <c r="C120" s="5">
        <v>2</v>
      </c>
      <c r="D120" s="5" t="s">
        <v>17</v>
      </c>
      <c r="E120" s="5" t="s">
        <v>12</v>
      </c>
      <c r="F120" s="14">
        <v>0.69599999999999995</v>
      </c>
      <c r="G120" s="14">
        <v>0.68</v>
      </c>
      <c r="H120" s="14">
        <v>0.67</v>
      </c>
      <c r="I120" s="14">
        <v>0.74</v>
      </c>
      <c r="J120" s="14">
        <v>0.76</v>
      </c>
      <c r="K120" s="14">
        <v>0.66</v>
      </c>
      <c r="L120" s="14">
        <v>0.78</v>
      </c>
      <c r="M120" s="14">
        <v>0.63</v>
      </c>
      <c r="N120" s="14">
        <v>0.78</v>
      </c>
      <c r="O120" s="14">
        <v>0.75</v>
      </c>
      <c r="P120" s="14">
        <v>0.72</v>
      </c>
      <c r="Q120" s="14">
        <v>0.83</v>
      </c>
      <c r="R120" s="14">
        <v>0.74</v>
      </c>
      <c r="S120" s="4" t="s">
        <v>80</v>
      </c>
      <c r="T120" s="10"/>
    </row>
    <row r="121" spans="1:20" s="4" customFormat="1" x14ac:dyDescent="0.25">
      <c r="A121" s="4" t="s">
        <v>81</v>
      </c>
      <c r="B121" s="5" t="s">
        <v>123</v>
      </c>
      <c r="C121" s="5">
        <v>2</v>
      </c>
      <c r="D121" s="5" t="s">
        <v>17</v>
      </c>
      <c r="E121" s="5" t="s">
        <v>12</v>
      </c>
      <c r="F121" s="14">
        <v>0.749</v>
      </c>
      <c r="G121" s="14">
        <v>0.69</v>
      </c>
      <c r="H121" s="14">
        <v>0.67</v>
      </c>
      <c r="I121" s="14">
        <v>0.77</v>
      </c>
      <c r="J121" s="14">
        <v>0.77</v>
      </c>
      <c r="K121" s="14">
        <v>0.56000000000000005</v>
      </c>
      <c r="L121" s="14">
        <v>0.88</v>
      </c>
      <c r="M121" s="14">
        <v>0.63</v>
      </c>
      <c r="N121" s="14">
        <v>0.83</v>
      </c>
      <c r="O121" s="14">
        <v>0.71</v>
      </c>
      <c r="P121" s="14">
        <v>0.78</v>
      </c>
      <c r="Q121" s="14">
        <v>0.87</v>
      </c>
      <c r="R121" s="14">
        <v>0.78</v>
      </c>
      <c r="S121" s="4" t="s">
        <v>82</v>
      </c>
      <c r="T121" s="10"/>
    </row>
    <row r="122" spans="1:20" s="4" customFormat="1" x14ac:dyDescent="0.25">
      <c r="A122" s="4" t="s">
        <v>83</v>
      </c>
      <c r="B122" s="5" t="s">
        <v>123</v>
      </c>
      <c r="C122" s="5">
        <v>2</v>
      </c>
      <c r="D122" s="5" t="s">
        <v>17</v>
      </c>
      <c r="E122" s="5" t="s">
        <v>12</v>
      </c>
      <c r="F122" s="14">
        <v>0.755</v>
      </c>
      <c r="G122" s="14">
        <v>0.69</v>
      </c>
      <c r="H122" s="14">
        <v>0.67</v>
      </c>
      <c r="I122" s="14">
        <v>0.77</v>
      </c>
      <c r="J122" s="14">
        <v>0.77</v>
      </c>
      <c r="K122" s="14">
        <v>0.56000000000000005</v>
      </c>
      <c r="L122" s="14">
        <v>0.88</v>
      </c>
      <c r="M122" s="14">
        <v>0.63</v>
      </c>
      <c r="N122" s="14">
        <v>0.83</v>
      </c>
      <c r="O122" s="14">
        <v>0.71</v>
      </c>
      <c r="P122" s="14">
        <v>0.78</v>
      </c>
      <c r="Q122" s="14">
        <v>0.87</v>
      </c>
      <c r="R122" s="14">
        <v>0.78</v>
      </c>
      <c r="S122" s="4" t="s">
        <v>84</v>
      </c>
      <c r="T122" s="10"/>
    </row>
    <row r="123" spans="1:20" s="4" customFormat="1" x14ac:dyDescent="0.25">
      <c r="A123" s="4" t="s">
        <v>286</v>
      </c>
      <c r="B123" s="5" t="s">
        <v>123</v>
      </c>
      <c r="C123" s="5">
        <v>1</v>
      </c>
      <c r="D123" s="5" t="s">
        <v>409</v>
      </c>
      <c r="E123" s="5" t="s">
        <v>12</v>
      </c>
      <c r="F123" s="14">
        <v>0.66</v>
      </c>
      <c r="G123" s="14">
        <v>0.66</v>
      </c>
      <c r="H123" s="14">
        <v>0.69</v>
      </c>
      <c r="I123" s="14">
        <v>0.75</v>
      </c>
      <c r="J123" s="14">
        <v>0.79</v>
      </c>
      <c r="K123" s="14">
        <v>0.6</v>
      </c>
      <c r="L123" s="14">
        <v>0.79</v>
      </c>
      <c r="M123" s="14">
        <v>0.64</v>
      </c>
      <c r="N123" s="14">
        <v>0.81</v>
      </c>
      <c r="O123" s="14">
        <v>0.76</v>
      </c>
      <c r="P123" s="14">
        <v>0.72</v>
      </c>
      <c r="Q123" s="14">
        <v>0.83</v>
      </c>
      <c r="R123" s="14">
        <v>0.78</v>
      </c>
      <c r="T123" s="10"/>
    </row>
    <row r="124" spans="1:20" s="4" customFormat="1" x14ac:dyDescent="0.25">
      <c r="A124" s="4" t="s">
        <v>85</v>
      </c>
      <c r="B124" s="5" t="s">
        <v>123</v>
      </c>
      <c r="C124" s="5">
        <v>2</v>
      </c>
      <c r="D124" s="5" t="s">
        <v>17</v>
      </c>
      <c r="E124" s="5" t="s">
        <v>12</v>
      </c>
      <c r="F124" s="14">
        <v>0.81899999999999995</v>
      </c>
      <c r="G124" s="14">
        <v>0.71</v>
      </c>
      <c r="H124" s="14">
        <v>0.7</v>
      </c>
      <c r="I124" s="14">
        <v>0.76</v>
      </c>
      <c r="J124" s="14">
        <v>0.78</v>
      </c>
      <c r="K124" s="14">
        <v>0.69</v>
      </c>
      <c r="L124" s="14">
        <v>0.8</v>
      </c>
      <c r="M124" s="14">
        <v>0.67</v>
      </c>
      <c r="N124" s="14">
        <v>0.8</v>
      </c>
      <c r="O124" s="14">
        <v>0.77</v>
      </c>
      <c r="P124" s="14">
        <v>0.74</v>
      </c>
      <c r="Q124" s="14">
        <v>0.85</v>
      </c>
      <c r="R124" s="14">
        <v>0.76</v>
      </c>
      <c r="S124" s="4" t="s">
        <v>86</v>
      </c>
      <c r="T124" s="10"/>
    </row>
    <row r="125" spans="1:20" s="4" customFormat="1" x14ac:dyDescent="0.25">
      <c r="A125" s="4" t="s">
        <v>87</v>
      </c>
      <c r="B125" s="5" t="s">
        <v>123</v>
      </c>
      <c r="C125" s="5">
        <v>2</v>
      </c>
      <c r="D125" s="5" t="s">
        <v>17</v>
      </c>
      <c r="E125" s="5" t="s">
        <v>12</v>
      </c>
      <c r="F125" s="14">
        <v>0.88100000000000001</v>
      </c>
      <c r="G125" s="14">
        <v>0.87</v>
      </c>
      <c r="H125" s="14">
        <v>0.82</v>
      </c>
      <c r="I125" s="14">
        <v>0.83</v>
      </c>
      <c r="J125" s="14">
        <v>0.84</v>
      </c>
      <c r="K125" s="14">
        <v>0.76</v>
      </c>
      <c r="L125" s="14">
        <v>0.82</v>
      </c>
      <c r="M125" s="14">
        <v>0.87</v>
      </c>
      <c r="N125" s="14">
        <v>0.92</v>
      </c>
      <c r="O125" s="14">
        <v>0.88</v>
      </c>
      <c r="P125" s="14">
        <v>0.84</v>
      </c>
      <c r="Q125" s="14">
        <v>0.95</v>
      </c>
      <c r="R125" s="14">
        <v>0.92</v>
      </c>
      <c r="S125" s="4" t="s">
        <v>88</v>
      </c>
      <c r="T125" s="10"/>
    </row>
    <row r="126" spans="1:20" s="4" customFormat="1" x14ac:dyDescent="0.25">
      <c r="A126" s="4" t="s">
        <v>89</v>
      </c>
      <c r="B126" s="5" t="s">
        <v>123</v>
      </c>
      <c r="C126" s="5">
        <v>2</v>
      </c>
      <c r="D126" s="5" t="s">
        <v>17</v>
      </c>
      <c r="E126" s="5" t="s">
        <v>12</v>
      </c>
      <c r="F126" s="14">
        <v>0.83699999999999997</v>
      </c>
      <c r="G126" s="14">
        <v>0.79</v>
      </c>
      <c r="H126" s="14">
        <v>0.77</v>
      </c>
      <c r="I126" s="14">
        <v>0.8</v>
      </c>
      <c r="J126" s="14">
        <v>0.82</v>
      </c>
      <c r="K126" s="14">
        <v>0.71</v>
      </c>
      <c r="L126" s="14">
        <v>0.74</v>
      </c>
      <c r="M126" s="14">
        <v>0.72</v>
      </c>
      <c r="N126" s="14">
        <v>0.87</v>
      </c>
      <c r="O126" s="14">
        <v>0.83</v>
      </c>
      <c r="P126" s="14">
        <v>0.81</v>
      </c>
      <c r="Q126" s="14">
        <v>0.92</v>
      </c>
      <c r="R126" s="14">
        <v>0.84</v>
      </c>
      <c r="S126" s="4" t="s">
        <v>90</v>
      </c>
      <c r="T126" s="10"/>
    </row>
    <row r="127" spans="1:20" s="4" customFormat="1" x14ac:dyDescent="0.25">
      <c r="A127" s="4" t="s">
        <v>91</v>
      </c>
      <c r="B127" s="5" t="s">
        <v>123</v>
      </c>
      <c r="C127" s="5">
        <v>2</v>
      </c>
      <c r="D127" s="5" t="s">
        <v>17</v>
      </c>
      <c r="E127" s="5" t="s">
        <v>12</v>
      </c>
      <c r="F127" s="14">
        <v>0.77</v>
      </c>
      <c r="G127" s="14">
        <v>0.82</v>
      </c>
      <c r="H127" s="14">
        <v>0.76</v>
      </c>
      <c r="I127" s="14">
        <v>0.78</v>
      </c>
      <c r="J127" s="14">
        <v>0.8</v>
      </c>
      <c r="K127" s="14">
        <v>0.71</v>
      </c>
      <c r="L127" s="14">
        <v>0.77</v>
      </c>
      <c r="M127" s="14">
        <v>0.76</v>
      </c>
      <c r="N127" s="14">
        <v>0.86</v>
      </c>
      <c r="O127" s="14">
        <v>0.84</v>
      </c>
      <c r="P127" s="14">
        <v>0.8</v>
      </c>
      <c r="Q127" s="14">
        <v>0.92</v>
      </c>
      <c r="R127" s="14">
        <v>0.83</v>
      </c>
      <c r="S127" s="4" t="s">
        <v>92</v>
      </c>
      <c r="T127" s="10"/>
    </row>
    <row r="128" spans="1:20" s="4" customFormat="1" x14ac:dyDescent="0.25">
      <c r="A128" s="4" t="s">
        <v>95</v>
      </c>
      <c r="B128" s="5" t="s">
        <v>123</v>
      </c>
      <c r="C128" s="5">
        <v>2</v>
      </c>
      <c r="D128" s="5" t="s">
        <v>17</v>
      </c>
      <c r="E128" s="5" t="s">
        <v>12</v>
      </c>
      <c r="F128" s="14">
        <v>0.43099999999999999</v>
      </c>
      <c r="G128" s="14">
        <v>0.52</v>
      </c>
      <c r="H128" s="14">
        <v>0.51</v>
      </c>
      <c r="I128" s="14">
        <v>0.63</v>
      </c>
      <c r="J128" s="14">
        <v>0.64</v>
      </c>
      <c r="K128" s="14">
        <v>0.47</v>
      </c>
      <c r="L128" s="14">
        <v>0.68</v>
      </c>
      <c r="M128" s="14">
        <v>0.43</v>
      </c>
      <c r="N128" s="14">
        <v>0.68</v>
      </c>
      <c r="O128" s="14">
        <v>0.63</v>
      </c>
      <c r="P128" s="14">
        <v>0.59</v>
      </c>
      <c r="Q128" s="14">
        <v>0.76</v>
      </c>
      <c r="R128" s="14">
        <v>0.61</v>
      </c>
      <c r="S128" s="4" t="s">
        <v>96</v>
      </c>
      <c r="T128" s="10"/>
    </row>
    <row r="129" spans="1:20" s="4" customFormat="1" x14ac:dyDescent="0.25">
      <c r="A129" s="4" t="s">
        <v>58</v>
      </c>
      <c r="B129" s="5" t="s">
        <v>123</v>
      </c>
      <c r="C129" s="5">
        <v>2</v>
      </c>
      <c r="D129" s="5" t="s">
        <v>17</v>
      </c>
      <c r="E129" s="5" t="s">
        <v>12</v>
      </c>
      <c r="F129" s="14">
        <v>0.77</v>
      </c>
      <c r="G129" s="14">
        <v>0.8</v>
      </c>
      <c r="H129" s="14">
        <v>0.79</v>
      </c>
      <c r="I129" s="14">
        <v>0.82</v>
      </c>
      <c r="J129" s="14">
        <v>0.85</v>
      </c>
      <c r="K129" s="14">
        <v>0.8</v>
      </c>
      <c r="L129" s="14">
        <v>0.85</v>
      </c>
      <c r="M129" s="14">
        <v>0.78</v>
      </c>
      <c r="N129" s="14">
        <v>0.85</v>
      </c>
      <c r="O129" s="14">
        <v>0.84</v>
      </c>
      <c r="P129" s="14">
        <v>0.81</v>
      </c>
      <c r="Q129" s="14">
        <v>0.89</v>
      </c>
      <c r="R129" s="14">
        <v>0.84</v>
      </c>
      <c r="S129" s="4" t="s">
        <v>57</v>
      </c>
      <c r="T129" s="10"/>
    </row>
    <row r="130" spans="1:20" s="4" customFormat="1" x14ac:dyDescent="0.25">
      <c r="A130" s="4" t="s">
        <v>59</v>
      </c>
      <c r="B130" s="5" t="s">
        <v>123</v>
      </c>
      <c r="C130" s="5">
        <v>2</v>
      </c>
      <c r="D130" s="5" t="s">
        <v>17</v>
      </c>
      <c r="E130" s="5" t="s">
        <v>12</v>
      </c>
      <c r="F130" s="14">
        <v>0.77</v>
      </c>
      <c r="G130" s="14">
        <v>0.75</v>
      </c>
      <c r="H130" s="14">
        <v>0.89</v>
      </c>
      <c r="I130" s="14">
        <v>0.92</v>
      </c>
      <c r="J130" s="14">
        <v>0.94</v>
      </c>
      <c r="K130" s="14">
        <v>0.88</v>
      </c>
      <c r="L130" s="14">
        <v>0.92</v>
      </c>
      <c r="M130" s="14">
        <v>0.88</v>
      </c>
      <c r="N130" s="14">
        <v>0.95</v>
      </c>
      <c r="O130" s="14">
        <v>0.95</v>
      </c>
      <c r="P130" s="14">
        <v>0.92</v>
      </c>
      <c r="Q130" s="14">
        <v>0.97</v>
      </c>
      <c r="R130" s="14">
        <v>0.9</v>
      </c>
      <c r="S130" s="4" t="s">
        <v>60</v>
      </c>
      <c r="T130" s="10"/>
    </row>
    <row r="131" spans="1:20" s="4" customFormat="1" x14ac:dyDescent="0.25">
      <c r="A131" s="4" t="s">
        <v>61</v>
      </c>
      <c r="B131" s="5" t="s">
        <v>123</v>
      </c>
      <c r="C131" s="5">
        <v>2</v>
      </c>
      <c r="D131" s="5" t="s">
        <v>17</v>
      </c>
      <c r="E131" s="5" t="s">
        <v>12</v>
      </c>
      <c r="F131" s="14">
        <v>0.84</v>
      </c>
      <c r="G131" s="14">
        <v>0.75</v>
      </c>
      <c r="H131" s="14">
        <v>0.89</v>
      </c>
      <c r="I131" s="14">
        <v>0.92</v>
      </c>
      <c r="J131" s="14">
        <v>0.94</v>
      </c>
      <c r="K131" s="14">
        <v>0.88</v>
      </c>
      <c r="L131" s="14">
        <v>0.92</v>
      </c>
      <c r="M131" s="14">
        <v>0.88</v>
      </c>
      <c r="N131" s="14">
        <v>0.95</v>
      </c>
      <c r="O131" s="14">
        <v>0.95</v>
      </c>
      <c r="P131" s="14">
        <v>0.92</v>
      </c>
      <c r="Q131" s="14">
        <v>0.97</v>
      </c>
      <c r="R131" s="14">
        <v>0.9</v>
      </c>
      <c r="S131" s="4" t="s">
        <v>62</v>
      </c>
      <c r="T131" s="10"/>
    </row>
    <row r="132" spans="1:20" s="4" customFormat="1" x14ac:dyDescent="0.25">
      <c r="A132" s="4" t="s">
        <v>98</v>
      </c>
      <c r="B132" s="5" t="s">
        <v>123</v>
      </c>
      <c r="C132" s="5">
        <v>2</v>
      </c>
      <c r="D132" s="5" t="s">
        <v>17</v>
      </c>
      <c r="E132" s="5" t="s">
        <v>12</v>
      </c>
      <c r="F132" s="14">
        <v>0.90400000000000003</v>
      </c>
      <c r="G132" s="14">
        <v>0.8</v>
      </c>
      <c r="H132" s="14">
        <v>0.72</v>
      </c>
      <c r="I132" s="14">
        <v>0.79</v>
      </c>
      <c r="J132" s="14">
        <v>0.8</v>
      </c>
      <c r="K132" s="14">
        <v>0.78</v>
      </c>
      <c r="L132" s="14">
        <v>0.88</v>
      </c>
      <c r="M132" s="14">
        <v>0.75</v>
      </c>
      <c r="N132" s="14">
        <v>0.84</v>
      </c>
      <c r="O132" s="14">
        <v>0.74</v>
      </c>
      <c r="P132" s="14">
        <v>0.77</v>
      </c>
      <c r="Q132" s="14">
        <v>0.88</v>
      </c>
      <c r="R132" s="14">
        <v>0.79</v>
      </c>
      <c r="S132" s="4" t="s">
        <v>97</v>
      </c>
      <c r="T132" s="10"/>
    </row>
    <row r="133" spans="1:20" s="4" customFormat="1" x14ac:dyDescent="0.25">
      <c r="A133" s="4" t="s">
        <v>99</v>
      </c>
      <c r="B133" s="5" t="s">
        <v>123</v>
      </c>
      <c r="C133" s="5">
        <v>2</v>
      </c>
      <c r="D133" s="5" t="s">
        <v>17</v>
      </c>
      <c r="E133" s="5" t="s">
        <v>12</v>
      </c>
      <c r="F133" s="14">
        <v>0.92200000000000004</v>
      </c>
      <c r="G133" s="14">
        <v>0.86</v>
      </c>
      <c r="H133" s="14">
        <v>0.77</v>
      </c>
      <c r="I133" s="14">
        <v>0.85</v>
      </c>
      <c r="J133" s="14">
        <v>0.86</v>
      </c>
      <c r="K133" s="14">
        <v>0.78</v>
      </c>
      <c r="L133" s="14">
        <v>0.91</v>
      </c>
      <c r="M133" s="14">
        <v>0.79</v>
      </c>
      <c r="N133" s="14">
        <v>0.87</v>
      </c>
      <c r="O133" s="14">
        <v>0.83</v>
      </c>
      <c r="P133" s="14">
        <v>0.84</v>
      </c>
      <c r="Q133" s="14">
        <v>0.92</v>
      </c>
      <c r="R133" s="14">
        <v>0.82</v>
      </c>
      <c r="S133" s="4" t="s">
        <v>100</v>
      </c>
      <c r="T133" s="10"/>
    </row>
    <row r="134" spans="1:20" s="4" customFormat="1" x14ac:dyDescent="0.25">
      <c r="A134" s="4" t="s">
        <v>125</v>
      </c>
      <c r="B134" s="5" t="s">
        <v>123</v>
      </c>
      <c r="C134" s="5">
        <v>2</v>
      </c>
      <c r="D134" s="5" t="s">
        <v>17</v>
      </c>
      <c r="E134" s="5" t="s">
        <v>12</v>
      </c>
      <c r="F134" s="14">
        <v>0.44500000000000001</v>
      </c>
      <c r="G134" s="14">
        <v>0.54</v>
      </c>
      <c r="H134" s="14">
        <v>0.53</v>
      </c>
      <c r="I134" s="14">
        <v>0.64</v>
      </c>
      <c r="J134" s="14">
        <v>0.66</v>
      </c>
      <c r="K134" s="14">
        <v>0.49</v>
      </c>
      <c r="L134" s="14">
        <v>0.69</v>
      </c>
      <c r="M134" s="14">
        <v>0.45</v>
      </c>
      <c r="N134" s="14">
        <v>0.69</v>
      </c>
      <c r="O134" s="14">
        <v>0.65</v>
      </c>
      <c r="P134" s="14">
        <v>0.6</v>
      </c>
      <c r="Q134" s="14">
        <v>0.76</v>
      </c>
      <c r="R134" s="14">
        <v>0.62</v>
      </c>
      <c r="S134" s="4" t="s">
        <v>126</v>
      </c>
      <c r="T134" s="10"/>
    </row>
    <row r="135" spans="1:20" s="4" customFormat="1" x14ac:dyDescent="0.25">
      <c r="A135" s="4" t="s">
        <v>127</v>
      </c>
      <c r="B135" s="5" t="s">
        <v>123</v>
      </c>
      <c r="C135" s="5">
        <v>2</v>
      </c>
      <c r="D135" s="5" t="s">
        <v>17</v>
      </c>
      <c r="E135" s="5" t="s">
        <v>12</v>
      </c>
      <c r="F135" s="14">
        <v>0.51900000000000002</v>
      </c>
      <c r="G135" s="14">
        <v>0.55000000000000004</v>
      </c>
      <c r="H135" s="14">
        <v>0.54</v>
      </c>
      <c r="I135" s="14">
        <v>0.65</v>
      </c>
      <c r="J135" s="14">
        <v>0.67</v>
      </c>
      <c r="K135" s="14">
        <v>0.5</v>
      </c>
      <c r="L135" s="14">
        <v>0.7</v>
      </c>
      <c r="M135" s="14">
        <v>0.46</v>
      </c>
      <c r="N135" s="14">
        <v>0.7</v>
      </c>
      <c r="O135" s="14">
        <v>0.65</v>
      </c>
      <c r="P135" s="14">
        <v>0.61</v>
      </c>
      <c r="Q135" s="14">
        <v>0.77</v>
      </c>
      <c r="R135" s="14">
        <v>0.63</v>
      </c>
      <c r="S135" s="4" t="s">
        <v>128</v>
      </c>
      <c r="T135" s="10"/>
    </row>
    <row r="136" spans="1:20" s="4" customFormat="1" x14ac:dyDescent="0.25">
      <c r="A136" s="4" t="s">
        <v>129</v>
      </c>
      <c r="B136" s="5" t="s">
        <v>123</v>
      </c>
      <c r="C136" s="5">
        <v>2</v>
      </c>
      <c r="D136" s="5" t="s">
        <v>17</v>
      </c>
      <c r="E136" s="5" t="s">
        <v>12</v>
      </c>
      <c r="F136" s="14">
        <v>0.63800000000000001</v>
      </c>
      <c r="G136" s="14">
        <v>0.61</v>
      </c>
      <c r="H136" s="14">
        <v>0.6</v>
      </c>
      <c r="I136" s="14">
        <v>0.7</v>
      </c>
      <c r="J136" s="14">
        <v>0.71</v>
      </c>
      <c r="K136" s="14">
        <v>0.57999999999999996</v>
      </c>
      <c r="L136" s="14">
        <v>0.74</v>
      </c>
      <c r="M136" s="14">
        <v>0.55000000000000004</v>
      </c>
      <c r="N136" s="14">
        <v>0.74</v>
      </c>
      <c r="O136" s="14">
        <v>0.7</v>
      </c>
      <c r="P136" s="14">
        <v>0.66</v>
      </c>
      <c r="Q136" s="14">
        <v>0.8</v>
      </c>
      <c r="R136" s="14">
        <v>0.68</v>
      </c>
      <c r="S136" s="4" t="s">
        <v>130</v>
      </c>
      <c r="T136" s="10"/>
    </row>
    <row r="137" spans="1:20" s="4" customFormat="1" x14ac:dyDescent="0.25">
      <c r="A137" s="4" t="s">
        <v>131</v>
      </c>
      <c r="B137" s="5" t="s">
        <v>123</v>
      </c>
      <c r="C137" s="5">
        <v>2</v>
      </c>
      <c r="D137" s="5" t="s">
        <v>17</v>
      </c>
      <c r="E137" s="5" t="s">
        <v>12</v>
      </c>
      <c r="F137" s="14">
        <v>0.67900000000000005</v>
      </c>
      <c r="G137" s="14">
        <v>0.61</v>
      </c>
      <c r="H137" s="14">
        <v>0.6</v>
      </c>
      <c r="I137" s="14">
        <v>0.7</v>
      </c>
      <c r="J137" s="14">
        <v>0.71</v>
      </c>
      <c r="K137" s="14">
        <v>0.57999999999999996</v>
      </c>
      <c r="L137" s="14">
        <v>0.74</v>
      </c>
      <c r="M137" s="14">
        <v>0.55000000000000004</v>
      </c>
      <c r="N137" s="14">
        <v>0.74</v>
      </c>
      <c r="O137" s="14">
        <v>0.7</v>
      </c>
      <c r="P137" s="14">
        <v>0.66</v>
      </c>
      <c r="Q137" s="14">
        <v>0.8</v>
      </c>
      <c r="R137" s="14">
        <v>0.68</v>
      </c>
      <c r="S137" s="4" t="s">
        <v>132</v>
      </c>
      <c r="T137" s="10"/>
    </row>
    <row r="138" spans="1:20" s="4" customFormat="1" x14ac:dyDescent="0.25">
      <c r="A138" s="4" t="s">
        <v>133</v>
      </c>
      <c r="B138" s="5" t="s">
        <v>123</v>
      </c>
      <c r="C138" s="5">
        <v>2</v>
      </c>
      <c r="D138" s="5" t="s">
        <v>17</v>
      </c>
      <c r="E138" s="5" t="s">
        <v>12</v>
      </c>
      <c r="F138" s="14">
        <v>0.54</v>
      </c>
      <c r="G138" s="14">
        <v>0.52</v>
      </c>
      <c r="H138" s="14">
        <v>0.52</v>
      </c>
      <c r="I138" s="14">
        <v>0.66</v>
      </c>
      <c r="J138" s="14">
        <v>0.7</v>
      </c>
      <c r="K138" s="14">
        <v>0.37</v>
      </c>
      <c r="L138" s="14">
        <v>0.68</v>
      </c>
      <c r="M138" s="14">
        <v>0.47</v>
      </c>
      <c r="N138" s="14">
        <v>0.75</v>
      </c>
      <c r="O138" s="14">
        <v>0.67</v>
      </c>
      <c r="P138" s="14">
        <v>0.66</v>
      </c>
      <c r="Q138" s="14">
        <v>0.78</v>
      </c>
      <c r="R138" s="14">
        <v>0.61</v>
      </c>
      <c r="S138" s="4" t="s">
        <v>134</v>
      </c>
      <c r="T138" s="10"/>
    </row>
    <row r="139" spans="1:20" s="4" customFormat="1" x14ac:dyDescent="0.25">
      <c r="A139" s="4" t="s">
        <v>135</v>
      </c>
      <c r="B139" s="5" t="s">
        <v>123</v>
      </c>
      <c r="C139" s="5">
        <v>2</v>
      </c>
      <c r="D139" s="5" t="s">
        <v>17</v>
      </c>
      <c r="E139" s="5" t="s">
        <v>12</v>
      </c>
      <c r="F139" s="14">
        <v>0.54</v>
      </c>
      <c r="G139" s="14">
        <v>0.52</v>
      </c>
      <c r="H139" s="14">
        <v>0.52</v>
      </c>
      <c r="I139" s="14">
        <v>0.66</v>
      </c>
      <c r="J139" s="14">
        <v>0.7</v>
      </c>
      <c r="K139" s="14">
        <v>0.37</v>
      </c>
      <c r="L139" s="14">
        <v>0.68</v>
      </c>
      <c r="M139" s="14">
        <v>0.47</v>
      </c>
      <c r="N139" s="14">
        <v>0.75</v>
      </c>
      <c r="O139" s="14">
        <v>0.67</v>
      </c>
      <c r="P139" s="14">
        <v>0.66</v>
      </c>
      <c r="Q139" s="14">
        <v>0.78</v>
      </c>
      <c r="R139" s="14">
        <v>0.61</v>
      </c>
      <c r="S139" s="4" t="s">
        <v>136</v>
      </c>
      <c r="T139" s="10"/>
    </row>
    <row r="140" spans="1:20" s="4" customFormat="1" x14ac:dyDescent="0.25">
      <c r="A140" s="4" t="s">
        <v>76</v>
      </c>
      <c r="B140" s="5" t="s">
        <v>123</v>
      </c>
      <c r="C140" s="5">
        <v>2</v>
      </c>
      <c r="D140" s="5" t="s">
        <v>17</v>
      </c>
      <c r="E140" s="5" t="s">
        <v>12</v>
      </c>
      <c r="F140" s="14">
        <v>0.79</v>
      </c>
      <c r="G140" s="14">
        <v>0.67</v>
      </c>
      <c r="H140" s="14">
        <v>0.76</v>
      </c>
      <c r="I140" s="14">
        <v>0.78</v>
      </c>
      <c r="J140" s="14">
        <v>0.82</v>
      </c>
      <c r="K140" s="14">
        <v>0.77</v>
      </c>
      <c r="L140" s="14">
        <v>0.89</v>
      </c>
      <c r="M140" s="14">
        <v>0.8</v>
      </c>
      <c r="N140" s="14">
        <v>0.84</v>
      </c>
      <c r="O140" s="14">
        <v>0.83</v>
      </c>
      <c r="P140" s="14">
        <v>0.77</v>
      </c>
      <c r="Q140" s="14">
        <v>0.88</v>
      </c>
      <c r="R140" s="14">
        <v>0.85</v>
      </c>
      <c r="S140" s="4" t="s">
        <v>75</v>
      </c>
      <c r="T140" s="10"/>
    </row>
    <row r="141" spans="1:20" s="4" customFormat="1" x14ac:dyDescent="0.25">
      <c r="A141" s="4" t="s">
        <v>78</v>
      </c>
      <c r="B141" s="5" t="s">
        <v>123</v>
      </c>
      <c r="C141" s="5">
        <v>2</v>
      </c>
      <c r="D141" s="5" t="s">
        <v>17</v>
      </c>
      <c r="E141" s="5" t="s">
        <v>12</v>
      </c>
      <c r="F141" s="14">
        <v>0.79</v>
      </c>
      <c r="G141" s="14">
        <v>0.8</v>
      </c>
      <c r="H141" s="14">
        <v>0.75</v>
      </c>
      <c r="I141" s="14">
        <v>0.78</v>
      </c>
      <c r="J141" s="14">
        <v>0.82</v>
      </c>
      <c r="K141" s="14">
        <v>0.75</v>
      </c>
      <c r="L141" s="14">
        <v>0.87</v>
      </c>
      <c r="M141" s="14">
        <v>0.81</v>
      </c>
      <c r="N141" s="14">
        <v>0.83</v>
      </c>
      <c r="O141" s="14">
        <v>0.8</v>
      </c>
      <c r="P141" s="14">
        <v>0.77</v>
      </c>
      <c r="Q141" s="14">
        <v>0.87</v>
      </c>
      <c r="R141" s="14">
        <v>0.84</v>
      </c>
      <c r="S141" s="4" t="s">
        <v>77</v>
      </c>
      <c r="T141" s="10"/>
    </row>
    <row r="142" spans="1:20" s="4" customFormat="1" x14ac:dyDescent="0.25">
      <c r="A142" s="4" t="s">
        <v>102</v>
      </c>
      <c r="B142" s="5" t="s">
        <v>123</v>
      </c>
      <c r="C142" s="5">
        <v>2</v>
      </c>
      <c r="D142" s="5" t="s">
        <v>17</v>
      </c>
      <c r="E142" s="5" t="s">
        <v>12</v>
      </c>
      <c r="F142" s="14">
        <v>0.9</v>
      </c>
      <c r="G142" s="14">
        <v>0.71</v>
      </c>
      <c r="H142" s="14">
        <v>0.89</v>
      </c>
      <c r="I142" s="14">
        <v>0.91</v>
      </c>
      <c r="J142" s="14">
        <v>0.92</v>
      </c>
      <c r="K142" s="14">
        <v>0.86</v>
      </c>
      <c r="L142" s="14">
        <v>0.94</v>
      </c>
      <c r="M142" s="14">
        <v>0.94</v>
      </c>
      <c r="N142" s="14">
        <v>0.94</v>
      </c>
      <c r="O142" s="14">
        <v>0.91</v>
      </c>
      <c r="P142" s="14">
        <v>0.9</v>
      </c>
      <c r="Q142" s="14">
        <v>0.96</v>
      </c>
      <c r="R142" s="14">
        <v>0.92</v>
      </c>
      <c r="S142" s="4" t="s">
        <v>101</v>
      </c>
      <c r="T142" s="10"/>
    </row>
    <row r="143" spans="1:20" s="4" customFormat="1" x14ac:dyDescent="0.25">
      <c r="A143" s="4" t="s">
        <v>137</v>
      </c>
      <c r="B143" s="5" t="s">
        <v>123</v>
      </c>
      <c r="C143" s="5">
        <v>2</v>
      </c>
      <c r="D143" s="5" t="s">
        <v>17</v>
      </c>
      <c r="E143" s="5" t="s">
        <v>12</v>
      </c>
      <c r="F143" s="14">
        <v>0.81299999999999994</v>
      </c>
      <c r="G143" s="14">
        <v>0.69</v>
      </c>
      <c r="H143" s="14">
        <v>0.68</v>
      </c>
      <c r="I143" s="14">
        <v>0.75</v>
      </c>
      <c r="J143" s="14">
        <v>0.77</v>
      </c>
      <c r="K143" s="14">
        <v>0.67</v>
      </c>
      <c r="L143" s="14">
        <v>0.79</v>
      </c>
      <c r="M143" s="14">
        <v>0.65</v>
      </c>
      <c r="N143" s="14">
        <v>0.79</v>
      </c>
      <c r="O143" s="14">
        <v>0.76</v>
      </c>
      <c r="P143" s="14">
        <v>0.73</v>
      </c>
      <c r="Q143" s="14">
        <v>0.84</v>
      </c>
      <c r="R143" s="14">
        <v>0.75</v>
      </c>
      <c r="S143" s="4" t="s">
        <v>138</v>
      </c>
      <c r="T143" s="10"/>
    </row>
    <row r="144" spans="1:20" s="4" customFormat="1" x14ac:dyDescent="0.25">
      <c r="A144" s="4" t="s">
        <v>63</v>
      </c>
      <c r="B144" s="5" t="s">
        <v>123</v>
      </c>
      <c r="C144" s="5">
        <v>2</v>
      </c>
      <c r="D144" s="5" t="s">
        <v>17</v>
      </c>
      <c r="E144" s="5" t="s">
        <v>12</v>
      </c>
      <c r="F144" s="14">
        <v>0.879</v>
      </c>
      <c r="G144" s="14">
        <v>0.89</v>
      </c>
      <c r="H144" s="14">
        <v>0.87</v>
      </c>
      <c r="I144" s="14">
        <v>0.9</v>
      </c>
      <c r="J144" s="14">
        <v>0.9</v>
      </c>
      <c r="K144" s="14">
        <v>0.9</v>
      </c>
      <c r="L144" s="14">
        <v>0.92</v>
      </c>
      <c r="M144" s="14">
        <v>0.87</v>
      </c>
      <c r="N144" s="14">
        <v>0.91</v>
      </c>
      <c r="O144" s="14">
        <v>0.92</v>
      </c>
      <c r="P144" s="14">
        <v>0.88</v>
      </c>
      <c r="Q144" s="14">
        <v>0.94</v>
      </c>
      <c r="R144" s="14">
        <v>0.91</v>
      </c>
      <c r="S144" s="4" t="s">
        <v>66</v>
      </c>
      <c r="T144" s="10"/>
    </row>
    <row r="145" spans="1:20" s="4" customFormat="1" x14ac:dyDescent="0.25">
      <c r="A145" s="4" t="s">
        <v>64</v>
      </c>
      <c r="B145" s="5" t="s">
        <v>123</v>
      </c>
      <c r="C145" s="5">
        <v>2</v>
      </c>
      <c r="D145" s="5" t="s">
        <v>17</v>
      </c>
      <c r="E145" s="5" t="s">
        <v>12</v>
      </c>
      <c r="F145" s="14">
        <v>0.871</v>
      </c>
      <c r="G145" s="14">
        <v>0.89</v>
      </c>
      <c r="H145" s="14">
        <v>0.86</v>
      </c>
      <c r="I145" s="14">
        <v>0.89</v>
      </c>
      <c r="J145" s="14">
        <v>0.89</v>
      </c>
      <c r="K145" s="14">
        <v>0.89</v>
      </c>
      <c r="L145" s="14">
        <v>0.91</v>
      </c>
      <c r="M145" s="14">
        <v>0.86</v>
      </c>
      <c r="N145" s="14">
        <v>0.9</v>
      </c>
      <c r="O145" s="14">
        <v>0.91</v>
      </c>
      <c r="P145" s="14">
        <v>0.88</v>
      </c>
      <c r="Q145" s="14">
        <v>0.94</v>
      </c>
      <c r="R145" s="14">
        <v>0.9</v>
      </c>
      <c r="S145" s="4" t="s">
        <v>65</v>
      </c>
      <c r="T145" s="10"/>
    </row>
    <row r="146" spans="1:20" s="4" customFormat="1" x14ac:dyDescent="0.25">
      <c r="A146" s="4" t="s">
        <v>67</v>
      </c>
      <c r="B146" s="5" t="s">
        <v>123</v>
      </c>
      <c r="C146" s="5">
        <v>2</v>
      </c>
      <c r="D146" s="5" t="s">
        <v>17</v>
      </c>
      <c r="E146" s="5" t="s">
        <v>12</v>
      </c>
      <c r="F146" s="14">
        <v>0.875</v>
      </c>
      <c r="G146" s="14">
        <v>0.89</v>
      </c>
      <c r="H146" s="14">
        <v>0.87</v>
      </c>
      <c r="I146" s="14">
        <v>0.89</v>
      </c>
      <c r="J146" s="14">
        <v>0.89</v>
      </c>
      <c r="K146" s="14">
        <v>0.9</v>
      </c>
      <c r="L146" s="14">
        <v>0.91</v>
      </c>
      <c r="M146" s="14">
        <v>0.86</v>
      </c>
      <c r="N146" s="14">
        <v>0.9</v>
      </c>
      <c r="O146" s="14">
        <v>0.91</v>
      </c>
      <c r="P146" s="14">
        <v>0.88</v>
      </c>
      <c r="Q146" s="14">
        <v>0.94</v>
      </c>
      <c r="R146" s="14">
        <v>0.91</v>
      </c>
      <c r="S146" s="4" t="s">
        <v>68</v>
      </c>
      <c r="T146" s="10"/>
    </row>
    <row r="147" spans="1:20" s="4" customFormat="1" x14ac:dyDescent="0.25">
      <c r="A147" s="4" t="s">
        <v>69</v>
      </c>
      <c r="B147" s="5" t="s">
        <v>123</v>
      </c>
      <c r="C147" s="5">
        <v>2</v>
      </c>
      <c r="D147" s="5" t="s">
        <v>17</v>
      </c>
      <c r="E147" s="5" t="s">
        <v>12</v>
      </c>
      <c r="F147" s="14">
        <v>0.875</v>
      </c>
      <c r="G147" s="14">
        <v>0.89</v>
      </c>
      <c r="H147" s="14">
        <v>0.87</v>
      </c>
      <c r="I147" s="14">
        <v>0.89</v>
      </c>
      <c r="J147" s="14">
        <v>0.89</v>
      </c>
      <c r="K147" s="14">
        <v>0.9</v>
      </c>
      <c r="L147" s="14">
        <v>0.91</v>
      </c>
      <c r="M147" s="14">
        <v>0.86</v>
      </c>
      <c r="N147" s="14">
        <v>0.9</v>
      </c>
      <c r="O147" s="14">
        <v>0.91</v>
      </c>
      <c r="P147" s="14">
        <v>0.88</v>
      </c>
      <c r="Q147" s="14">
        <v>0.94</v>
      </c>
      <c r="R147" s="14">
        <v>0.91</v>
      </c>
      <c r="S147" s="4" t="s">
        <v>70</v>
      </c>
      <c r="T147" s="10"/>
    </row>
    <row r="148" spans="1:20" s="4" customFormat="1" x14ac:dyDescent="0.25">
      <c r="A148" s="4" t="s">
        <v>71</v>
      </c>
      <c r="B148" s="5" t="s">
        <v>123</v>
      </c>
      <c r="C148" s="5">
        <v>2</v>
      </c>
      <c r="D148" s="5" t="s">
        <v>17</v>
      </c>
      <c r="E148" s="5" t="s">
        <v>12</v>
      </c>
      <c r="F148" s="14">
        <v>0.89800000000000002</v>
      </c>
      <c r="G148" s="14">
        <v>0.91</v>
      </c>
      <c r="H148" s="14">
        <v>0.89</v>
      </c>
      <c r="I148" s="14">
        <v>0.91</v>
      </c>
      <c r="J148" s="14">
        <v>0.91</v>
      </c>
      <c r="K148" s="14">
        <v>0.92</v>
      </c>
      <c r="L148" s="14">
        <v>0.92</v>
      </c>
      <c r="M148" s="14">
        <v>0.89</v>
      </c>
      <c r="N148" s="14">
        <v>0.92</v>
      </c>
      <c r="O148" s="14">
        <v>0.93</v>
      </c>
      <c r="P148" s="14">
        <v>0.9</v>
      </c>
      <c r="Q148" s="14">
        <v>0.95</v>
      </c>
      <c r="R148" s="14">
        <v>0.92</v>
      </c>
      <c r="S148" s="4" t="s">
        <v>72</v>
      </c>
      <c r="T148" s="10"/>
    </row>
    <row r="149" spans="1:20" s="4" customFormat="1" x14ac:dyDescent="0.25">
      <c r="A149" s="4" t="s">
        <v>265</v>
      </c>
      <c r="B149" s="5" t="s">
        <v>123</v>
      </c>
      <c r="C149" s="5">
        <v>12</v>
      </c>
      <c r="D149" s="5" t="s">
        <v>17</v>
      </c>
      <c r="E149" s="5" t="s">
        <v>12</v>
      </c>
      <c r="F149" s="14">
        <v>0.86899999999999999</v>
      </c>
      <c r="G149" s="14">
        <v>0.91100000000000003</v>
      </c>
      <c r="H149" s="14">
        <v>0.83799999999999997</v>
      </c>
      <c r="I149" s="14">
        <v>0.877</v>
      </c>
      <c r="J149" s="14">
        <v>0.872</v>
      </c>
      <c r="K149" s="14">
        <v>0.87</v>
      </c>
      <c r="L149" s="14">
        <v>0.89400000000000002</v>
      </c>
      <c r="M149" s="14">
        <v>0.81100000000000005</v>
      </c>
      <c r="N149" s="14">
        <v>0.879</v>
      </c>
      <c r="O149" s="14">
        <v>0.874</v>
      </c>
      <c r="P149" s="14">
        <v>0.85699999999999998</v>
      </c>
      <c r="Q149" s="14">
        <v>0.93300000000000005</v>
      </c>
      <c r="R149" s="14">
        <v>0.88100000000000001</v>
      </c>
      <c r="S149" s="4" t="s">
        <v>264</v>
      </c>
      <c r="T149" s="10"/>
    </row>
    <row r="150" spans="1:20" s="4" customFormat="1" x14ac:dyDescent="0.25">
      <c r="A150" s="4" t="s">
        <v>266</v>
      </c>
      <c r="B150" s="5" t="s">
        <v>123</v>
      </c>
      <c r="C150" s="5">
        <v>12</v>
      </c>
      <c r="D150" s="5" t="s">
        <v>17</v>
      </c>
      <c r="E150" s="5" t="s">
        <v>12</v>
      </c>
      <c r="F150" s="14">
        <v>0.89</v>
      </c>
      <c r="G150" s="14">
        <v>0.91100000000000003</v>
      </c>
      <c r="H150" s="14">
        <v>0.85699999999999998</v>
      </c>
      <c r="I150" s="14">
        <v>0.89300000000000002</v>
      </c>
      <c r="J150" s="14">
        <v>0.89</v>
      </c>
      <c r="K150" s="14">
        <v>0.88800000000000001</v>
      </c>
      <c r="L150" s="14">
        <v>0.90500000000000003</v>
      </c>
      <c r="M150" s="14">
        <v>0.83</v>
      </c>
      <c r="N150" s="14">
        <v>0.89500000000000002</v>
      </c>
      <c r="O150" s="14">
        <v>0.9</v>
      </c>
      <c r="P150" s="14">
        <v>0.877</v>
      </c>
      <c r="Q150" s="14">
        <v>0.94199999999999995</v>
      </c>
      <c r="R150" s="14">
        <v>0.90300000000000002</v>
      </c>
      <c r="S150" s="4" t="s">
        <v>264</v>
      </c>
      <c r="T150" s="10"/>
    </row>
    <row r="151" spans="1:20" s="4" customFormat="1" x14ac:dyDescent="0.25">
      <c r="A151" s="4" t="s">
        <v>103</v>
      </c>
      <c r="B151" s="5" t="s">
        <v>123</v>
      </c>
      <c r="C151" s="5">
        <v>2</v>
      </c>
      <c r="D151" s="5" t="s">
        <v>17</v>
      </c>
      <c r="E151" s="5" t="s">
        <v>12</v>
      </c>
      <c r="F151" s="14">
        <v>0.82</v>
      </c>
      <c r="G151" s="14">
        <v>0.84</v>
      </c>
      <c r="H151" s="14">
        <v>0.81</v>
      </c>
      <c r="I151" s="14">
        <v>0.85</v>
      </c>
      <c r="J151" s="14">
        <v>0.85</v>
      </c>
      <c r="K151" s="14">
        <v>0.82</v>
      </c>
      <c r="L151" s="14">
        <v>0.92</v>
      </c>
      <c r="M151" s="14">
        <v>0.82</v>
      </c>
      <c r="N151" s="14">
        <v>0.87</v>
      </c>
      <c r="O151" s="14">
        <v>0.89</v>
      </c>
      <c r="P151" s="14">
        <v>0.83</v>
      </c>
      <c r="Q151" s="14">
        <v>0.93</v>
      </c>
      <c r="R151" s="14">
        <v>0.84</v>
      </c>
      <c r="S151" s="4" t="s">
        <v>104</v>
      </c>
      <c r="T151" s="10"/>
    </row>
    <row r="152" spans="1:20" s="4" customFormat="1" x14ac:dyDescent="0.25">
      <c r="A152" s="4" t="s">
        <v>105</v>
      </c>
      <c r="B152" s="5" t="s">
        <v>123</v>
      </c>
      <c r="C152" s="5">
        <v>2</v>
      </c>
      <c r="D152" s="5" t="s">
        <v>17</v>
      </c>
      <c r="E152" s="5" t="s">
        <v>12</v>
      </c>
      <c r="F152" s="14">
        <v>0.81</v>
      </c>
      <c r="G152" s="14">
        <v>0.75</v>
      </c>
      <c r="H152" s="14">
        <v>0.73</v>
      </c>
      <c r="I152" s="14">
        <v>0.78</v>
      </c>
      <c r="J152" s="14">
        <v>0.79</v>
      </c>
      <c r="K152" s="14">
        <v>0.76</v>
      </c>
      <c r="L152" s="14">
        <v>0.86</v>
      </c>
      <c r="M152" s="14">
        <v>0.72</v>
      </c>
      <c r="N152" s="14">
        <v>0.82</v>
      </c>
      <c r="O152" s="14">
        <v>0.86</v>
      </c>
      <c r="P152" s="14">
        <v>0.76</v>
      </c>
      <c r="Q152" s="14">
        <v>0.91</v>
      </c>
      <c r="R152" s="14">
        <v>0.81</v>
      </c>
      <c r="S152" s="4" t="s">
        <v>106</v>
      </c>
      <c r="T152" s="10"/>
    </row>
    <row r="153" spans="1:20" s="4" customFormat="1" x14ac:dyDescent="0.25">
      <c r="A153" s="4" t="s">
        <v>107</v>
      </c>
      <c r="B153" s="5" t="s">
        <v>123</v>
      </c>
      <c r="C153" s="5">
        <v>2</v>
      </c>
      <c r="D153" s="5" t="s">
        <v>17</v>
      </c>
      <c r="E153" s="5" t="s">
        <v>12</v>
      </c>
      <c r="F153" s="14">
        <v>0.82</v>
      </c>
      <c r="G153" s="14">
        <v>0.84</v>
      </c>
      <c r="H153" s="14">
        <v>0.82</v>
      </c>
      <c r="I153" s="14">
        <v>0.84</v>
      </c>
      <c r="J153" s="14">
        <v>0.85</v>
      </c>
      <c r="K153" s="14">
        <v>0.83</v>
      </c>
      <c r="L153" s="14">
        <v>0.91</v>
      </c>
      <c r="M153" s="14">
        <v>0.82</v>
      </c>
      <c r="N153" s="14">
        <v>0.87</v>
      </c>
      <c r="O153" s="14">
        <v>0.88</v>
      </c>
      <c r="P153" s="14">
        <v>0.83</v>
      </c>
      <c r="Q153" s="14">
        <v>0.94</v>
      </c>
      <c r="R153" s="14">
        <v>0.84</v>
      </c>
      <c r="S153" s="4" t="s">
        <v>108</v>
      </c>
      <c r="T153" s="10"/>
    </row>
    <row r="154" spans="1:20" s="4" customFormat="1" x14ac:dyDescent="0.25">
      <c r="A154" s="4" t="s">
        <v>109</v>
      </c>
      <c r="B154" s="5" t="s">
        <v>123</v>
      </c>
      <c r="C154" s="5">
        <v>2</v>
      </c>
      <c r="D154" s="5" t="s">
        <v>17</v>
      </c>
      <c r="E154" s="5" t="s">
        <v>12</v>
      </c>
      <c r="F154" s="14">
        <v>0.81</v>
      </c>
      <c r="G154" s="14">
        <v>0.75</v>
      </c>
      <c r="H154" s="14">
        <v>0.73</v>
      </c>
      <c r="I154" s="14">
        <v>0.78</v>
      </c>
      <c r="J154" s="14">
        <v>0.79</v>
      </c>
      <c r="K154" s="14">
        <v>0.76</v>
      </c>
      <c r="L154" s="14">
        <v>0.86</v>
      </c>
      <c r="M154" s="14">
        <v>0.72</v>
      </c>
      <c r="N154" s="14">
        <v>0.82</v>
      </c>
      <c r="O154" s="14">
        <v>0.86</v>
      </c>
      <c r="P154" s="14">
        <v>0.76</v>
      </c>
      <c r="Q154" s="14">
        <v>0.91</v>
      </c>
      <c r="R154" s="14">
        <v>0.81</v>
      </c>
      <c r="S154" s="4" t="s">
        <v>110</v>
      </c>
      <c r="T154" s="10"/>
    </row>
    <row r="155" spans="1:20" s="6" customFormat="1" x14ac:dyDescent="0.25">
      <c r="F155" s="16"/>
      <c r="G155" s="16"/>
      <c r="H155" s="16"/>
      <c r="I155" s="16"/>
      <c r="J155" s="16"/>
      <c r="K155" s="16"/>
      <c r="L155" s="16"/>
      <c r="M155" s="16"/>
      <c r="N155" s="16"/>
      <c r="O155" s="16"/>
      <c r="P155" s="16"/>
      <c r="Q155" s="16"/>
      <c r="R155" s="16"/>
      <c r="T155" s="10"/>
    </row>
    <row r="156" spans="1:20" x14ac:dyDescent="0.25">
      <c r="A156" s="5" t="s">
        <v>192</v>
      </c>
      <c r="B156" s="5" t="s">
        <v>212</v>
      </c>
      <c r="C156" s="5">
        <v>2</v>
      </c>
      <c r="D156" s="5" t="s">
        <v>17</v>
      </c>
      <c r="E156" s="5" t="s">
        <v>12</v>
      </c>
      <c r="F156" s="15">
        <v>0.85</v>
      </c>
      <c r="G156" s="15">
        <v>0.86</v>
      </c>
      <c r="H156" s="15">
        <v>0.89</v>
      </c>
      <c r="I156" s="15">
        <v>0.91</v>
      </c>
      <c r="J156" s="15">
        <v>0.92</v>
      </c>
      <c r="K156" s="15">
        <v>0.91</v>
      </c>
      <c r="L156" s="15">
        <v>0.92</v>
      </c>
      <c r="M156" s="15">
        <v>0.86</v>
      </c>
      <c r="N156" s="15">
        <v>0.91</v>
      </c>
      <c r="O156" s="15">
        <v>0.91</v>
      </c>
      <c r="P156" s="15">
        <v>0.9</v>
      </c>
      <c r="Q156" s="15">
        <v>0.92</v>
      </c>
      <c r="R156" s="15">
        <v>0.89</v>
      </c>
      <c r="S156" s="5" t="s">
        <v>193</v>
      </c>
    </row>
    <row r="157" spans="1:20" x14ac:dyDescent="0.25">
      <c r="A157" s="5" t="s">
        <v>196</v>
      </c>
      <c r="B157" s="5" t="s">
        <v>212</v>
      </c>
      <c r="C157" s="5">
        <v>2</v>
      </c>
      <c r="D157" s="5" t="s">
        <v>17</v>
      </c>
      <c r="E157" s="5" t="s">
        <v>12</v>
      </c>
      <c r="F157" s="15">
        <v>0.89</v>
      </c>
      <c r="G157" s="15">
        <v>0.89</v>
      </c>
      <c r="H157" s="15">
        <v>0.92</v>
      </c>
      <c r="I157" s="15">
        <v>0.93</v>
      </c>
      <c r="J157" s="15">
        <v>0.94</v>
      </c>
      <c r="K157" s="15">
        <v>0.93</v>
      </c>
      <c r="L157" s="15">
        <v>0.93</v>
      </c>
      <c r="M157" s="15">
        <v>0.86</v>
      </c>
      <c r="N157" s="15">
        <v>0.92</v>
      </c>
      <c r="O157" s="15">
        <v>0.92</v>
      </c>
      <c r="P157" s="15">
        <v>0.92</v>
      </c>
      <c r="Q157" s="15">
        <v>0.94</v>
      </c>
      <c r="R157" s="15">
        <v>0.89</v>
      </c>
      <c r="S157" s="5" t="s">
        <v>197</v>
      </c>
    </row>
    <row r="158" spans="1:20" x14ac:dyDescent="0.25">
      <c r="A158" s="5" t="s">
        <v>198</v>
      </c>
      <c r="B158" s="5" t="s">
        <v>212</v>
      </c>
      <c r="C158" s="5">
        <v>2</v>
      </c>
      <c r="D158" s="5" t="s">
        <v>17</v>
      </c>
      <c r="E158" s="5" t="s">
        <v>12</v>
      </c>
      <c r="F158" s="15">
        <v>0.85</v>
      </c>
      <c r="G158" s="15">
        <v>0.92</v>
      </c>
      <c r="H158" s="15">
        <v>0.94</v>
      </c>
      <c r="I158" s="15">
        <v>0.94</v>
      </c>
      <c r="J158" s="15">
        <v>0.95</v>
      </c>
      <c r="K158" s="15">
        <v>0.95</v>
      </c>
      <c r="L158" s="15">
        <v>0.95</v>
      </c>
      <c r="M158" s="15">
        <v>0.86</v>
      </c>
      <c r="N158" s="15">
        <v>0.93</v>
      </c>
      <c r="O158" s="15">
        <v>0.93</v>
      </c>
      <c r="P158" s="15">
        <v>0.93</v>
      </c>
      <c r="Q158" s="15">
        <v>0.95</v>
      </c>
      <c r="R158" s="15">
        <v>0.92</v>
      </c>
      <c r="S158" s="5" t="s">
        <v>199</v>
      </c>
    </row>
    <row r="159" spans="1:20" x14ac:dyDescent="0.25">
      <c r="A159" s="5" t="s">
        <v>25</v>
      </c>
      <c r="B159" s="5" t="s">
        <v>212</v>
      </c>
      <c r="C159" s="5">
        <v>1</v>
      </c>
      <c r="D159" s="5" t="s">
        <v>11</v>
      </c>
      <c r="E159" s="5" t="s">
        <v>12</v>
      </c>
      <c r="F159" s="15">
        <v>0.91</v>
      </c>
      <c r="G159" s="32">
        <v>0.89100000000000001</v>
      </c>
      <c r="H159" s="15">
        <v>0.95</v>
      </c>
      <c r="I159" s="15">
        <v>0.93</v>
      </c>
      <c r="J159" s="15">
        <v>0.91</v>
      </c>
      <c r="K159" s="15">
        <v>0.93</v>
      </c>
      <c r="L159" s="15">
        <v>0.91</v>
      </c>
      <c r="M159" s="32">
        <v>0.89100000000000001</v>
      </c>
      <c r="N159" s="15">
        <v>0.83</v>
      </c>
      <c r="O159" s="32">
        <v>0.89100000000000001</v>
      </c>
      <c r="P159" s="15">
        <v>0.9</v>
      </c>
      <c r="Q159" s="15">
        <v>0.81</v>
      </c>
      <c r="R159" s="15">
        <v>0.85</v>
      </c>
      <c r="S159" s="5" t="s">
        <v>357</v>
      </c>
    </row>
    <row r="160" spans="1:20" x14ac:dyDescent="0.25">
      <c r="A160" s="5" t="s">
        <v>279</v>
      </c>
      <c r="B160" s="5" t="s">
        <v>212</v>
      </c>
      <c r="C160" s="5">
        <v>15</v>
      </c>
      <c r="D160" s="5" t="s">
        <v>17</v>
      </c>
      <c r="E160" s="5" t="s">
        <v>12</v>
      </c>
      <c r="F160" s="15">
        <v>0.86499999999999999</v>
      </c>
      <c r="G160" s="32">
        <v>0.8</v>
      </c>
      <c r="H160" s="15">
        <v>0.82699999999999996</v>
      </c>
      <c r="I160" s="15">
        <v>0.76400000000000001</v>
      </c>
      <c r="J160" s="15">
        <v>0.79700000000000004</v>
      </c>
      <c r="K160" s="15">
        <v>0.82599999999999996</v>
      </c>
      <c r="L160" s="15">
        <v>0.82899999999999996</v>
      </c>
      <c r="M160" s="32">
        <v>0.8</v>
      </c>
      <c r="N160" s="15">
        <v>0.80900000000000005</v>
      </c>
      <c r="O160" s="15">
        <v>0.81399999999999995</v>
      </c>
      <c r="P160" s="15">
        <v>0.73499999999999999</v>
      </c>
      <c r="Q160" s="15">
        <v>0.81899999999999995</v>
      </c>
      <c r="R160" s="15">
        <v>0.78600000000000003</v>
      </c>
      <c r="S160" s="5" t="s">
        <v>357</v>
      </c>
    </row>
    <row r="161" spans="1:19" x14ac:dyDescent="0.25">
      <c r="A161" s="5" t="s">
        <v>207</v>
      </c>
      <c r="B161" s="5" t="s">
        <v>212</v>
      </c>
      <c r="C161" s="5">
        <v>2</v>
      </c>
      <c r="D161" s="5" t="s">
        <v>17</v>
      </c>
      <c r="E161" s="5" t="s">
        <v>12</v>
      </c>
      <c r="F161" s="15">
        <v>0.879</v>
      </c>
      <c r="G161" s="15">
        <v>0.74</v>
      </c>
      <c r="H161" s="15">
        <v>0.73</v>
      </c>
      <c r="I161" s="15">
        <v>0.79</v>
      </c>
      <c r="J161" s="15">
        <v>0.81</v>
      </c>
      <c r="K161" s="15">
        <v>0.73</v>
      </c>
      <c r="L161" s="15">
        <v>0.82</v>
      </c>
      <c r="M161" s="15">
        <v>0.71</v>
      </c>
      <c r="N161" s="15">
        <v>0.82</v>
      </c>
      <c r="O161" s="15">
        <v>0.8</v>
      </c>
      <c r="P161" s="15">
        <v>0.77</v>
      </c>
      <c r="Q161" s="15">
        <v>0.86</v>
      </c>
      <c r="R161" s="15">
        <v>0.79</v>
      </c>
      <c r="S161" s="5" t="s">
        <v>208</v>
      </c>
    </row>
    <row r="162" spans="1:19" s="6" customFormat="1" x14ac:dyDescent="0.25">
      <c r="F162" s="16"/>
      <c r="G162" s="34"/>
      <c r="H162" s="16"/>
      <c r="I162" s="16"/>
      <c r="J162" s="16"/>
      <c r="K162" s="16"/>
      <c r="L162" s="16"/>
      <c r="M162" s="34"/>
      <c r="N162" s="16"/>
      <c r="O162" s="34"/>
      <c r="P162" s="16"/>
      <c r="Q162" s="16"/>
      <c r="R162" s="16"/>
    </row>
    <row r="163" spans="1:19" x14ac:dyDescent="0.25">
      <c r="A163" s="5" t="s">
        <v>232</v>
      </c>
      <c r="B163" s="5" t="s">
        <v>24</v>
      </c>
      <c r="C163" s="5">
        <v>5</v>
      </c>
      <c r="D163" s="5" t="s">
        <v>17</v>
      </c>
      <c r="E163" s="5" t="s">
        <v>15</v>
      </c>
      <c r="F163" s="15">
        <v>0.98</v>
      </c>
      <c r="G163" s="32">
        <v>0.98299999999999998</v>
      </c>
      <c r="H163" s="15">
        <v>0.95899999999999996</v>
      </c>
      <c r="I163" s="15">
        <v>0.99399999999999999</v>
      </c>
      <c r="J163" s="15">
        <v>0.99299999999999999</v>
      </c>
      <c r="K163" s="15">
        <v>0.99</v>
      </c>
      <c r="L163" s="15">
        <v>0.99199999999999999</v>
      </c>
      <c r="M163" s="32">
        <v>0.98299999999999998</v>
      </c>
      <c r="N163" s="15">
        <v>0.98699999999999999</v>
      </c>
      <c r="O163" s="15">
        <v>0.98899999999999999</v>
      </c>
      <c r="P163" s="15">
        <v>0.98699999999999999</v>
      </c>
      <c r="Q163" s="15">
        <v>0.96699999999999997</v>
      </c>
      <c r="R163" s="15">
        <v>0.97499999999999998</v>
      </c>
      <c r="S163" s="5" t="s">
        <v>357</v>
      </c>
    </row>
    <row r="164" spans="1:19" x14ac:dyDescent="0.25">
      <c r="A164" s="5" t="s">
        <v>233</v>
      </c>
      <c r="B164" s="5" t="s">
        <v>24</v>
      </c>
      <c r="C164" s="5">
        <v>5</v>
      </c>
      <c r="D164" s="5" t="s">
        <v>17</v>
      </c>
      <c r="E164" s="5" t="s">
        <v>15</v>
      </c>
      <c r="F164" s="32">
        <v>0.97899999999999998</v>
      </c>
      <c r="G164" s="32">
        <v>0.97899999999999998</v>
      </c>
      <c r="H164" s="15">
        <v>0.96</v>
      </c>
      <c r="I164" s="15">
        <v>0.96</v>
      </c>
      <c r="J164" s="15">
        <v>1</v>
      </c>
      <c r="K164" s="15">
        <v>0.99</v>
      </c>
      <c r="L164" s="15">
        <v>0.99</v>
      </c>
      <c r="M164" s="32">
        <v>0.97899999999999998</v>
      </c>
      <c r="N164" s="15">
        <v>0.99</v>
      </c>
      <c r="O164" s="15">
        <v>0.99</v>
      </c>
      <c r="P164" s="15">
        <v>0.98</v>
      </c>
      <c r="Q164" s="15">
        <v>0.96</v>
      </c>
      <c r="R164" s="15">
        <v>0.97</v>
      </c>
      <c r="S164" s="5" t="s">
        <v>357</v>
      </c>
    </row>
    <row r="165" spans="1:19" x14ac:dyDescent="0.25">
      <c r="A165" s="5" t="s">
        <v>234</v>
      </c>
      <c r="B165" s="5" t="s">
        <v>24</v>
      </c>
      <c r="C165" s="5">
        <v>5</v>
      </c>
      <c r="D165" s="5" t="s">
        <v>17</v>
      </c>
      <c r="E165" s="5" t="s">
        <v>15</v>
      </c>
      <c r="F165" s="32">
        <v>0.97199999999999998</v>
      </c>
      <c r="G165" s="32">
        <v>0.97199999999999998</v>
      </c>
      <c r="H165" s="15">
        <v>0.93</v>
      </c>
      <c r="I165" s="15">
        <v>0.98</v>
      </c>
      <c r="J165" s="15">
        <v>0.98</v>
      </c>
      <c r="K165" s="15">
        <v>0.98</v>
      </c>
      <c r="L165" s="15">
        <v>0.98</v>
      </c>
      <c r="M165" s="32">
        <v>0.97199999999999998</v>
      </c>
      <c r="N165" s="15">
        <v>0.98</v>
      </c>
      <c r="O165" s="15">
        <v>0.98</v>
      </c>
      <c r="P165" s="15">
        <v>0.97</v>
      </c>
      <c r="Q165" s="15">
        <v>0.96</v>
      </c>
      <c r="R165" s="15">
        <v>0.98</v>
      </c>
      <c r="S165" s="5" t="s">
        <v>357</v>
      </c>
    </row>
    <row r="166" spans="1:19" x14ac:dyDescent="0.25">
      <c r="A166" s="5" t="s">
        <v>235</v>
      </c>
      <c r="B166" s="5" t="s">
        <v>24</v>
      </c>
      <c r="C166" s="5">
        <v>5</v>
      </c>
      <c r="D166" s="5" t="s">
        <v>17</v>
      </c>
      <c r="E166" s="5" t="s">
        <v>15</v>
      </c>
      <c r="F166" s="32">
        <v>0.97499999999999998</v>
      </c>
      <c r="G166" s="32">
        <v>0.97499999999999998</v>
      </c>
      <c r="H166" s="15">
        <v>0.96</v>
      </c>
      <c r="I166" s="15">
        <v>0.94</v>
      </c>
      <c r="J166" s="15">
        <v>0.99</v>
      </c>
      <c r="K166" s="15">
        <v>0.99</v>
      </c>
      <c r="L166" s="15">
        <v>0.99</v>
      </c>
      <c r="M166" s="32">
        <v>0.97499999999999998</v>
      </c>
      <c r="N166" s="15">
        <v>0.99</v>
      </c>
      <c r="O166" s="15">
        <v>0.99</v>
      </c>
      <c r="P166" s="15">
        <v>0.98</v>
      </c>
      <c r="Q166" s="15">
        <v>0.97</v>
      </c>
      <c r="R166" s="15">
        <v>0.95</v>
      </c>
      <c r="S166" s="5" t="s">
        <v>357</v>
      </c>
    </row>
    <row r="167" spans="1:19" x14ac:dyDescent="0.25">
      <c r="A167" s="5" t="s">
        <v>236</v>
      </c>
      <c r="B167" s="5" t="s">
        <v>24</v>
      </c>
      <c r="C167" s="5">
        <v>5</v>
      </c>
      <c r="D167" s="5" t="s">
        <v>17</v>
      </c>
      <c r="E167" s="5" t="s">
        <v>15</v>
      </c>
      <c r="F167" s="32">
        <v>0.97899999999999998</v>
      </c>
      <c r="G167" s="32">
        <v>0.97899999999999998</v>
      </c>
      <c r="H167" s="15">
        <v>0.95</v>
      </c>
      <c r="I167" s="15">
        <v>0.99</v>
      </c>
      <c r="J167" s="15">
        <v>0.99</v>
      </c>
      <c r="K167" s="15">
        <v>0.99</v>
      </c>
      <c r="L167" s="15">
        <v>0.99</v>
      </c>
      <c r="M167" s="32">
        <v>0.97899999999999998</v>
      </c>
      <c r="N167" s="15">
        <v>0.98</v>
      </c>
      <c r="O167" s="15">
        <v>0.98</v>
      </c>
      <c r="P167" s="15">
        <v>0.98</v>
      </c>
      <c r="Q167" s="15">
        <v>0.97</v>
      </c>
      <c r="R167" s="15">
        <v>0.97</v>
      </c>
      <c r="S167" s="5" t="s">
        <v>357</v>
      </c>
    </row>
    <row r="168" spans="1:19" x14ac:dyDescent="0.25">
      <c r="A168" s="5" t="s">
        <v>190</v>
      </c>
      <c r="B168" s="5" t="s">
        <v>24</v>
      </c>
      <c r="C168" s="5">
        <v>2</v>
      </c>
      <c r="D168" s="5" t="s">
        <v>17</v>
      </c>
      <c r="E168" s="5" t="s">
        <v>12</v>
      </c>
      <c r="F168" s="15">
        <v>0.85</v>
      </c>
      <c r="G168" s="15">
        <v>0.77</v>
      </c>
      <c r="H168" s="15">
        <v>0.87</v>
      </c>
      <c r="I168" s="15">
        <v>0.9</v>
      </c>
      <c r="J168" s="15">
        <v>0.91</v>
      </c>
      <c r="K168" s="15">
        <v>0.89</v>
      </c>
      <c r="L168" s="15">
        <v>0.79</v>
      </c>
      <c r="M168" s="15">
        <v>0.83</v>
      </c>
      <c r="N168" s="15">
        <v>0.98</v>
      </c>
      <c r="O168" s="15">
        <v>0.82</v>
      </c>
      <c r="P168" s="15">
        <v>0.88</v>
      </c>
      <c r="Q168" s="15">
        <v>0.96</v>
      </c>
      <c r="R168" s="15">
        <v>0.84</v>
      </c>
      <c r="S168" s="5" t="s">
        <v>195</v>
      </c>
    </row>
    <row r="169" spans="1:19" x14ac:dyDescent="0.25">
      <c r="A169" s="5" t="s">
        <v>191</v>
      </c>
      <c r="B169" s="5" t="s">
        <v>24</v>
      </c>
      <c r="C169" s="5">
        <v>2</v>
      </c>
      <c r="D169" s="5" t="s">
        <v>17</v>
      </c>
      <c r="E169" s="5" t="s">
        <v>12</v>
      </c>
      <c r="F169" s="15">
        <v>0.85</v>
      </c>
      <c r="G169" s="15">
        <v>0.8</v>
      </c>
      <c r="H169" s="15">
        <v>0.87</v>
      </c>
      <c r="I169" s="15">
        <v>0.87</v>
      </c>
      <c r="J169" s="15">
        <v>0.87</v>
      </c>
      <c r="K169" s="15">
        <v>0.87</v>
      </c>
      <c r="L169" s="15">
        <v>0.9</v>
      </c>
      <c r="M169" s="15">
        <v>0.86</v>
      </c>
      <c r="N169" s="15">
        <v>0.95</v>
      </c>
      <c r="O169" s="15">
        <v>0.84</v>
      </c>
      <c r="P169" s="15">
        <v>0.83</v>
      </c>
      <c r="Q169" s="15">
        <v>0.93</v>
      </c>
      <c r="R169" s="15">
        <v>0.81</v>
      </c>
      <c r="S169" s="5" t="s">
        <v>194</v>
      </c>
    </row>
    <row r="170" spans="1:19" x14ac:dyDescent="0.25">
      <c r="A170" s="5" t="s">
        <v>262</v>
      </c>
      <c r="B170" s="5" t="s">
        <v>24</v>
      </c>
      <c r="C170" s="5">
        <v>11</v>
      </c>
      <c r="D170" s="5" t="s">
        <v>17</v>
      </c>
      <c r="E170" s="5" t="s">
        <v>12</v>
      </c>
      <c r="F170" s="32">
        <v>0.81</v>
      </c>
      <c r="G170" s="32">
        <v>0.81</v>
      </c>
      <c r="H170" s="15">
        <v>0.79800000000000004</v>
      </c>
      <c r="I170" s="15">
        <v>0.77500000000000002</v>
      </c>
      <c r="J170" s="15">
        <v>0.81</v>
      </c>
      <c r="K170" s="15">
        <v>0.77600000000000002</v>
      </c>
      <c r="L170" s="15">
        <v>0.91800000000000004</v>
      </c>
      <c r="M170" s="15">
        <v>0.80300000000000005</v>
      </c>
      <c r="N170" s="15">
        <v>0.76700000000000002</v>
      </c>
      <c r="O170" s="15">
        <v>0.82399999999999995</v>
      </c>
      <c r="P170" s="15">
        <v>0.80900000000000005</v>
      </c>
      <c r="Q170" s="15">
        <v>0.86199999999999999</v>
      </c>
      <c r="R170" s="15">
        <v>0.77800000000000002</v>
      </c>
      <c r="S170" s="5" t="s">
        <v>260</v>
      </c>
    </row>
    <row r="171" spans="1:19" x14ac:dyDescent="0.25">
      <c r="A171" s="5" t="s">
        <v>214</v>
      </c>
      <c r="B171" s="5" t="s">
        <v>24</v>
      </c>
      <c r="C171" s="5">
        <v>6</v>
      </c>
      <c r="D171" s="5" t="s">
        <v>17</v>
      </c>
      <c r="E171" s="5" t="s">
        <v>12</v>
      </c>
      <c r="F171" s="15">
        <v>0.84</v>
      </c>
      <c r="G171" s="15">
        <v>0.88</v>
      </c>
      <c r="H171" s="15">
        <v>0.88</v>
      </c>
      <c r="I171" s="15">
        <v>0.9</v>
      </c>
      <c r="J171" s="15">
        <v>0.92</v>
      </c>
      <c r="K171" s="15">
        <v>0.91</v>
      </c>
      <c r="L171" s="15">
        <v>0.89</v>
      </c>
      <c r="M171" s="15">
        <v>0.71</v>
      </c>
      <c r="N171" s="15">
        <v>0.92</v>
      </c>
      <c r="O171" s="32">
        <v>0.89200000000000002</v>
      </c>
      <c r="P171" s="15">
        <v>0.89</v>
      </c>
      <c r="Q171" s="15">
        <v>0.99</v>
      </c>
      <c r="R171" s="15">
        <v>0.92</v>
      </c>
      <c r="S171" s="5" t="s">
        <v>218</v>
      </c>
    </row>
    <row r="172" spans="1:19" x14ac:dyDescent="0.25">
      <c r="A172" s="5" t="s">
        <v>215</v>
      </c>
      <c r="B172" s="5" t="s">
        <v>24</v>
      </c>
      <c r="C172" s="5">
        <v>6</v>
      </c>
      <c r="D172" s="5" t="s">
        <v>17</v>
      </c>
      <c r="E172" s="5" t="s">
        <v>12</v>
      </c>
      <c r="F172" s="15">
        <v>0.79</v>
      </c>
      <c r="G172" s="32">
        <v>0.82799999999999996</v>
      </c>
      <c r="H172" s="15">
        <v>0.71</v>
      </c>
      <c r="I172" s="15">
        <v>0.89</v>
      </c>
      <c r="J172" s="15">
        <v>0.79</v>
      </c>
      <c r="K172" s="15">
        <v>0.86</v>
      </c>
      <c r="L172" s="15">
        <v>0.8</v>
      </c>
      <c r="M172" s="32">
        <v>0.82799999999999996</v>
      </c>
      <c r="N172" s="15">
        <v>0.93</v>
      </c>
      <c r="O172" s="32">
        <v>0.82799999999999996</v>
      </c>
      <c r="P172" s="15">
        <v>0.8</v>
      </c>
      <c r="Q172" s="15">
        <v>0.94</v>
      </c>
      <c r="R172" s="15">
        <v>0.73</v>
      </c>
      <c r="S172" s="5" t="s">
        <v>218</v>
      </c>
    </row>
    <row r="173" spans="1:19" x14ac:dyDescent="0.25">
      <c r="A173" s="5" t="s">
        <v>211</v>
      </c>
      <c r="B173" s="5" t="s">
        <v>24</v>
      </c>
      <c r="C173" s="5">
        <v>3</v>
      </c>
      <c r="D173" s="5" t="s">
        <v>238</v>
      </c>
      <c r="E173" s="5" t="s">
        <v>15</v>
      </c>
      <c r="F173" s="32">
        <v>0.92</v>
      </c>
      <c r="G173" s="32">
        <v>0.92</v>
      </c>
      <c r="H173" s="15">
        <v>0.93700000000000006</v>
      </c>
      <c r="I173" s="15">
        <v>0.88800000000000001</v>
      </c>
      <c r="J173" s="15">
        <v>0.89100000000000001</v>
      </c>
      <c r="K173" s="15">
        <v>0.95499999999999996</v>
      </c>
      <c r="L173" s="15">
        <v>0.92700000000000005</v>
      </c>
      <c r="M173" s="32">
        <v>0.92</v>
      </c>
      <c r="N173" s="15">
        <v>0.94399999999999995</v>
      </c>
      <c r="O173" s="32">
        <v>0.92</v>
      </c>
      <c r="P173" s="15">
        <v>0.89600000000000002</v>
      </c>
      <c r="Q173" s="32">
        <v>0.92</v>
      </c>
      <c r="R173" s="32">
        <v>0.92</v>
      </c>
      <c r="S173" s="5" t="s">
        <v>239</v>
      </c>
    </row>
    <row r="174" spans="1:19" x14ac:dyDescent="0.25">
      <c r="A174" s="5" t="s">
        <v>210</v>
      </c>
      <c r="B174" s="5" t="s">
        <v>24</v>
      </c>
      <c r="C174" s="5">
        <v>3</v>
      </c>
      <c r="D174" s="5" t="s">
        <v>238</v>
      </c>
      <c r="E174" s="5" t="s">
        <v>15</v>
      </c>
      <c r="F174" s="32">
        <v>0.89400000000000002</v>
      </c>
      <c r="G174" s="32">
        <v>0.89400000000000002</v>
      </c>
      <c r="H174" s="15">
        <v>0.96199999999999997</v>
      </c>
      <c r="I174" s="15">
        <v>0.85399999999999998</v>
      </c>
      <c r="J174" s="15">
        <v>0.876</v>
      </c>
      <c r="K174" s="15">
        <v>0.88900000000000001</v>
      </c>
      <c r="L174" s="15">
        <v>0.85899999999999999</v>
      </c>
      <c r="M174" s="32">
        <v>0.89400000000000002</v>
      </c>
      <c r="N174" s="15">
        <v>0.95599999999999996</v>
      </c>
      <c r="O174" s="32">
        <v>0.89400000000000002</v>
      </c>
      <c r="P174" s="15">
        <v>0.86599999999999999</v>
      </c>
      <c r="Q174" s="32">
        <v>0.89400000000000002</v>
      </c>
      <c r="R174" s="32">
        <v>0.89400000000000002</v>
      </c>
      <c r="S174" s="5" t="s">
        <v>239</v>
      </c>
    </row>
    <row r="175" spans="1:19" x14ac:dyDescent="0.25">
      <c r="A175" s="5" t="s">
        <v>237</v>
      </c>
      <c r="B175" s="5" t="s">
        <v>24</v>
      </c>
      <c r="C175" s="5">
        <v>3</v>
      </c>
      <c r="D175" s="5" t="s">
        <v>238</v>
      </c>
      <c r="E175" s="5" t="s">
        <v>15</v>
      </c>
      <c r="F175" s="32">
        <v>0.86299999999999999</v>
      </c>
      <c r="G175" s="32">
        <v>0.86299999999999999</v>
      </c>
      <c r="H175" s="15">
        <v>0.88700000000000001</v>
      </c>
      <c r="I175" s="15">
        <v>0.83499999999999996</v>
      </c>
      <c r="J175" s="15">
        <v>0.879</v>
      </c>
      <c r="K175" s="15">
        <v>0.88800000000000001</v>
      </c>
      <c r="L175" s="15">
        <v>0.79800000000000004</v>
      </c>
      <c r="M175" s="32">
        <v>0.86299999999999999</v>
      </c>
      <c r="N175" s="15">
        <v>0.93</v>
      </c>
      <c r="O175" s="32">
        <v>0.86299999999999999</v>
      </c>
      <c r="P175" s="15">
        <v>0.82099999999999995</v>
      </c>
      <c r="Q175" s="32">
        <v>0.86299999999999999</v>
      </c>
      <c r="R175" s="32">
        <v>0.86299999999999999</v>
      </c>
      <c r="S175" s="5" t="s">
        <v>239</v>
      </c>
    </row>
    <row r="176" spans="1:19" x14ac:dyDescent="0.25">
      <c r="A176" s="5" t="s">
        <v>261</v>
      </c>
      <c r="B176" s="5" t="s">
        <v>24</v>
      </c>
      <c r="C176" s="5">
        <v>11</v>
      </c>
      <c r="D176" s="5" t="s">
        <v>17</v>
      </c>
      <c r="E176" s="5" t="s">
        <v>12</v>
      </c>
      <c r="F176" s="32">
        <v>0.91800000000000004</v>
      </c>
      <c r="G176" s="32">
        <v>0.91800000000000004</v>
      </c>
      <c r="H176" s="15">
        <v>0.91900000000000004</v>
      </c>
      <c r="I176" s="15">
        <v>0.878</v>
      </c>
      <c r="J176" s="15">
        <v>0.91800000000000004</v>
      </c>
      <c r="K176" s="15">
        <v>0.91800000000000004</v>
      </c>
      <c r="L176" s="15">
        <v>0.98799999999999999</v>
      </c>
      <c r="M176" s="15">
        <v>0.87</v>
      </c>
      <c r="N176" s="15">
        <v>0.90600000000000003</v>
      </c>
      <c r="O176" s="15">
        <v>0.92600000000000005</v>
      </c>
      <c r="P176" s="15">
        <v>0.91</v>
      </c>
      <c r="Q176" s="15">
        <v>0.97299999999999998</v>
      </c>
      <c r="R176" s="15">
        <v>0.89600000000000002</v>
      </c>
      <c r="S176" s="5" t="s">
        <v>260</v>
      </c>
    </row>
    <row r="177" spans="1:20" x14ac:dyDescent="0.25">
      <c r="A177" s="5" t="s">
        <v>26</v>
      </c>
      <c r="B177" s="5" t="s">
        <v>24</v>
      </c>
      <c r="C177" s="5">
        <v>2</v>
      </c>
      <c r="D177" s="5" t="s">
        <v>17</v>
      </c>
      <c r="E177" s="5" t="s">
        <v>12</v>
      </c>
      <c r="F177" s="15">
        <v>0.85</v>
      </c>
      <c r="G177" s="15">
        <v>0.83</v>
      </c>
      <c r="H177" s="15">
        <v>0.9</v>
      </c>
      <c r="I177" s="15">
        <v>0.9</v>
      </c>
      <c r="J177" s="15">
        <v>0.9</v>
      </c>
      <c r="K177" s="15">
        <v>0.9</v>
      </c>
      <c r="L177" s="15">
        <v>0.9</v>
      </c>
      <c r="M177" s="15">
        <v>0.9</v>
      </c>
      <c r="N177" s="15">
        <v>0.9</v>
      </c>
      <c r="O177" s="15">
        <v>0.9</v>
      </c>
      <c r="P177" s="15">
        <v>0.9</v>
      </c>
      <c r="Q177" s="15">
        <v>0.9</v>
      </c>
      <c r="R177" s="15">
        <v>0.9</v>
      </c>
      <c r="S177" s="5" t="s">
        <v>209</v>
      </c>
    </row>
    <row r="178" spans="1:20" x14ac:dyDescent="0.25">
      <c r="A178" s="5" t="s">
        <v>276</v>
      </c>
      <c r="B178" s="5" t="s">
        <v>24</v>
      </c>
      <c r="C178" s="5">
        <v>15</v>
      </c>
      <c r="D178" s="5" t="s">
        <v>17</v>
      </c>
      <c r="E178" s="5" t="s">
        <v>12</v>
      </c>
      <c r="F178" s="15">
        <v>0.90200000000000002</v>
      </c>
      <c r="G178" s="32">
        <v>0.8115</v>
      </c>
      <c r="H178" s="15">
        <v>0.83199999999999996</v>
      </c>
      <c r="I178" s="15">
        <v>0.80300000000000005</v>
      </c>
      <c r="J178" s="15">
        <v>0.81</v>
      </c>
      <c r="K178" s="15">
        <v>0.83499999999999996</v>
      </c>
      <c r="L178" s="15">
        <v>0.83599999999999997</v>
      </c>
      <c r="M178" s="32">
        <v>0.8115</v>
      </c>
      <c r="N178" s="15">
        <v>0.80500000000000005</v>
      </c>
      <c r="O178" s="15">
        <v>0.78500000000000003</v>
      </c>
      <c r="P178" s="15">
        <v>0.80600000000000005</v>
      </c>
      <c r="Q178" s="15">
        <v>0.79500000000000004</v>
      </c>
      <c r="R178" s="15">
        <v>0.80800000000000005</v>
      </c>
    </row>
    <row r="179" spans="1:20" x14ac:dyDescent="0.25">
      <c r="A179" s="5" t="s">
        <v>277</v>
      </c>
      <c r="B179" s="5" t="s">
        <v>24</v>
      </c>
      <c r="C179" s="5">
        <v>15</v>
      </c>
      <c r="D179" s="5" t="s">
        <v>17</v>
      </c>
      <c r="E179" s="5" t="s">
        <v>12</v>
      </c>
      <c r="F179" s="15">
        <v>0.93200000000000005</v>
      </c>
      <c r="G179" s="32">
        <v>0.82679999999999998</v>
      </c>
      <c r="H179" s="15">
        <v>0.83799999999999997</v>
      </c>
      <c r="I179" s="15">
        <v>0.81899999999999995</v>
      </c>
      <c r="J179" s="15">
        <v>0.82099999999999995</v>
      </c>
      <c r="K179" s="15">
        <v>0.83699999999999997</v>
      </c>
      <c r="L179" s="15">
        <v>0.83799999999999997</v>
      </c>
      <c r="M179" s="32">
        <v>0.82679999999999998</v>
      </c>
      <c r="N179" s="15">
        <v>0.82099999999999995</v>
      </c>
      <c r="O179" s="15">
        <v>0.81299999999999994</v>
      </c>
      <c r="P179" s="15">
        <v>0.82099999999999995</v>
      </c>
      <c r="Q179" s="15">
        <v>0.83399999999999996</v>
      </c>
      <c r="R179" s="15">
        <v>0.82599999999999996</v>
      </c>
      <c r="S179" s="5" t="s">
        <v>275</v>
      </c>
    </row>
    <row r="180" spans="1:20" x14ac:dyDescent="0.25">
      <c r="A180" s="5" t="s">
        <v>278</v>
      </c>
      <c r="B180" s="5" t="s">
        <v>24</v>
      </c>
      <c r="C180" s="5">
        <v>15</v>
      </c>
      <c r="D180" s="5" t="s">
        <v>17</v>
      </c>
      <c r="E180" s="5" t="s">
        <v>12</v>
      </c>
      <c r="F180" s="15">
        <v>0.89</v>
      </c>
      <c r="G180" s="32">
        <v>0.8266</v>
      </c>
      <c r="H180" s="15">
        <v>0.82799999999999996</v>
      </c>
      <c r="I180" s="15">
        <v>0.82799999999999996</v>
      </c>
      <c r="J180" s="15">
        <v>0.82699999999999996</v>
      </c>
      <c r="K180" s="15">
        <v>0.82699999999999996</v>
      </c>
      <c r="L180" s="15">
        <v>0.83</v>
      </c>
      <c r="M180" s="32">
        <v>0.8266</v>
      </c>
      <c r="N180" s="15">
        <v>0.82599999999999996</v>
      </c>
      <c r="O180" s="15">
        <v>0.82399999999999995</v>
      </c>
      <c r="P180" s="15">
        <v>0.82699999999999996</v>
      </c>
      <c r="Q180" s="15">
        <v>0.82199999999999995</v>
      </c>
      <c r="R180" s="15">
        <v>0.82699999999999996</v>
      </c>
    </row>
    <row r="181" spans="1:20" x14ac:dyDescent="0.25">
      <c r="A181" s="5" t="s">
        <v>200</v>
      </c>
      <c r="B181" s="5" t="s">
        <v>24</v>
      </c>
      <c r="C181" s="5">
        <v>2</v>
      </c>
      <c r="D181" s="5" t="s">
        <v>17</v>
      </c>
      <c r="E181" s="5" t="s">
        <v>12</v>
      </c>
      <c r="F181" s="15">
        <v>0.81</v>
      </c>
      <c r="G181" s="15">
        <v>0.8</v>
      </c>
      <c r="H181" s="15">
        <v>0.82</v>
      </c>
      <c r="I181" s="15">
        <v>0.84</v>
      </c>
      <c r="J181" s="15">
        <v>0.85</v>
      </c>
      <c r="K181" s="15">
        <v>0.84</v>
      </c>
      <c r="L181" s="15">
        <v>0.86</v>
      </c>
      <c r="M181" s="15">
        <v>0.67</v>
      </c>
      <c r="N181" s="15">
        <v>0.85</v>
      </c>
      <c r="O181" s="15">
        <v>0.82</v>
      </c>
      <c r="P181" s="15">
        <v>0.83</v>
      </c>
      <c r="Q181" s="15">
        <v>0.86</v>
      </c>
      <c r="R181" s="15">
        <v>0.79</v>
      </c>
      <c r="S181" s="5" t="s">
        <v>201</v>
      </c>
    </row>
    <row r="182" spans="1:20" x14ac:dyDescent="0.25">
      <c r="A182" s="5" t="s">
        <v>202</v>
      </c>
      <c r="B182" s="5" t="s">
        <v>24</v>
      </c>
      <c r="C182" s="5">
        <v>2</v>
      </c>
      <c r="D182" s="5" t="s">
        <v>17</v>
      </c>
      <c r="E182" s="5" t="s">
        <v>12</v>
      </c>
      <c r="F182" s="15">
        <v>0.76500000000000001</v>
      </c>
      <c r="G182" s="15">
        <v>0.74</v>
      </c>
      <c r="H182" s="15">
        <v>0.77</v>
      </c>
      <c r="I182" s="15">
        <v>0.81</v>
      </c>
      <c r="J182" s="15">
        <v>0.8</v>
      </c>
      <c r="K182" s="15">
        <v>0.79</v>
      </c>
      <c r="L182" s="15">
        <v>0.81</v>
      </c>
      <c r="M182" s="15">
        <v>0.69</v>
      </c>
      <c r="N182" s="15">
        <v>0.8</v>
      </c>
      <c r="O182" s="15">
        <v>0.76</v>
      </c>
      <c r="P182" s="15">
        <v>0.75</v>
      </c>
      <c r="Q182" s="15">
        <v>0.86</v>
      </c>
      <c r="R182" s="15">
        <v>0.75</v>
      </c>
      <c r="S182" s="5" t="s">
        <v>203</v>
      </c>
    </row>
    <row r="183" spans="1:20" x14ac:dyDescent="0.25">
      <c r="A183" s="5" t="s">
        <v>204</v>
      </c>
      <c r="B183" s="5" t="s">
        <v>24</v>
      </c>
      <c r="C183" s="5">
        <v>2</v>
      </c>
      <c r="D183" s="5" t="s">
        <v>17</v>
      </c>
      <c r="E183" s="5" t="s">
        <v>12</v>
      </c>
      <c r="F183" s="15">
        <v>0.77</v>
      </c>
      <c r="G183" s="15">
        <v>0.7</v>
      </c>
      <c r="H183" s="15">
        <v>0.77</v>
      </c>
      <c r="I183" s="15">
        <v>0.83</v>
      </c>
      <c r="J183" s="15">
        <v>0.82</v>
      </c>
      <c r="K183" s="15">
        <v>0.8</v>
      </c>
      <c r="L183" s="15">
        <v>0.82</v>
      </c>
      <c r="M183" s="15">
        <v>0.67</v>
      </c>
      <c r="N183" s="15">
        <v>0.83</v>
      </c>
      <c r="O183" s="15">
        <v>0.82</v>
      </c>
      <c r="P183" s="15">
        <v>0.8</v>
      </c>
      <c r="Q183" s="15">
        <v>0.87</v>
      </c>
      <c r="R183" s="15">
        <v>0.68</v>
      </c>
      <c r="S183" s="5" t="s">
        <v>205</v>
      </c>
    </row>
    <row r="184" spans="1:20" x14ac:dyDescent="0.25">
      <c r="A184" s="5" t="s">
        <v>206</v>
      </c>
      <c r="B184" s="5" t="s">
        <v>24</v>
      </c>
      <c r="C184" s="5">
        <v>2</v>
      </c>
      <c r="D184" s="5" t="s">
        <v>17</v>
      </c>
      <c r="E184" s="5" t="s">
        <v>12</v>
      </c>
      <c r="F184" s="15">
        <v>0.88300000000000001</v>
      </c>
      <c r="G184" s="15">
        <v>0.7</v>
      </c>
      <c r="H184" s="15">
        <v>0.77</v>
      </c>
      <c r="I184" s="15">
        <v>0.83</v>
      </c>
      <c r="J184" s="15">
        <v>0.82</v>
      </c>
      <c r="K184" s="15">
        <v>0.8</v>
      </c>
      <c r="L184" s="15">
        <v>0.82</v>
      </c>
      <c r="M184" s="15">
        <v>0.67</v>
      </c>
      <c r="N184" s="15">
        <v>0.83</v>
      </c>
      <c r="O184" s="15">
        <v>0.82</v>
      </c>
      <c r="P184" s="15">
        <v>0.8</v>
      </c>
      <c r="Q184" s="15">
        <v>0.87</v>
      </c>
      <c r="R184" s="15">
        <v>0.68</v>
      </c>
      <c r="S184" s="5" t="s">
        <v>203</v>
      </c>
    </row>
    <row r="185" spans="1:20" x14ac:dyDescent="0.25">
      <c r="A185" s="5" t="s">
        <v>213</v>
      </c>
      <c r="B185" s="5" t="s">
        <v>24</v>
      </c>
      <c r="C185" s="5">
        <v>6</v>
      </c>
      <c r="D185" s="5" t="s">
        <v>17</v>
      </c>
      <c r="E185" s="5" t="s">
        <v>12</v>
      </c>
      <c r="F185" s="15">
        <v>0.81</v>
      </c>
      <c r="G185" s="15">
        <v>0.83</v>
      </c>
      <c r="H185" s="15">
        <v>0.72</v>
      </c>
      <c r="I185" s="15">
        <v>0.84</v>
      </c>
      <c r="J185" s="15">
        <v>0.85</v>
      </c>
      <c r="K185" s="15">
        <v>0.85</v>
      </c>
      <c r="L185" s="15">
        <v>0.72</v>
      </c>
      <c r="M185" s="15">
        <v>0.74</v>
      </c>
      <c r="N185" s="15">
        <v>0.88</v>
      </c>
      <c r="O185" s="32">
        <v>0.81599999999999995</v>
      </c>
      <c r="P185" s="15">
        <v>0.83</v>
      </c>
      <c r="Q185" s="15">
        <v>0.9</v>
      </c>
      <c r="R185" s="15">
        <v>0.82</v>
      </c>
      <c r="S185" s="5" t="s">
        <v>218</v>
      </c>
    </row>
    <row r="186" spans="1:20" x14ac:dyDescent="0.25">
      <c r="A186" s="5" t="s">
        <v>216</v>
      </c>
      <c r="B186" s="5" t="s">
        <v>24</v>
      </c>
      <c r="C186" s="5">
        <v>6</v>
      </c>
      <c r="D186" s="5" t="s">
        <v>17</v>
      </c>
      <c r="E186" s="5" t="s">
        <v>12</v>
      </c>
      <c r="F186" s="15">
        <v>0.79</v>
      </c>
      <c r="G186" s="15">
        <v>0.9</v>
      </c>
      <c r="H186" s="15">
        <v>0.83</v>
      </c>
      <c r="I186" s="15">
        <v>0.89</v>
      </c>
      <c r="J186" s="15">
        <v>0.92</v>
      </c>
      <c r="K186" s="15">
        <v>0.89</v>
      </c>
      <c r="L186" s="15">
        <v>0.9</v>
      </c>
      <c r="M186" s="15">
        <v>0.64</v>
      </c>
      <c r="N186" s="15">
        <v>0.91</v>
      </c>
      <c r="O186" s="32">
        <v>0.86799999999999999</v>
      </c>
      <c r="P186" s="15">
        <v>0.88</v>
      </c>
      <c r="Q186" s="15">
        <v>0.93</v>
      </c>
      <c r="R186" s="15">
        <v>0.86</v>
      </c>
      <c r="S186" s="5" t="s">
        <v>218</v>
      </c>
    </row>
    <row r="187" spans="1:20" x14ac:dyDescent="0.25">
      <c r="A187" s="5" t="s">
        <v>217</v>
      </c>
      <c r="B187" s="5" t="s">
        <v>24</v>
      </c>
      <c r="C187" s="5">
        <v>6</v>
      </c>
      <c r="D187" s="5" t="s">
        <v>17</v>
      </c>
      <c r="E187" s="5" t="s">
        <v>12</v>
      </c>
      <c r="F187" s="15">
        <v>0.91</v>
      </c>
      <c r="G187" s="15">
        <v>0.88</v>
      </c>
      <c r="H187" s="15">
        <v>0.91</v>
      </c>
      <c r="I187" s="15">
        <v>0.9</v>
      </c>
      <c r="J187" s="15">
        <v>0.93</v>
      </c>
      <c r="K187" s="15">
        <v>0.93</v>
      </c>
      <c r="L187" s="15">
        <v>0.94</v>
      </c>
      <c r="M187" s="15">
        <v>0.73</v>
      </c>
      <c r="N187" s="15">
        <v>0.92</v>
      </c>
      <c r="O187" s="32">
        <v>0.91</v>
      </c>
      <c r="P187" s="15">
        <v>0.9</v>
      </c>
      <c r="Q187" s="15">
        <v>1</v>
      </c>
      <c r="R187" s="15">
        <v>0.97</v>
      </c>
      <c r="S187" s="5" t="s">
        <v>218</v>
      </c>
    </row>
    <row r="188" spans="1:20" s="6" customFormat="1" x14ac:dyDescent="0.25">
      <c r="F188" s="16"/>
      <c r="G188" s="16"/>
      <c r="H188" s="16"/>
      <c r="I188" s="16"/>
      <c r="J188" s="16"/>
      <c r="K188" s="16"/>
      <c r="L188" s="16"/>
      <c r="M188" s="16"/>
      <c r="N188" s="16"/>
      <c r="O188" s="16"/>
      <c r="P188" s="16"/>
      <c r="Q188" s="16"/>
      <c r="R188" s="16"/>
      <c r="T188" s="10"/>
    </row>
    <row r="189" spans="1:20" s="4" customFormat="1" x14ac:dyDescent="0.25">
      <c r="A189" s="4" t="s">
        <v>281</v>
      </c>
      <c r="B189" s="5" t="s">
        <v>28</v>
      </c>
      <c r="C189" s="4">
        <v>1</v>
      </c>
      <c r="D189" s="4" t="s">
        <v>283</v>
      </c>
      <c r="E189" s="5" t="s">
        <v>12</v>
      </c>
      <c r="F189" s="14">
        <v>0.95</v>
      </c>
      <c r="G189" s="14">
        <v>0.97</v>
      </c>
      <c r="H189" s="14">
        <v>0.92</v>
      </c>
      <c r="I189" s="14">
        <v>0.96</v>
      </c>
      <c r="J189" s="14">
        <v>0.97</v>
      </c>
      <c r="K189" s="14">
        <v>0.97</v>
      </c>
      <c r="L189" s="14">
        <v>0.97</v>
      </c>
      <c r="M189" s="14">
        <v>0.9</v>
      </c>
      <c r="N189" s="14">
        <v>0.98</v>
      </c>
      <c r="O189" s="14">
        <v>0.98</v>
      </c>
      <c r="P189" s="14">
        <v>0.95</v>
      </c>
      <c r="Q189" s="14">
        <v>0.97</v>
      </c>
      <c r="R189" s="14">
        <v>0.97</v>
      </c>
      <c r="T189" s="10"/>
    </row>
    <row r="190" spans="1:20" x14ac:dyDescent="0.25">
      <c r="A190" s="5" t="s">
        <v>30</v>
      </c>
      <c r="B190" s="5" t="s">
        <v>28</v>
      </c>
      <c r="C190" s="5">
        <v>1</v>
      </c>
      <c r="D190" s="5" t="s">
        <v>31</v>
      </c>
      <c r="E190" s="5" t="s">
        <v>12</v>
      </c>
      <c r="F190" s="15">
        <v>0.93</v>
      </c>
      <c r="G190" s="15">
        <v>0.93</v>
      </c>
      <c r="H190" s="15">
        <v>0.91</v>
      </c>
      <c r="I190" s="15">
        <v>0.99</v>
      </c>
      <c r="J190" s="15">
        <v>0.99</v>
      </c>
      <c r="K190" s="15">
        <v>0.95</v>
      </c>
      <c r="L190" s="15">
        <v>1</v>
      </c>
      <c r="M190" s="15">
        <v>0.97</v>
      </c>
      <c r="N190" s="15">
        <v>0.98</v>
      </c>
      <c r="O190" s="15">
        <v>1</v>
      </c>
      <c r="P190" s="15">
        <v>0.98</v>
      </c>
      <c r="Q190" s="15">
        <v>0.98</v>
      </c>
      <c r="R190" s="15">
        <v>0.91</v>
      </c>
      <c r="S190" s="4"/>
    </row>
    <row r="191" spans="1:20" x14ac:dyDescent="0.25">
      <c r="A191" s="5" t="s">
        <v>282</v>
      </c>
      <c r="B191" s="5" t="s">
        <v>28</v>
      </c>
      <c r="C191" s="5">
        <v>1</v>
      </c>
      <c r="D191" s="5" t="s">
        <v>283</v>
      </c>
      <c r="E191" s="5" t="s">
        <v>12</v>
      </c>
      <c r="F191" s="15">
        <v>0.89</v>
      </c>
      <c r="G191" s="15">
        <v>0.84</v>
      </c>
      <c r="H191" s="15">
        <v>0.88</v>
      </c>
      <c r="I191" s="15">
        <v>0.87</v>
      </c>
      <c r="J191" s="15">
        <v>0.88</v>
      </c>
      <c r="K191" s="15">
        <v>0.9</v>
      </c>
      <c r="L191" s="15">
        <v>0.89</v>
      </c>
      <c r="M191" s="15">
        <v>0.89</v>
      </c>
      <c r="N191" s="15">
        <v>0.89</v>
      </c>
      <c r="O191" s="15">
        <v>0.9</v>
      </c>
      <c r="P191" s="15">
        <v>0.88</v>
      </c>
      <c r="Q191" s="15">
        <v>0.87</v>
      </c>
      <c r="R191" s="15">
        <v>0.9</v>
      </c>
      <c r="S191" s="4"/>
    </row>
    <row r="192" spans="1:20" x14ac:dyDescent="0.25">
      <c r="A192" s="5" t="s">
        <v>29</v>
      </c>
      <c r="B192" s="5" t="s">
        <v>28</v>
      </c>
      <c r="C192" s="5">
        <v>1</v>
      </c>
      <c r="D192" s="5" t="s">
        <v>283</v>
      </c>
      <c r="E192" s="5" t="s">
        <v>12</v>
      </c>
      <c r="F192" s="15">
        <v>0.88</v>
      </c>
      <c r="G192" s="15">
        <v>0.85</v>
      </c>
      <c r="H192" s="15">
        <v>0.88</v>
      </c>
      <c r="I192" s="15">
        <v>0.88</v>
      </c>
      <c r="J192" s="15">
        <v>0.88</v>
      </c>
      <c r="K192" s="15">
        <v>0.9</v>
      </c>
      <c r="L192" s="15">
        <v>0.92</v>
      </c>
      <c r="M192" s="15">
        <v>0.89</v>
      </c>
      <c r="N192" s="15">
        <v>0.87</v>
      </c>
      <c r="O192" s="15">
        <v>0.89</v>
      </c>
      <c r="P192" s="15">
        <v>0.88</v>
      </c>
      <c r="Q192" s="15">
        <v>0.88</v>
      </c>
      <c r="R192" s="15">
        <v>0.89</v>
      </c>
    </row>
    <row r="193" spans="1:20" x14ac:dyDescent="0.25">
      <c r="A193" s="5" t="s">
        <v>284</v>
      </c>
      <c r="B193" s="5" t="s">
        <v>28</v>
      </c>
      <c r="C193" s="5">
        <v>1</v>
      </c>
      <c r="D193" s="5" t="s">
        <v>283</v>
      </c>
      <c r="E193" s="5" t="s">
        <v>12</v>
      </c>
      <c r="F193" s="15">
        <v>0.88</v>
      </c>
      <c r="G193" s="15">
        <v>0.85</v>
      </c>
      <c r="H193" s="15">
        <v>0.88</v>
      </c>
      <c r="I193" s="15">
        <v>0.88</v>
      </c>
      <c r="J193" s="15">
        <v>0.88</v>
      </c>
      <c r="K193" s="15">
        <v>0.91</v>
      </c>
      <c r="L193" s="15">
        <v>0.89</v>
      </c>
      <c r="M193" s="15">
        <v>0.91</v>
      </c>
      <c r="N193" s="15">
        <v>0.88</v>
      </c>
      <c r="O193" s="15">
        <v>0.88</v>
      </c>
      <c r="P193" s="15">
        <v>0.89</v>
      </c>
      <c r="Q193" s="15">
        <v>0.87</v>
      </c>
      <c r="R193" s="15">
        <v>0.87</v>
      </c>
    </row>
    <row r="194" spans="1:20" s="4" customFormat="1" x14ac:dyDescent="0.25">
      <c r="A194" s="4" t="s">
        <v>116</v>
      </c>
      <c r="B194" s="5" t="s">
        <v>28</v>
      </c>
      <c r="C194" s="4">
        <v>2</v>
      </c>
      <c r="D194" s="4" t="s">
        <v>17</v>
      </c>
      <c r="E194" s="4" t="s">
        <v>12</v>
      </c>
      <c r="F194" s="14">
        <v>0.89</v>
      </c>
      <c r="G194" s="14">
        <v>0.97</v>
      </c>
      <c r="H194" s="14">
        <v>0.91</v>
      </c>
      <c r="I194" s="14">
        <v>0.88</v>
      </c>
      <c r="J194" s="14">
        <v>0.96</v>
      </c>
      <c r="K194" s="14">
        <v>0.97</v>
      </c>
      <c r="L194" s="14">
        <v>0.97</v>
      </c>
      <c r="M194" s="14">
        <v>0.84</v>
      </c>
      <c r="N194" s="14">
        <v>0.98</v>
      </c>
      <c r="O194" s="14">
        <v>0.97</v>
      </c>
      <c r="P194" s="14">
        <v>0.89</v>
      </c>
      <c r="Q194" s="14">
        <v>0.96</v>
      </c>
      <c r="R194" s="14">
        <v>0.95</v>
      </c>
      <c r="T194" s="10"/>
    </row>
    <row r="195" spans="1:20" x14ac:dyDescent="0.25">
      <c r="A195" s="5" t="s">
        <v>27</v>
      </c>
      <c r="B195" s="5" t="s">
        <v>28</v>
      </c>
      <c r="C195" s="5">
        <v>1</v>
      </c>
      <c r="D195" s="5" t="s">
        <v>11</v>
      </c>
      <c r="E195" s="5" t="s">
        <v>12</v>
      </c>
      <c r="F195" s="15">
        <v>0.88</v>
      </c>
      <c r="G195" s="15">
        <v>0.89</v>
      </c>
      <c r="H195" s="15">
        <v>0.9</v>
      </c>
      <c r="I195" s="15">
        <v>0.87</v>
      </c>
      <c r="J195" s="15">
        <v>0.95</v>
      </c>
      <c r="K195" s="15">
        <v>0.96</v>
      </c>
      <c r="L195" s="15">
        <v>0.96</v>
      </c>
      <c r="M195" s="15">
        <v>0.85</v>
      </c>
      <c r="N195" s="15">
        <v>0.97</v>
      </c>
      <c r="O195" s="15">
        <v>0.95</v>
      </c>
      <c r="P195" s="15">
        <v>0.88</v>
      </c>
      <c r="Q195" s="15">
        <v>0.95</v>
      </c>
      <c r="R195" s="15">
        <v>0.94</v>
      </c>
    </row>
    <row r="196" spans="1:20" x14ac:dyDescent="0.25">
      <c r="A196" s="5" t="s">
        <v>287</v>
      </c>
      <c r="B196" s="5" t="s">
        <v>28</v>
      </c>
      <c r="C196" s="5">
        <v>1</v>
      </c>
      <c r="D196" s="5" t="s">
        <v>11</v>
      </c>
      <c r="E196" s="5" t="s">
        <v>12</v>
      </c>
      <c r="F196" s="15">
        <v>0.89</v>
      </c>
      <c r="G196" s="15">
        <v>0.89</v>
      </c>
      <c r="H196" s="15">
        <v>0.84</v>
      </c>
      <c r="I196" s="15">
        <v>0.9</v>
      </c>
      <c r="J196" s="15">
        <v>0.92</v>
      </c>
      <c r="K196" s="15">
        <v>0.93</v>
      </c>
      <c r="L196" s="15">
        <v>0.87</v>
      </c>
      <c r="M196" s="15">
        <v>0.84</v>
      </c>
      <c r="N196" s="15">
        <v>0.91</v>
      </c>
      <c r="O196" s="15">
        <v>0.87</v>
      </c>
      <c r="P196" s="15">
        <v>0.89</v>
      </c>
      <c r="Q196" s="15">
        <v>0.93</v>
      </c>
      <c r="R196" s="15">
        <v>0.94</v>
      </c>
    </row>
    <row r="197" spans="1:20" s="4" customFormat="1" x14ac:dyDescent="0.25">
      <c r="A197" s="4" t="s">
        <v>117</v>
      </c>
      <c r="B197" s="5" t="s">
        <v>28</v>
      </c>
      <c r="C197" s="4">
        <v>2</v>
      </c>
      <c r="D197" s="4" t="s">
        <v>17</v>
      </c>
      <c r="E197" s="4" t="s">
        <v>12</v>
      </c>
      <c r="F197" s="14">
        <v>0.9</v>
      </c>
      <c r="G197" s="14">
        <v>0.97</v>
      </c>
      <c r="H197" s="14">
        <v>0.94</v>
      </c>
      <c r="I197" s="14">
        <v>0.89</v>
      </c>
      <c r="J197" s="14">
        <v>0.97</v>
      </c>
      <c r="K197" s="14">
        <v>0.89</v>
      </c>
      <c r="L197" s="14">
        <v>0.96</v>
      </c>
      <c r="M197" s="14">
        <v>0.95</v>
      </c>
      <c r="N197" s="14">
        <v>0.98</v>
      </c>
      <c r="O197" s="14">
        <v>0.98</v>
      </c>
      <c r="P197" s="14">
        <v>0.92</v>
      </c>
      <c r="Q197" s="14">
        <v>0.88</v>
      </c>
      <c r="R197" s="14">
        <v>0.97</v>
      </c>
      <c r="T197" s="10"/>
    </row>
    <row r="198" spans="1:20" s="4" customFormat="1" x14ac:dyDescent="0.25">
      <c r="A198" s="4" t="s">
        <v>111</v>
      </c>
      <c r="B198" s="5" t="s">
        <v>28</v>
      </c>
      <c r="C198" s="4">
        <v>2</v>
      </c>
      <c r="D198" s="4" t="s">
        <v>17</v>
      </c>
      <c r="E198" s="4" t="s">
        <v>12</v>
      </c>
      <c r="F198" s="14">
        <v>0.81</v>
      </c>
      <c r="G198" s="14">
        <v>0.87</v>
      </c>
      <c r="H198" s="14">
        <v>0.85</v>
      </c>
      <c r="I198" s="14">
        <v>0.88</v>
      </c>
      <c r="J198" s="14">
        <v>0.91</v>
      </c>
      <c r="K198" s="14">
        <v>0.89</v>
      </c>
      <c r="L198" s="14">
        <v>0.92</v>
      </c>
      <c r="M198" s="14">
        <v>0.88</v>
      </c>
      <c r="N198" s="14">
        <v>0.9</v>
      </c>
      <c r="O198" s="14">
        <v>0.9</v>
      </c>
      <c r="P198" s="14">
        <v>0.87</v>
      </c>
      <c r="Q198" s="14">
        <v>0.88</v>
      </c>
      <c r="R198" s="14">
        <v>0.91</v>
      </c>
      <c r="S198" s="4" t="s">
        <v>118</v>
      </c>
      <c r="T198" s="10"/>
    </row>
    <row r="199" spans="1:20" s="4" customFormat="1" x14ac:dyDescent="0.25">
      <c r="A199" s="4" t="s">
        <v>112</v>
      </c>
      <c r="B199" s="5" t="s">
        <v>28</v>
      </c>
      <c r="C199" s="4">
        <v>2</v>
      </c>
      <c r="D199" s="4" t="s">
        <v>17</v>
      </c>
      <c r="E199" s="4" t="s">
        <v>12</v>
      </c>
      <c r="F199" s="14">
        <v>0.81</v>
      </c>
      <c r="G199" s="14">
        <v>0.87</v>
      </c>
      <c r="H199" s="14">
        <v>0.85</v>
      </c>
      <c r="I199" s="14">
        <v>0.88</v>
      </c>
      <c r="J199" s="14">
        <v>0.91</v>
      </c>
      <c r="K199" s="14">
        <v>0.89</v>
      </c>
      <c r="L199" s="14">
        <v>0.92</v>
      </c>
      <c r="M199" s="14">
        <v>0.88</v>
      </c>
      <c r="N199" s="14">
        <v>0.9</v>
      </c>
      <c r="O199" s="14">
        <v>0.9</v>
      </c>
      <c r="P199" s="14">
        <v>0.87</v>
      </c>
      <c r="Q199" s="14">
        <v>0.88</v>
      </c>
      <c r="R199" s="14">
        <v>0.91</v>
      </c>
      <c r="S199" s="4" t="s">
        <v>119</v>
      </c>
      <c r="T199" s="10"/>
    </row>
    <row r="200" spans="1:20" s="4" customFormat="1" x14ac:dyDescent="0.25">
      <c r="A200" s="4" t="s">
        <v>113</v>
      </c>
      <c r="B200" s="5" t="s">
        <v>28</v>
      </c>
      <c r="C200" s="4">
        <v>2</v>
      </c>
      <c r="D200" s="4" t="s">
        <v>17</v>
      </c>
      <c r="E200" s="4" t="s">
        <v>12</v>
      </c>
      <c r="F200" s="14">
        <v>0.81</v>
      </c>
      <c r="G200" s="14">
        <v>0.87</v>
      </c>
      <c r="H200" s="14">
        <v>0.85</v>
      </c>
      <c r="I200" s="14">
        <v>0.88</v>
      </c>
      <c r="J200" s="14">
        <v>0.91</v>
      </c>
      <c r="K200" s="14">
        <v>0.89</v>
      </c>
      <c r="L200" s="14">
        <v>0.92</v>
      </c>
      <c r="M200" s="14">
        <v>0.88</v>
      </c>
      <c r="N200" s="14">
        <v>0.9</v>
      </c>
      <c r="O200" s="14">
        <v>0.9</v>
      </c>
      <c r="P200" s="14">
        <v>0.87</v>
      </c>
      <c r="Q200" s="14">
        <v>0.88</v>
      </c>
      <c r="R200" s="14">
        <v>0.91</v>
      </c>
      <c r="S200" s="4" t="s">
        <v>120</v>
      </c>
      <c r="T200" s="10"/>
    </row>
    <row r="201" spans="1:20" s="4" customFormat="1" x14ac:dyDescent="0.25">
      <c r="A201" s="4" t="s">
        <v>114</v>
      </c>
      <c r="B201" s="5" t="s">
        <v>28</v>
      </c>
      <c r="C201" s="4">
        <v>2</v>
      </c>
      <c r="D201" s="4" t="s">
        <v>17</v>
      </c>
      <c r="E201" s="4" t="s">
        <v>12</v>
      </c>
      <c r="F201" s="14">
        <v>0.81</v>
      </c>
      <c r="G201" s="14">
        <v>0.87</v>
      </c>
      <c r="H201" s="14">
        <v>0.85</v>
      </c>
      <c r="I201" s="14">
        <v>0.88</v>
      </c>
      <c r="J201" s="14">
        <v>0.91</v>
      </c>
      <c r="K201" s="14">
        <v>0.89</v>
      </c>
      <c r="L201" s="14">
        <v>0.92</v>
      </c>
      <c r="M201" s="14">
        <v>0.88</v>
      </c>
      <c r="N201" s="14">
        <v>0.9</v>
      </c>
      <c r="O201" s="14">
        <v>0.9</v>
      </c>
      <c r="P201" s="14">
        <v>0.87</v>
      </c>
      <c r="Q201" s="14">
        <v>0.88</v>
      </c>
      <c r="R201" s="14">
        <v>0.91</v>
      </c>
      <c r="S201" s="4" t="s">
        <v>121</v>
      </c>
      <c r="T201" s="10"/>
    </row>
    <row r="202" spans="1:20" s="4" customFormat="1" x14ac:dyDescent="0.25">
      <c r="A202" s="4" t="s">
        <v>115</v>
      </c>
      <c r="B202" s="5" t="s">
        <v>28</v>
      </c>
      <c r="C202" s="4">
        <v>2</v>
      </c>
      <c r="D202" s="4" t="s">
        <v>17</v>
      </c>
      <c r="E202" s="4" t="s">
        <v>12</v>
      </c>
      <c r="F202" s="14">
        <v>0.81</v>
      </c>
      <c r="G202" s="14">
        <v>0.87</v>
      </c>
      <c r="H202" s="14">
        <v>0.85</v>
      </c>
      <c r="I202" s="14">
        <v>0.88</v>
      </c>
      <c r="J202" s="14">
        <v>0.91</v>
      </c>
      <c r="K202" s="14">
        <v>0.89</v>
      </c>
      <c r="L202" s="14">
        <v>0.92</v>
      </c>
      <c r="M202" s="14">
        <v>0.88</v>
      </c>
      <c r="N202" s="14">
        <v>0.9</v>
      </c>
      <c r="O202" s="14">
        <v>0.9</v>
      </c>
      <c r="P202" s="14">
        <v>0.87</v>
      </c>
      <c r="Q202" s="14">
        <v>0.88</v>
      </c>
      <c r="R202" s="14">
        <v>0.91</v>
      </c>
      <c r="S202" s="4" t="s">
        <v>122</v>
      </c>
      <c r="T202" s="10"/>
    </row>
    <row r="203" spans="1:20" s="4" customFormat="1" x14ac:dyDescent="0.25">
      <c r="A203" s="4" t="s">
        <v>258</v>
      </c>
      <c r="B203" s="5" t="s">
        <v>28</v>
      </c>
      <c r="C203" s="4">
        <v>10</v>
      </c>
      <c r="D203" s="4" t="s">
        <v>16</v>
      </c>
      <c r="E203" s="4" t="s">
        <v>240</v>
      </c>
      <c r="F203" s="14">
        <v>0.91200000000000003</v>
      </c>
      <c r="G203" s="14">
        <v>0.89600000000000002</v>
      </c>
      <c r="H203" s="14">
        <v>0.874</v>
      </c>
      <c r="I203" s="14">
        <v>0.96599999999999997</v>
      </c>
      <c r="J203" s="14">
        <v>0.97399999999999998</v>
      </c>
      <c r="K203" s="14">
        <v>0.96799999999999997</v>
      </c>
      <c r="L203" s="14">
        <v>0.98399999999999999</v>
      </c>
      <c r="M203" s="14">
        <v>0.94099999999999995</v>
      </c>
      <c r="N203" s="14">
        <v>0.95099999999999996</v>
      </c>
      <c r="O203" s="14">
        <v>0.94199999999999995</v>
      </c>
      <c r="P203" s="14">
        <v>0.92500000000000004</v>
      </c>
      <c r="Q203" s="14">
        <v>0.94599999999999995</v>
      </c>
      <c r="R203" s="14">
        <v>0.95499999999999996</v>
      </c>
      <c r="S203" s="4" t="s">
        <v>256</v>
      </c>
      <c r="T203" s="10"/>
    </row>
    <row r="204" spans="1:20" s="6" customFormat="1" x14ac:dyDescent="0.25">
      <c r="F204" s="16"/>
      <c r="G204" s="16"/>
      <c r="H204" s="16"/>
      <c r="I204" s="16"/>
      <c r="J204" s="16"/>
      <c r="K204" s="16"/>
      <c r="L204" s="16"/>
      <c r="M204" s="16"/>
      <c r="N204" s="16"/>
      <c r="O204" s="16"/>
      <c r="P204" s="16"/>
      <c r="Q204" s="16"/>
      <c r="R204" s="16"/>
      <c r="T204" s="10"/>
    </row>
    <row r="205" spans="1:20" x14ac:dyDescent="0.25">
      <c r="A205" s="5" t="s">
        <v>159</v>
      </c>
      <c r="B205" s="5" t="s">
        <v>297</v>
      </c>
      <c r="C205" s="5">
        <v>2</v>
      </c>
      <c r="D205" s="5" t="s">
        <v>17</v>
      </c>
      <c r="E205" s="5" t="s">
        <v>12</v>
      </c>
      <c r="F205" s="15">
        <v>0.71899999999999997</v>
      </c>
      <c r="G205" s="15">
        <v>0.62</v>
      </c>
      <c r="H205" s="15">
        <v>0.6</v>
      </c>
      <c r="I205" s="15">
        <v>0.7</v>
      </c>
      <c r="J205" s="15">
        <v>0.71</v>
      </c>
      <c r="K205" s="15">
        <v>0.57999999999999996</v>
      </c>
      <c r="L205" s="15">
        <v>0.74</v>
      </c>
      <c r="M205" s="15">
        <v>0.55000000000000004</v>
      </c>
      <c r="N205" s="15">
        <v>0.74</v>
      </c>
      <c r="O205" s="15">
        <v>0.7</v>
      </c>
      <c r="P205" s="15">
        <v>0.66</v>
      </c>
      <c r="Q205" s="15">
        <v>0.8</v>
      </c>
      <c r="R205" s="15">
        <v>0.69</v>
      </c>
      <c r="S205" s="5" t="s">
        <v>160</v>
      </c>
    </row>
    <row r="206" spans="1:20" x14ac:dyDescent="0.25">
      <c r="A206" s="5" t="s">
        <v>161</v>
      </c>
      <c r="B206" s="5" t="s">
        <v>297</v>
      </c>
      <c r="C206" s="5">
        <v>2</v>
      </c>
      <c r="D206" s="5" t="s">
        <v>17</v>
      </c>
      <c r="E206" s="5" t="s">
        <v>12</v>
      </c>
      <c r="F206" s="15">
        <v>0.79200000000000004</v>
      </c>
      <c r="G206" s="15">
        <v>0.84</v>
      </c>
      <c r="H206" s="15">
        <v>0.83</v>
      </c>
      <c r="I206" s="15">
        <v>0.85</v>
      </c>
      <c r="J206" s="15">
        <v>0.87</v>
      </c>
      <c r="K206" s="15">
        <v>0.85</v>
      </c>
      <c r="L206" s="15">
        <v>0.88</v>
      </c>
      <c r="M206" s="15">
        <v>0.83</v>
      </c>
      <c r="N206" s="15">
        <v>0.88</v>
      </c>
      <c r="O206" s="15">
        <v>0.87</v>
      </c>
      <c r="P206" s="15">
        <v>0.85</v>
      </c>
      <c r="Q206" s="15">
        <v>0.91</v>
      </c>
      <c r="R206" s="15">
        <v>0.87</v>
      </c>
      <c r="S206" s="5" t="s">
        <v>162</v>
      </c>
    </row>
    <row r="207" spans="1:20" x14ac:dyDescent="0.25">
      <c r="A207" s="5" t="s">
        <v>163</v>
      </c>
      <c r="B207" s="5" t="s">
        <v>297</v>
      </c>
      <c r="C207" s="5">
        <v>2</v>
      </c>
      <c r="D207" s="5" t="s">
        <v>17</v>
      </c>
      <c r="E207" s="5" t="s">
        <v>12</v>
      </c>
      <c r="F207" s="15">
        <v>0.85</v>
      </c>
      <c r="G207" s="15">
        <v>0.78</v>
      </c>
      <c r="H207" s="15">
        <v>0.77</v>
      </c>
      <c r="I207" s="15">
        <v>0.81</v>
      </c>
      <c r="J207" s="15">
        <v>0.83</v>
      </c>
      <c r="K207" s="15">
        <v>0.78</v>
      </c>
      <c r="L207" s="15">
        <v>0.84</v>
      </c>
      <c r="M207" s="15">
        <v>0.76</v>
      </c>
      <c r="N207" s="15">
        <v>0.84</v>
      </c>
      <c r="O207" s="15">
        <v>0.83</v>
      </c>
      <c r="P207" s="15">
        <v>0.8</v>
      </c>
      <c r="Q207" s="15">
        <v>0.88</v>
      </c>
      <c r="R207" s="15">
        <v>0.82</v>
      </c>
      <c r="S207" s="5" t="s">
        <v>164</v>
      </c>
    </row>
    <row r="208" spans="1:20" x14ac:dyDescent="0.25">
      <c r="A208" s="5" t="s">
        <v>165</v>
      </c>
      <c r="B208" s="5" t="s">
        <v>297</v>
      </c>
      <c r="C208" s="5">
        <v>2</v>
      </c>
      <c r="D208" s="5" t="s">
        <v>17</v>
      </c>
      <c r="E208" s="5" t="s">
        <v>12</v>
      </c>
      <c r="F208" s="15">
        <v>0.93600000000000005</v>
      </c>
      <c r="G208" s="15">
        <v>0.79</v>
      </c>
      <c r="H208" s="15">
        <v>0.78</v>
      </c>
      <c r="I208" s="15">
        <v>0.82</v>
      </c>
      <c r="J208" s="15">
        <v>0.84</v>
      </c>
      <c r="K208" s="15">
        <v>0.79</v>
      </c>
      <c r="L208" s="15">
        <v>0.85</v>
      </c>
      <c r="M208" s="15">
        <v>0.77</v>
      </c>
      <c r="N208" s="15">
        <v>0.85</v>
      </c>
      <c r="O208" s="15">
        <v>0.83</v>
      </c>
      <c r="P208" s="15">
        <v>0.81</v>
      </c>
      <c r="Q208" s="15">
        <v>0.89</v>
      </c>
      <c r="R208" s="15">
        <v>0.83</v>
      </c>
      <c r="S208" s="5" t="s">
        <v>166</v>
      </c>
    </row>
    <row r="209" spans="1:20" x14ac:dyDescent="0.25">
      <c r="A209" s="5" t="s">
        <v>167</v>
      </c>
      <c r="B209" s="5" t="s">
        <v>297</v>
      </c>
      <c r="C209" s="5">
        <v>2</v>
      </c>
      <c r="D209" s="5" t="s">
        <v>17</v>
      </c>
      <c r="E209" s="5" t="s">
        <v>12</v>
      </c>
      <c r="F209" s="15">
        <v>0.61799999999999999</v>
      </c>
      <c r="G209" s="15">
        <v>0.59</v>
      </c>
      <c r="H209" s="15">
        <v>0.56999999999999995</v>
      </c>
      <c r="I209" s="15">
        <v>0.68</v>
      </c>
      <c r="J209" s="15">
        <v>0.69</v>
      </c>
      <c r="K209" s="15">
        <v>0.55000000000000004</v>
      </c>
      <c r="L209" s="15">
        <v>0.72</v>
      </c>
      <c r="M209" s="15">
        <v>0.51</v>
      </c>
      <c r="N209" s="15">
        <v>0.72</v>
      </c>
      <c r="O209" s="15">
        <v>0.68</v>
      </c>
      <c r="P209" s="15">
        <v>0.64</v>
      </c>
      <c r="Q209" s="15">
        <v>0.79</v>
      </c>
      <c r="R209" s="15">
        <v>0.66</v>
      </c>
      <c r="S209" s="5" t="s">
        <v>168</v>
      </c>
    </row>
    <row r="210" spans="1:20" x14ac:dyDescent="0.25">
      <c r="A210" s="5" t="s">
        <v>169</v>
      </c>
      <c r="B210" s="5" t="s">
        <v>297</v>
      </c>
      <c r="C210" s="5">
        <v>2</v>
      </c>
      <c r="D210" s="5" t="s">
        <v>17</v>
      </c>
      <c r="E210" s="5" t="s">
        <v>12</v>
      </c>
      <c r="F210" s="15">
        <v>0.628</v>
      </c>
      <c r="G210" s="15">
        <v>0.63</v>
      </c>
      <c r="H210" s="15">
        <v>0.62</v>
      </c>
      <c r="I210" s="15">
        <v>0.71</v>
      </c>
      <c r="J210" s="15">
        <v>0.73</v>
      </c>
      <c r="K210" s="15">
        <v>0.6</v>
      </c>
      <c r="L210" s="15">
        <v>0.75</v>
      </c>
      <c r="M210" s="15">
        <v>0.56999999999999995</v>
      </c>
      <c r="N210" s="15">
        <v>0.75</v>
      </c>
      <c r="O210" s="15">
        <v>0.72</v>
      </c>
      <c r="P210" s="15">
        <v>0.68</v>
      </c>
      <c r="Q210" s="15">
        <v>0.81</v>
      </c>
      <c r="R210" s="15">
        <v>0.7</v>
      </c>
      <c r="S210" s="5" t="s">
        <v>170</v>
      </c>
    </row>
    <row r="211" spans="1:20" x14ac:dyDescent="0.25">
      <c r="A211" s="5" t="s">
        <v>171</v>
      </c>
      <c r="B211" s="5" t="s">
        <v>297</v>
      </c>
      <c r="C211" s="5">
        <v>2</v>
      </c>
      <c r="D211" s="5" t="s">
        <v>17</v>
      </c>
      <c r="E211" s="5" t="s">
        <v>12</v>
      </c>
      <c r="F211" s="15">
        <v>0.52400000000000002</v>
      </c>
      <c r="G211" s="15">
        <v>0.54</v>
      </c>
      <c r="H211" s="15">
        <v>0.53</v>
      </c>
      <c r="I211" s="15">
        <v>0.65</v>
      </c>
      <c r="J211" s="15">
        <v>0.66</v>
      </c>
      <c r="K211" s="15">
        <v>0.49</v>
      </c>
      <c r="L211" s="15">
        <v>0.7</v>
      </c>
      <c r="M211" s="15">
        <v>0.45</v>
      </c>
      <c r="N211" s="15">
        <v>0.7</v>
      </c>
      <c r="O211" s="15">
        <v>0.65</v>
      </c>
      <c r="P211" s="15">
        <v>0.6</v>
      </c>
      <c r="Q211" s="15">
        <v>0.77</v>
      </c>
      <c r="R211" s="15">
        <v>0.62</v>
      </c>
      <c r="S211" s="5" t="s">
        <v>172</v>
      </c>
    </row>
    <row r="212" spans="1:20" x14ac:dyDescent="0.25">
      <c r="A212" s="5" t="s">
        <v>173</v>
      </c>
      <c r="B212" s="5" t="s">
        <v>297</v>
      </c>
      <c r="C212" s="5">
        <v>2</v>
      </c>
      <c r="D212" s="5" t="s">
        <v>17</v>
      </c>
      <c r="E212" s="5" t="s">
        <v>12</v>
      </c>
      <c r="F212" s="15">
        <v>0.47899999999999998</v>
      </c>
      <c r="G212" s="15">
        <v>0.61</v>
      </c>
      <c r="H212" s="15">
        <v>0.6</v>
      </c>
      <c r="I212" s="15">
        <v>0.7</v>
      </c>
      <c r="J212" s="15">
        <v>0.71</v>
      </c>
      <c r="K212" s="15">
        <v>0.57999999999999996</v>
      </c>
      <c r="L212" s="15">
        <v>0.74</v>
      </c>
      <c r="M212" s="15">
        <v>0.54</v>
      </c>
      <c r="N212" s="15">
        <v>0.74</v>
      </c>
      <c r="O212" s="15">
        <v>0.7</v>
      </c>
      <c r="P212" s="15">
        <v>0.66</v>
      </c>
      <c r="Q212" s="15">
        <v>0.8</v>
      </c>
      <c r="R212" s="15">
        <v>0.68</v>
      </c>
      <c r="S212" s="5" t="s">
        <v>174</v>
      </c>
    </row>
    <row r="213" spans="1:20" s="6" customFormat="1" x14ac:dyDescent="0.25">
      <c r="F213" s="16"/>
      <c r="G213" s="16"/>
      <c r="H213" s="16"/>
      <c r="I213" s="16"/>
      <c r="J213" s="16"/>
      <c r="K213" s="16"/>
      <c r="L213" s="16"/>
      <c r="M213" s="16"/>
      <c r="N213" s="16"/>
      <c r="O213" s="16"/>
      <c r="P213" s="16"/>
      <c r="Q213" s="16"/>
      <c r="R213" s="16"/>
      <c r="T213" s="10"/>
    </row>
    <row r="214" spans="1:20" x14ac:dyDescent="0.25">
      <c r="A214" s="5" t="s">
        <v>32</v>
      </c>
      <c r="B214" s="5" t="s">
        <v>33</v>
      </c>
      <c r="C214" s="5">
        <v>2</v>
      </c>
      <c r="D214" s="5" t="s">
        <v>17</v>
      </c>
      <c r="E214" s="5" t="s">
        <v>12</v>
      </c>
      <c r="F214" s="15">
        <v>0.85</v>
      </c>
      <c r="G214" s="15">
        <v>0.89</v>
      </c>
      <c r="H214" s="15">
        <v>0.83</v>
      </c>
      <c r="I214" s="15">
        <v>0.84</v>
      </c>
      <c r="J214" s="15">
        <v>0.85</v>
      </c>
      <c r="K214" s="15">
        <v>0.88</v>
      </c>
      <c r="L214" s="15">
        <v>0.82</v>
      </c>
      <c r="M214" s="15">
        <v>0.69</v>
      </c>
      <c r="N214" s="15">
        <v>0.86</v>
      </c>
      <c r="O214" s="15">
        <v>0.89</v>
      </c>
      <c r="P214" s="15">
        <v>0.85</v>
      </c>
      <c r="Q214" s="15">
        <v>0.92</v>
      </c>
      <c r="R214" s="15">
        <v>0.84</v>
      </c>
    </row>
    <row r="215" spans="1:20" x14ac:dyDescent="0.25">
      <c r="A215" s="5" t="s">
        <v>188</v>
      </c>
      <c r="B215" s="5" t="s">
        <v>33</v>
      </c>
      <c r="C215" s="5">
        <v>2</v>
      </c>
      <c r="D215" s="5" t="s">
        <v>17</v>
      </c>
      <c r="E215" s="5" t="s">
        <v>12</v>
      </c>
      <c r="F215" s="15">
        <v>0.501</v>
      </c>
      <c r="G215" s="15">
        <v>0.65</v>
      </c>
      <c r="H215" s="15">
        <v>0.64</v>
      </c>
      <c r="I215" s="15">
        <v>0.72</v>
      </c>
      <c r="J215" s="15">
        <v>0.74</v>
      </c>
      <c r="K215" s="15">
        <v>0.63</v>
      </c>
      <c r="L215" s="15">
        <v>0.77</v>
      </c>
      <c r="M215" s="15">
        <v>0.6</v>
      </c>
      <c r="N215" s="15">
        <v>0.76</v>
      </c>
      <c r="O215" s="15">
        <v>0.73</v>
      </c>
      <c r="P215" s="15">
        <v>0.7</v>
      </c>
      <c r="Q215" s="15">
        <v>0.82</v>
      </c>
      <c r="R215" s="15">
        <v>0.72</v>
      </c>
      <c r="S215" s="5" t="s">
        <v>189</v>
      </c>
    </row>
    <row r="216" spans="1:20" x14ac:dyDescent="0.25">
      <c r="A216" s="5" t="s">
        <v>371</v>
      </c>
      <c r="B216" s="5" t="s">
        <v>33</v>
      </c>
      <c r="C216" s="5">
        <v>18</v>
      </c>
      <c r="D216" s="5" t="s">
        <v>17</v>
      </c>
      <c r="E216" s="5" t="s">
        <v>12</v>
      </c>
      <c r="F216" s="15">
        <v>0.82899999999999996</v>
      </c>
      <c r="G216" s="15">
        <v>0.84199999999999997</v>
      </c>
      <c r="H216" s="15">
        <v>0.78900000000000003</v>
      </c>
      <c r="I216" s="15">
        <v>0.78200000000000003</v>
      </c>
      <c r="J216" s="15">
        <v>0.79</v>
      </c>
      <c r="K216" s="15">
        <v>0.89</v>
      </c>
      <c r="L216" s="15">
        <v>0.83699999999999997</v>
      </c>
      <c r="M216" s="15">
        <v>0.80200000000000005</v>
      </c>
      <c r="N216" s="15">
        <v>0.79500000000000004</v>
      </c>
      <c r="O216" s="15">
        <v>0.79900000000000004</v>
      </c>
      <c r="P216" s="15">
        <v>0.86699999999999999</v>
      </c>
      <c r="Q216" s="15">
        <v>0.78800000000000003</v>
      </c>
      <c r="R216" s="15">
        <v>0.75800000000000001</v>
      </c>
    </row>
    <row r="217" spans="1:20" x14ac:dyDescent="0.25">
      <c r="A217" s="5" t="s">
        <v>369</v>
      </c>
      <c r="B217" s="5" t="s">
        <v>298</v>
      </c>
      <c r="C217" s="5">
        <v>18</v>
      </c>
      <c r="D217" s="5" t="s">
        <v>17</v>
      </c>
      <c r="E217" s="5" t="s">
        <v>12</v>
      </c>
      <c r="F217" s="15">
        <v>0.85599999999999998</v>
      </c>
      <c r="G217" s="15">
        <v>0.88400000000000001</v>
      </c>
      <c r="H217" s="15">
        <v>0.751</v>
      </c>
      <c r="I217" s="15">
        <v>0.82899999999999996</v>
      </c>
      <c r="J217" s="15">
        <v>0.86199999999999999</v>
      </c>
      <c r="K217" s="15">
        <v>0.88300000000000001</v>
      </c>
      <c r="L217" s="15">
        <v>0.86</v>
      </c>
      <c r="M217" s="15">
        <v>0.76800000000000002</v>
      </c>
      <c r="N217" s="15">
        <v>0.875</v>
      </c>
      <c r="O217" s="15">
        <v>0.86599999999999999</v>
      </c>
      <c r="P217" s="15">
        <v>0.84599999999999997</v>
      </c>
      <c r="Q217" s="15">
        <v>0.88100000000000001</v>
      </c>
      <c r="R217" s="15">
        <v>0.86299999999999999</v>
      </c>
    </row>
    <row r="218" spans="1:20" x14ac:dyDescent="0.25">
      <c r="A218" s="5" t="s">
        <v>374</v>
      </c>
      <c r="B218" s="5" t="s">
        <v>298</v>
      </c>
      <c r="C218" s="5">
        <v>20</v>
      </c>
      <c r="D218" s="5" t="s">
        <v>17</v>
      </c>
      <c r="E218" s="5" t="s">
        <v>12</v>
      </c>
      <c r="F218" s="15">
        <v>0.93</v>
      </c>
      <c r="G218" s="15">
        <v>0.89</v>
      </c>
      <c r="H218" s="15">
        <v>0.9</v>
      </c>
      <c r="I218" s="15">
        <v>0.93</v>
      </c>
      <c r="J218" s="15">
        <v>0.93</v>
      </c>
      <c r="K218" s="15">
        <v>0.95</v>
      </c>
      <c r="L218" s="15">
        <v>0.94</v>
      </c>
      <c r="M218" s="15">
        <v>0.87</v>
      </c>
      <c r="N218" s="15">
        <v>0.93</v>
      </c>
      <c r="O218" s="32">
        <f>AVERAGE(F218:N218,P218:R218)</f>
        <v>0.92500000000000016</v>
      </c>
      <c r="P218" s="15">
        <v>0.91</v>
      </c>
      <c r="Q218" s="15">
        <v>0.98</v>
      </c>
      <c r="R218" s="15">
        <v>0.94</v>
      </c>
      <c r="S218" s="5" t="s">
        <v>357</v>
      </c>
    </row>
    <row r="219" spans="1:20" x14ac:dyDescent="0.25">
      <c r="A219" s="5" t="s">
        <v>376</v>
      </c>
      <c r="B219" s="5" t="s">
        <v>298</v>
      </c>
      <c r="C219" s="5">
        <v>20</v>
      </c>
      <c r="D219" s="5" t="s">
        <v>17</v>
      </c>
      <c r="E219" s="5" t="s">
        <v>12</v>
      </c>
      <c r="F219" s="15">
        <v>0.92</v>
      </c>
      <c r="G219" s="15">
        <v>0.88</v>
      </c>
      <c r="H219" s="15">
        <v>0.89</v>
      </c>
      <c r="I219" s="15">
        <v>0.93</v>
      </c>
      <c r="J219" s="15">
        <v>0.93</v>
      </c>
      <c r="K219" s="15">
        <v>0.94</v>
      </c>
      <c r="L219" s="15">
        <v>0.93</v>
      </c>
      <c r="M219" s="15">
        <v>0.85</v>
      </c>
      <c r="N219" s="15">
        <v>0.94</v>
      </c>
      <c r="O219" s="32">
        <f t="shared" ref="O219:O226" si="0">AVERAGE(F219:N219,P219:R219)</f>
        <v>0.91916666666666658</v>
      </c>
      <c r="P219" s="15">
        <v>0.91</v>
      </c>
      <c r="Q219" s="15">
        <v>0.98</v>
      </c>
      <c r="R219" s="15">
        <v>0.93</v>
      </c>
      <c r="S219" s="5" t="s">
        <v>357</v>
      </c>
    </row>
    <row r="220" spans="1:20" x14ac:dyDescent="0.25">
      <c r="A220" s="5" t="s">
        <v>377</v>
      </c>
      <c r="B220" s="5" t="s">
        <v>298</v>
      </c>
      <c r="C220" s="5">
        <v>20</v>
      </c>
      <c r="D220" s="5" t="s">
        <v>17</v>
      </c>
      <c r="E220" s="5" t="s">
        <v>12</v>
      </c>
      <c r="F220" s="15">
        <v>0.92</v>
      </c>
      <c r="G220" s="15">
        <v>0.9</v>
      </c>
      <c r="H220" s="15">
        <v>0.9</v>
      </c>
      <c r="I220" s="15">
        <v>0.93</v>
      </c>
      <c r="J220" s="15">
        <v>0.93</v>
      </c>
      <c r="K220" s="15">
        <v>0.93</v>
      </c>
      <c r="L220" s="15">
        <v>0.93</v>
      </c>
      <c r="M220" s="15">
        <v>0.86</v>
      </c>
      <c r="N220" s="15">
        <v>0.94</v>
      </c>
      <c r="O220" s="32">
        <f t="shared" si="0"/>
        <v>0.92249999999999999</v>
      </c>
      <c r="P220" s="15">
        <v>0.91</v>
      </c>
      <c r="Q220" s="15">
        <v>0.98</v>
      </c>
      <c r="R220" s="15">
        <v>0.94</v>
      </c>
      <c r="S220" s="5" t="s">
        <v>357</v>
      </c>
    </row>
    <row r="221" spans="1:20" x14ac:dyDescent="0.25">
      <c r="A221" s="5" t="s">
        <v>378</v>
      </c>
      <c r="B221" s="5" t="s">
        <v>298</v>
      </c>
      <c r="C221" s="5">
        <v>20</v>
      </c>
      <c r="D221" s="5" t="s">
        <v>17</v>
      </c>
      <c r="E221" s="5" t="s">
        <v>12</v>
      </c>
      <c r="F221" s="15">
        <v>0.84</v>
      </c>
      <c r="G221" s="15">
        <v>0.84</v>
      </c>
      <c r="H221" s="15">
        <v>0.83</v>
      </c>
      <c r="I221" s="15">
        <v>0.87</v>
      </c>
      <c r="J221" s="15">
        <v>0.87</v>
      </c>
      <c r="K221" s="15">
        <v>0.84</v>
      </c>
      <c r="L221" s="15">
        <v>0.88</v>
      </c>
      <c r="M221" s="15">
        <v>0.73</v>
      </c>
      <c r="N221" s="15">
        <v>0.89</v>
      </c>
      <c r="O221" s="32">
        <f t="shared" si="0"/>
        <v>0.85416666666666652</v>
      </c>
      <c r="P221" s="15">
        <v>0.85</v>
      </c>
      <c r="Q221" s="15">
        <v>0.94</v>
      </c>
      <c r="R221" s="15">
        <v>0.87</v>
      </c>
      <c r="S221" s="5" t="s">
        <v>357</v>
      </c>
    </row>
    <row r="222" spans="1:20" x14ac:dyDescent="0.25">
      <c r="A222" s="5" t="s">
        <v>379</v>
      </c>
      <c r="B222" s="5" t="s">
        <v>298</v>
      </c>
      <c r="C222" s="5">
        <v>20</v>
      </c>
      <c r="D222" s="5" t="s">
        <v>17</v>
      </c>
      <c r="E222" s="5" t="s">
        <v>12</v>
      </c>
      <c r="F222" s="15">
        <v>0.8</v>
      </c>
      <c r="G222" s="15">
        <v>0.83</v>
      </c>
      <c r="H222" s="15">
        <v>0.82</v>
      </c>
      <c r="I222" s="15">
        <v>0.87</v>
      </c>
      <c r="J222" s="15">
        <v>0.88</v>
      </c>
      <c r="K222" s="15">
        <v>0.81</v>
      </c>
      <c r="L222" s="15">
        <v>0.88</v>
      </c>
      <c r="M222" s="15">
        <v>0.7</v>
      </c>
      <c r="N222" s="15">
        <v>0.89</v>
      </c>
      <c r="O222" s="32">
        <f t="shared" si="0"/>
        <v>0.84249999999999992</v>
      </c>
      <c r="P222" s="15">
        <v>0.85</v>
      </c>
      <c r="Q222" s="15">
        <v>0.92</v>
      </c>
      <c r="R222" s="15">
        <v>0.86</v>
      </c>
      <c r="S222" s="5" t="s">
        <v>357</v>
      </c>
    </row>
    <row r="223" spans="1:20" x14ac:dyDescent="0.25">
      <c r="A223" s="5" t="s">
        <v>380</v>
      </c>
      <c r="B223" s="5" t="s">
        <v>298</v>
      </c>
      <c r="C223" s="5">
        <v>20</v>
      </c>
      <c r="D223" s="5" t="s">
        <v>17</v>
      </c>
      <c r="E223" s="5" t="s">
        <v>12</v>
      </c>
      <c r="F223" s="15">
        <v>0.83</v>
      </c>
      <c r="G223" s="15">
        <v>0.83</v>
      </c>
      <c r="H223" s="15">
        <v>0.83</v>
      </c>
      <c r="I223" s="15">
        <v>0.86</v>
      </c>
      <c r="J223" s="15">
        <v>0.88</v>
      </c>
      <c r="K223" s="15">
        <v>0.8</v>
      </c>
      <c r="L223" s="15">
        <v>0.88</v>
      </c>
      <c r="M223" s="15">
        <v>0.69</v>
      </c>
      <c r="N223" s="15">
        <v>0.89</v>
      </c>
      <c r="O223" s="32">
        <f t="shared" si="0"/>
        <v>0.84499999999999986</v>
      </c>
      <c r="P223" s="15">
        <v>0.86</v>
      </c>
      <c r="Q223" s="15">
        <v>0.93</v>
      </c>
      <c r="R223" s="15">
        <v>0.86</v>
      </c>
      <c r="S223" s="5" t="s">
        <v>357</v>
      </c>
    </row>
    <row r="224" spans="1:20" x14ac:dyDescent="0.25">
      <c r="A224" s="5" t="s">
        <v>381</v>
      </c>
      <c r="B224" s="5" t="s">
        <v>298</v>
      </c>
      <c r="C224" s="5">
        <v>20</v>
      </c>
      <c r="D224" s="5" t="s">
        <v>17</v>
      </c>
      <c r="E224" s="5" t="s">
        <v>12</v>
      </c>
      <c r="F224" s="15">
        <v>0.8</v>
      </c>
      <c r="G224" s="15">
        <v>0.81</v>
      </c>
      <c r="H224" s="15">
        <v>0.81</v>
      </c>
      <c r="I224" s="15">
        <v>0.85</v>
      </c>
      <c r="J224" s="15">
        <v>0.87</v>
      </c>
      <c r="K224" s="15">
        <v>0.76</v>
      </c>
      <c r="L224" s="15">
        <v>0.86</v>
      </c>
      <c r="M224" s="15">
        <v>0.63</v>
      </c>
      <c r="N224" s="15">
        <v>0.88</v>
      </c>
      <c r="O224" s="32">
        <f t="shared" si="0"/>
        <v>0.8224999999999999</v>
      </c>
      <c r="P224" s="15">
        <v>0.84</v>
      </c>
      <c r="Q224" s="15">
        <v>0.91</v>
      </c>
      <c r="R224" s="15">
        <v>0.85</v>
      </c>
      <c r="S224" s="5" t="s">
        <v>357</v>
      </c>
    </row>
    <row r="225" spans="1:19" x14ac:dyDescent="0.25">
      <c r="A225" s="5" t="s">
        <v>382</v>
      </c>
      <c r="B225" s="5" t="s">
        <v>298</v>
      </c>
      <c r="C225" s="5">
        <v>20</v>
      </c>
      <c r="D225" s="5" t="s">
        <v>17</v>
      </c>
      <c r="E225" s="5" t="s">
        <v>12</v>
      </c>
      <c r="F225" s="15">
        <v>0.78</v>
      </c>
      <c r="G225" s="15">
        <v>0.82</v>
      </c>
      <c r="H225" s="15">
        <v>0.82</v>
      </c>
      <c r="I225" s="15">
        <v>0.86</v>
      </c>
      <c r="J225" s="15">
        <v>0.88</v>
      </c>
      <c r="K225" s="15">
        <v>0.75</v>
      </c>
      <c r="L225" s="15">
        <v>0.86</v>
      </c>
      <c r="M225" s="15">
        <v>0.64</v>
      </c>
      <c r="N225" s="15">
        <v>0.89</v>
      </c>
      <c r="O225" s="32">
        <f t="shared" si="0"/>
        <v>0.82333333333333336</v>
      </c>
      <c r="P225" s="15">
        <v>0.85</v>
      </c>
      <c r="Q225" s="15">
        <v>0.88</v>
      </c>
      <c r="R225" s="15">
        <v>0.85</v>
      </c>
      <c r="S225" s="5" t="s">
        <v>357</v>
      </c>
    </row>
    <row r="226" spans="1:19" x14ac:dyDescent="0.25">
      <c r="A226" s="5" t="s">
        <v>383</v>
      </c>
      <c r="B226" s="5" t="s">
        <v>298</v>
      </c>
      <c r="C226" s="5">
        <v>20</v>
      </c>
      <c r="D226" s="5" t="s">
        <v>17</v>
      </c>
      <c r="E226" s="5" t="s">
        <v>12</v>
      </c>
      <c r="F226" s="15">
        <v>0.71</v>
      </c>
      <c r="G226" s="15">
        <v>0.77</v>
      </c>
      <c r="H226" s="15">
        <v>0.75</v>
      </c>
      <c r="I226" s="15">
        <v>0.79</v>
      </c>
      <c r="J226" s="15">
        <v>0.82</v>
      </c>
      <c r="K226" s="15">
        <v>0.63</v>
      </c>
      <c r="L226" s="15">
        <v>0.8</v>
      </c>
      <c r="M226" s="15">
        <v>0.47</v>
      </c>
      <c r="N226" s="15">
        <v>0.84</v>
      </c>
      <c r="O226" s="32">
        <f t="shared" si="0"/>
        <v>0.75166666666666659</v>
      </c>
      <c r="P226" s="15">
        <v>0.79</v>
      </c>
      <c r="Q226" s="15">
        <v>0.86</v>
      </c>
      <c r="R226" s="15">
        <v>0.79</v>
      </c>
      <c r="S226" s="5" t="s">
        <v>357</v>
      </c>
    </row>
    <row r="227" spans="1:19" x14ac:dyDescent="0.25">
      <c r="A227" s="5" t="s">
        <v>384</v>
      </c>
      <c r="B227" s="5" t="s">
        <v>28</v>
      </c>
      <c r="C227" s="5">
        <v>21</v>
      </c>
      <c r="D227" s="5" t="s">
        <v>17</v>
      </c>
      <c r="E227" s="5" t="s">
        <v>12</v>
      </c>
      <c r="F227" s="15">
        <v>1</v>
      </c>
      <c r="G227" s="15">
        <v>1</v>
      </c>
      <c r="H227" s="15">
        <v>0.94</v>
      </c>
      <c r="I227" s="15">
        <v>0.98</v>
      </c>
      <c r="J227" s="15">
        <v>0.99</v>
      </c>
      <c r="K227" s="15">
        <v>0.98</v>
      </c>
      <c r="L227" s="15">
        <v>0.98</v>
      </c>
      <c r="M227" s="15">
        <v>0.98</v>
      </c>
      <c r="N227" s="15">
        <v>0.98</v>
      </c>
      <c r="O227" s="15">
        <v>0.99</v>
      </c>
      <c r="P227" s="15">
        <v>0.97</v>
      </c>
      <c r="Q227" s="15">
        <v>1</v>
      </c>
      <c r="R227" s="15">
        <v>1</v>
      </c>
    </row>
    <row r="228" spans="1:19" x14ac:dyDescent="0.25">
      <c r="A228" s="5" t="s">
        <v>385</v>
      </c>
      <c r="B228" s="5" t="s">
        <v>28</v>
      </c>
      <c r="C228" s="5">
        <v>21</v>
      </c>
      <c r="D228" s="5" t="s">
        <v>17</v>
      </c>
      <c r="E228" s="5" t="s">
        <v>12</v>
      </c>
      <c r="F228" s="15">
        <v>0.98</v>
      </c>
      <c r="G228" s="15">
        <v>0.98</v>
      </c>
      <c r="H228" s="15">
        <v>0.91</v>
      </c>
      <c r="I228" s="15">
        <v>0.97</v>
      </c>
      <c r="J228" s="15">
        <v>0.98</v>
      </c>
      <c r="K228" s="15">
        <v>0.96</v>
      </c>
      <c r="L228" s="15">
        <v>0.97</v>
      </c>
      <c r="M228" s="15">
        <v>0.95</v>
      </c>
      <c r="N228" s="15">
        <v>0.96</v>
      </c>
      <c r="O228" s="15">
        <v>0.96</v>
      </c>
      <c r="P228" s="15">
        <v>0.95</v>
      </c>
      <c r="Q228" s="15">
        <v>1</v>
      </c>
      <c r="R228" s="15">
        <v>0.97</v>
      </c>
    </row>
    <row r="229" spans="1:19" x14ac:dyDescent="0.25">
      <c r="A229" s="5" t="s">
        <v>386</v>
      </c>
      <c r="B229" s="5" t="s">
        <v>28</v>
      </c>
      <c r="C229" s="5">
        <v>21</v>
      </c>
      <c r="D229" s="5" t="s">
        <v>17</v>
      </c>
      <c r="E229" s="5" t="s">
        <v>12</v>
      </c>
      <c r="F229" s="15">
        <v>0.92</v>
      </c>
      <c r="G229" s="15">
        <v>0.97</v>
      </c>
      <c r="H229" s="15">
        <v>0.93</v>
      </c>
      <c r="I229" s="15">
        <v>0.93</v>
      </c>
      <c r="J229" s="15">
        <v>0.98</v>
      </c>
      <c r="K229" s="15">
        <v>0.96</v>
      </c>
      <c r="L229" s="15">
        <v>0.97</v>
      </c>
      <c r="M229" s="15">
        <v>0.85</v>
      </c>
      <c r="N229" s="15">
        <v>0.97</v>
      </c>
      <c r="O229" s="15">
        <v>0.98</v>
      </c>
      <c r="P229" s="15">
        <v>0.94</v>
      </c>
      <c r="Q229" s="15">
        <v>1</v>
      </c>
      <c r="R229" s="15">
        <v>0.99</v>
      </c>
    </row>
    <row r="230" spans="1:19" x14ac:dyDescent="0.25">
      <c r="A230" s="5" t="s">
        <v>387</v>
      </c>
      <c r="B230" s="5" t="s">
        <v>28</v>
      </c>
      <c r="C230" s="5">
        <v>21</v>
      </c>
      <c r="D230" s="5" t="s">
        <v>17</v>
      </c>
      <c r="E230" s="5" t="s">
        <v>12</v>
      </c>
      <c r="F230" s="15">
        <v>0.9</v>
      </c>
      <c r="G230" s="15">
        <v>0.91</v>
      </c>
      <c r="H230" s="15">
        <v>0.82</v>
      </c>
      <c r="I230" s="15">
        <v>0.89</v>
      </c>
      <c r="J230" s="15">
        <v>0.94</v>
      </c>
      <c r="K230" s="15">
        <v>0.95</v>
      </c>
      <c r="L230" s="15">
        <v>0.96</v>
      </c>
      <c r="M230" s="15">
        <v>0.73</v>
      </c>
      <c r="N230" s="15">
        <v>0.94</v>
      </c>
      <c r="O230" s="15">
        <v>0.95</v>
      </c>
      <c r="P230" s="15">
        <v>0.9</v>
      </c>
      <c r="Q230" s="15">
        <v>0.98</v>
      </c>
      <c r="R230" s="15">
        <v>0.94</v>
      </c>
    </row>
    <row r="231" spans="1:19" x14ac:dyDescent="0.25">
      <c r="A231" s="5" t="s">
        <v>388</v>
      </c>
      <c r="B231" s="5" t="s">
        <v>298</v>
      </c>
      <c r="C231" s="5">
        <v>21</v>
      </c>
      <c r="D231" s="5" t="s">
        <v>17</v>
      </c>
      <c r="E231" s="5" t="s">
        <v>12</v>
      </c>
      <c r="F231" s="15">
        <v>0.95</v>
      </c>
      <c r="G231" s="15">
        <v>0.87</v>
      </c>
      <c r="H231" s="15">
        <v>0.88</v>
      </c>
      <c r="I231" s="15">
        <v>0.91</v>
      </c>
      <c r="J231" s="15">
        <v>0.92</v>
      </c>
      <c r="K231" s="15">
        <v>0.96</v>
      </c>
      <c r="L231" s="15">
        <v>0.9</v>
      </c>
      <c r="M231" s="15">
        <v>0.75</v>
      </c>
      <c r="N231" s="15">
        <v>0.92</v>
      </c>
      <c r="O231" s="15">
        <v>0.93</v>
      </c>
      <c r="P231" s="15">
        <v>0.89</v>
      </c>
      <c r="Q231" s="15">
        <v>0.99</v>
      </c>
      <c r="R231" s="15">
        <v>0.95</v>
      </c>
    </row>
    <row r="232" spans="1:19" x14ac:dyDescent="0.25">
      <c r="A232" s="5" t="s">
        <v>393</v>
      </c>
      <c r="B232" s="5" t="s">
        <v>298</v>
      </c>
      <c r="C232" s="5">
        <v>21</v>
      </c>
      <c r="D232" s="5" t="s">
        <v>17</v>
      </c>
      <c r="E232" s="5" t="s">
        <v>12</v>
      </c>
      <c r="F232" s="15">
        <v>0.94</v>
      </c>
      <c r="G232" s="15">
        <v>0.96</v>
      </c>
      <c r="H232" s="15">
        <v>0.92</v>
      </c>
      <c r="I232" s="15">
        <v>0.95</v>
      </c>
      <c r="J232" s="15">
        <v>0.95</v>
      </c>
      <c r="K232" s="15">
        <v>0.97</v>
      </c>
      <c r="L232" s="15">
        <v>0.96</v>
      </c>
      <c r="M232" s="15">
        <v>0.91</v>
      </c>
      <c r="N232" s="15">
        <v>0.96</v>
      </c>
      <c r="O232" s="15">
        <v>0.96</v>
      </c>
      <c r="P232" s="15">
        <v>0.94</v>
      </c>
      <c r="Q232" s="15">
        <v>1</v>
      </c>
      <c r="R232" s="15">
        <v>0.97</v>
      </c>
    </row>
    <row r="233" spans="1:19" x14ac:dyDescent="0.25">
      <c r="A233" s="5" t="s">
        <v>389</v>
      </c>
      <c r="B233" s="5" t="s">
        <v>298</v>
      </c>
      <c r="C233" s="5">
        <v>21</v>
      </c>
      <c r="D233" s="5" t="s">
        <v>17</v>
      </c>
      <c r="E233" s="5" t="s">
        <v>12</v>
      </c>
      <c r="F233" s="15">
        <v>0.92</v>
      </c>
      <c r="G233" s="15">
        <v>0.92</v>
      </c>
      <c r="H233" s="15">
        <v>0.87</v>
      </c>
      <c r="I233" s="15">
        <v>0.92</v>
      </c>
      <c r="J233" s="15">
        <v>0.91</v>
      </c>
      <c r="K233" s="15">
        <v>0.93</v>
      </c>
      <c r="L233" s="15">
        <v>0.93</v>
      </c>
      <c r="M233" s="15">
        <v>0.81</v>
      </c>
      <c r="N233" s="15">
        <v>0.92</v>
      </c>
      <c r="O233" s="15">
        <v>0.93</v>
      </c>
      <c r="P233" s="15">
        <v>0.91</v>
      </c>
      <c r="Q233" s="15">
        <v>0.99</v>
      </c>
      <c r="R233" s="15">
        <v>0.92</v>
      </c>
    </row>
    <row r="234" spans="1:19" x14ac:dyDescent="0.25">
      <c r="A234" s="5" t="s">
        <v>390</v>
      </c>
      <c r="B234" s="5" t="s">
        <v>391</v>
      </c>
      <c r="C234" s="5">
        <v>21</v>
      </c>
      <c r="D234" s="5" t="s">
        <v>17</v>
      </c>
      <c r="E234" s="5" t="s">
        <v>12</v>
      </c>
      <c r="F234" s="15">
        <v>0.91</v>
      </c>
      <c r="G234" s="15">
        <v>0.74</v>
      </c>
      <c r="H234" s="15">
        <v>0.8</v>
      </c>
      <c r="I234" s="15">
        <v>0.85</v>
      </c>
      <c r="J234" s="15">
        <v>0.86</v>
      </c>
      <c r="K234" s="15">
        <v>0.77</v>
      </c>
      <c r="L234" s="15">
        <v>0.88</v>
      </c>
      <c r="M234" s="15">
        <v>0.86</v>
      </c>
      <c r="N234" s="15">
        <v>0.87</v>
      </c>
      <c r="O234" s="15">
        <v>0.9</v>
      </c>
      <c r="P234" s="15">
        <v>0.83</v>
      </c>
      <c r="Q234" s="15">
        <v>0.87</v>
      </c>
      <c r="R234" s="15">
        <v>0.85</v>
      </c>
    </row>
    <row r="235" spans="1:19" x14ac:dyDescent="0.25">
      <c r="A235" s="5" t="s">
        <v>394</v>
      </c>
      <c r="B235" s="5" t="s">
        <v>298</v>
      </c>
      <c r="C235" s="5">
        <v>22</v>
      </c>
      <c r="D235" s="5" t="s">
        <v>17</v>
      </c>
      <c r="E235" s="5" t="s">
        <v>12</v>
      </c>
      <c r="F235" s="15">
        <v>0.82299999999999995</v>
      </c>
      <c r="G235" s="32">
        <f>AVERAGE(F235,H235:R235)</f>
        <v>0.80966666666666665</v>
      </c>
      <c r="H235" s="15">
        <v>0.83099999999999996</v>
      </c>
      <c r="I235" s="15">
        <v>0.82599999999999996</v>
      </c>
      <c r="J235" s="15">
        <v>0.83499999999999996</v>
      </c>
      <c r="K235" s="15">
        <v>0.86399999999999999</v>
      </c>
      <c r="L235" s="15">
        <v>0.77900000000000003</v>
      </c>
      <c r="M235" s="15">
        <v>0.65100000000000002</v>
      </c>
      <c r="N235" s="15">
        <v>0.82699999999999996</v>
      </c>
      <c r="O235" s="15">
        <v>0.78100000000000003</v>
      </c>
      <c r="P235" s="15">
        <v>0.747</v>
      </c>
      <c r="Q235" s="15">
        <v>0.89200000000000002</v>
      </c>
      <c r="R235" s="15">
        <v>0.86</v>
      </c>
      <c r="S235" s="5" t="s">
        <v>357</v>
      </c>
    </row>
    <row r="236" spans="1:19" x14ac:dyDescent="0.25">
      <c r="A236" s="5" t="s">
        <v>395</v>
      </c>
      <c r="B236" s="5" t="s">
        <v>298</v>
      </c>
      <c r="C236" s="5">
        <v>22</v>
      </c>
      <c r="D236" s="5" t="s">
        <v>17</v>
      </c>
      <c r="E236" s="5" t="s">
        <v>12</v>
      </c>
      <c r="F236" s="15">
        <v>0.86099999999999999</v>
      </c>
      <c r="G236" s="32">
        <f t="shared" ref="G236:G244" si="1">AVERAGE(F236,H236:R236)</f>
        <v>0.8474166666666666</v>
      </c>
      <c r="H236" s="15">
        <v>0.85199999999999998</v>
      </c>
      <c r="I236" s="15">
        <v>0.85299999999999998</v>
      </c>
      <c r="J236" s="15">
        <v>0.86699999999999999</v>
      </c>
      <c r="K236" s="15">
        <v>0.88100000000000001</v>
      </c>
      <c r="L236" s="15">
        <v>0.84799999999999998</v>
      </c>
      <c r="M236" s="15">
        <v>0.72699999999999998</v>
      </c>
      <c r="N236" s="15">
        <v>0.85899999999999999</v>
      </c>
      <c r="O236" s="15">
        <v>0.8</v>
      </c>
      <c r="P236" s="15">
        <v>0.79500000000000004</v>
      </c>
      <c r="Q236" s="15">
        <v>0.92100000000000004</v>
      </c>
      <c r="R236" s="15">
        <v>0.90500000000000003</v>
      </c>
    </row>
    <row r="237" spans="1:19" x14ac:dyDescent="0.25">
      <c r="A237" s="5" t="s">
        <v>398</v>
      </c>
      <c r="B237" s="5" t="s">
        <v>298</v>
      </c>
      <c r="C237" s="5">
        <v>22</v>
      </c>
      <c r="D237" s="5" t="s">
        <v>17</v>
      </c>
      <c r="E237" s="5" t="s">
        <v>12</v>
      </c>
      <c r="F237" s="15">
        <v>0.84399999999999997</v>
      </c>
      <c r="G237" s="32">
        <f t="shared" si="1"/>
        <v>0.84683333333333344</v>
      </c>
      <c r="H237" s="15">
        <v>0.878</v>
      </c>
      <c r="I237" s="15">
        <v>0.85799999999999998</v>
      </c>
      <c r="J237" s="15">
        <v>0.876</v>
      </c>
      <c r="K237" s="15">
        <v>0.88800000000000001</v>
      </c>
      <c r="L237" s="15">
        <v>0.80600000000000005</v>
      </c>
      <c r="M237" s="15">
        <v>0.72399999999999998</v>
      </c>
      <c r="N237" s="15">
        <v>0.875</v>
      </c>
      <c r="O237" s="15">
        <v>0.82099999999999995</v>
      </c>
      <c r="P237" s="15">
        <v>0.80600000000000005</v>
      </c>
      <c r="Q237" s="15">
        <v>0.91700000000000004</v>
      </c>
      <c r="R237" s="15">
        <v>0.86899999999999999</v>
      </c>
    </row>
    <row r="238" spans="1:19" x14ac:dyDescent="0.25">
      <c r="A238" s="5" t="s">
        <v>396</v>
      </c>
      <c r="B238" s="5" t="s">
        <v>298</v>
      </c>
      <c r="C238" s="5">
        <v>22</v>
      </c>
      <c r="D238" s="5" t="s">
        <v>17</v>
      </c>
      <c r="E238" s="5" t="s">
        <v>12</v>
      </c>
      <c r="F238" s="15">
        <v>0.82099999999999995</v>
      </c>
      <c r="G238" s="32">
        <f t="shared" si="1"/>
        <v>0.81199999999999994</v>
      </c>
      <c r="H238" s="15">
        <v>0.79600000000000004</v>
      </c>
      <c r="I238" s="15">
        <v>0.85099999999999998</v>
      </c>
      <c r="J238" s="15">
        <v>0.84699999999999998</v>
      </c>
      <c r="K238" s="15">
        <v>0.81399999999999995</v>
      </c>
      <c r="L238" s="15">
        <v>0.72399999999999998</v>
      </c>
      <c r="M238" s="15">
        <v>0.72299999999999998</v>
      </c>
      <c r="N238" s="15">
        <v>0.83599999999999997</v>
      </c>
      <c r="O238" s="15">
        <v>0.84899999999999998</v>
      </c>
      <c r="P238" s="15">
        <v>0.71399999999999997</v>
      </c>
      <c r="Q238" s="15">
        <v>0.92400000000000004</v>
      </c>
      <c r="R238" s="15">
        <v>0.84499999999999997</v>
      </c>
    </row>
    <row r="239" spans="1:19" x14ac:dyDescent="0.25">
      <c r="A239" s="5" t="s">
        <v>397</v>
      </c>
      <c r="B239" s="5" t="s">
        <v>298</v>
      </c>
      <c r="C239" s="5">
        <v>22</v>
      </c>
      <c r="D239" s="5" t="s">
        <v>17</v>
      </c>
      <c r="E239" s="5" t="s">
        <v>12</v>
      </c>
      <c r="F239" s="15">
        <v>0.89400000000000002</v>
      </c>
      <c r="G239" s="32">
        <f t="shared" si="1"/>
        <v>0.89024999999999999</v>
      </c>
      <c r="H239" s="15">
        <v>0.90400000000000003</v>
      </c>
      <c r="I239" s="15">
        <v>0.90500000000000003</v>
      </c>
      <c r="J239" s="15">
        <v>0.90900000000000003</v>
      </c>
      <c r="K239" s="15">
        <v>0.88400000000000001</v>
      </c>
      <c r="L239" s="15">
        <v>0.89800000000000002</v>
      </c>
      <c r="M239" s="15">
        <v>0.82199999999999995</v>
      </c>
      <c r="N239" s="15">
        <v>0.90400000000000003</v>
      </c>
      <c r="O239" s="15">
        <v>0.86799999999999999</v>
      </c>
      <c r="P239" s="15">
        <v>0.83199999999999996</v>
      </c>
      <c r="Q239" s="15">
        <v>0.94899999999999995</v>
      </c>
      <c r="R239" s="15">
        <v>0.91400000000000003</v>
      </c>
    </row>
    <row r="240" spans="1:19" x14ac:dyDescent="0.25">
      <c r="A240" s="5" t="s">
        <v>399</v>
      </c>
      <c r="B240" s="5" t="s">
        <v>298</v>
      </c>
      <c r="C240" s="5">
        <v>22</v>
      </c>
      <c r="D240" s="5" t="s">
        <v>17</v>
      </c>
      <c r="E240" s="5" t="s">
        <v>12</v>
      </c>
      <c r="F240" s="15">
        <v>0.80700000000000005</v>
      </c>
      <c r="G240" s="32">
        <f t="shared" si="1"/>
        <v>0.79800000000000004</v>
      </c>
      <c r="H240" s="15">
        <v>0.79400000000000004</v>
      </c>
      <c r="I240" s="15">
        <v>0.78700000000000003</v>
      </c>
      <c r="J240" s="15">
        <v>0.80600000000000005</v>
      </c>
      <c r="K240" s="15">
        <v>0.86</v>
      </c>
      <c r="L240" s="15">
        <v>0.72799999999999998</v>
      </c>
      <c r="M240" s="15">
        <v>0.73</v>
      </c>
      <c r="N240" s="15">
        <v>0.81599999999999995</v>
      </c>
      <c r="O240" s="15">
        <v>0.76400000000000001</v>
      </c>
      <c r="P240" s="15">
        <v>0.76300000000000001</v>
      </c>
      <c r="Q240" s="15">
        <v>0.90400000000000003</v>
      </c>
      <c r="R240" s="15">
        <v>0.81699999999999995</v>
      </c>
    </row>
    <row r="241" spans="1:19" x14ac:dyDescent="0.25">
      <c r="A241" s="5" t="s">
        <v>400</v>
      </c>
      <c r="B241" s="5" t="s">
        <v>298</v>
      </c>
      <c r="C241" s="5">
        <v>22</v>
      </c>
      <c r="D241" s="5" t="s">
        <v>17</v>
      </c>
      <c r="E241" s="5" t="s">
        <v>12</v>
      </c>
      <c r="F241" s="15">
        <v>0.77600000000000002</v>
      </c>
      <c r="G241" s="32">
        <f t="shared" si="1"/>
        <v>0.76816666666666666</v>
      </c>
      <c r="H241" s="15">
        <v>0.76300000000000001</v>
      </c>
      <c r="I241" s="15">
        <v>0.78100000000000003</v>
      </c>
      <c r="J241" s="15">
        <v>0.78500000000000003</v>
      </c>
      <c r="K241" s="15">
        <v>0.83299999999999996</v>
      </c>
      <c r="L241" s="15">
        <v>0.68700000000000006</v>
      </c>
      <c r="M241" s="15">
        <v>0.66</v>
      </c>
      <c r="N241" s="15">
        <v>0.77900000000000003</v>
      </c>
      <c r="O241" s="15">
        <v>0.745</v>
      </c>
      <c r="P241" s="15">
        <v>0.72599999999999998</v>
      </c>
      <c r="Q241" s="15">
        <v>0.875</v>
      </c>
      <c r="R241" s="15">
        <v>0.80800000000000005</v>
      </c>
    </row>
    <row r="242" spans="1:19" x14ac:dyDescent="0.25">
      <c r="A242" s="5" t="s">
        <v>401</v>
      </c>
      <c r="B242" s="5" t="s">
        <v>298</v>
      </c>
      <c r="C242" s="5">
        <v>22</v>
      </c>
      <c r="D242" s="5" t="s">
        <v>17</v>
      </c>
      <c r="E242" s="5" t="s">
        <v>12</v>
      </c>
      <c r="F242" s="15">
        <v>0.82699999999999996</v>
      </c>
      <c r="G242" s="32">
        <f t="shared" si="1"/>
        <v>0.81766666666666643</v>
      </c>
      <c r="H242" s="15">
        <v>0.81399999999999995</v>
      </c>
      <c r="I242" s="15">
        <v>0.83099999999999996</v>
      </c>
      <c r="J242" s="15">
        <v>0.82499999999999996</v>
      </c>
      <c r="K242" s="15">
        <v>0.86199999999999999</v>
      </c>
      <c r="L242" s="15">
        <v>0.83399999999999996</v>
      </c>
      <c r="M242" s="15">
        <v>0.76200000000000001</v>
      </c>
      <c r="N242" s="15">
        <v>0.81799999999999995</v>
      </c>
      <c r="O242" s="15">
        <v>0.77</v>
      </c>
      <c r="P242" s="15">
        <v>0.73399999999999999</v>
      </c>
      <c r="Q242" s="15">
        <v>0.88500000000000001</v>
      </c>
      <c r="R242" s="15">
        <v>0.85</v>
      </c>
    </row>
    <row r="243" spans="1:19" x14ac:dyDescent="0.25">
      <c r="A243" s="5" t="s">
        <v>403</v>
      </c>
      <c r="B243" s="5" t="s">
        <v>298</v>
      </c>
      <c r="C243" s="5">
        <v>22</v>
      </c>
      <c r="D243" s="5" t="s">
        <v>17</v>
      </c>
      <c r="E243" s="5" t="s">
        <v>12</v>
      </c>
      <c r="F243" s="15">
        <v>0.77600000000000002</v>
      </c>
      <c r="G243" s="32">
        <f t="shared" si="1"/>
        <v>0.75550000000000006</v>
      </c>
      <c r="H243" s="15">
        <v>0.77100000000000002</v>
      </c>
      <c r="I243" s="15">
        <v>0.76100000000000001</v>
      </c>
      <c r="J243" s="15">
        <v>0.76500000000000001</v>
      </c>
      <c r="K243" s="15">
        <v>0.81499999999999995</v>
      </c>
      <c r="L243" s="15">
        <v>0.70399999999999996</v>
      </c>
      <c r="M243" s="15">
        <v>0.628</v>
      </c>
      <c r="N243" s="15">
        <v>0.745</v>
      </c>
      <c r="O243" s="15">
        <v>0.69799999999999995</v>
      </c>
      <c r="P243" s="15">
        <v>0.71199999999999997</v>
      </c>
      <c r="Q243" s="15">
        <v>0.88</v>
      </c>
      <c r="R243" s="15">
        <v>0.81100000000000005</v>
      </c>
    </row>
    <row r="244" spans="1:19" x14ac:dyDescent="0.25">
      <c r="A244" s="5" t="s">
        <v>402</v>
      </c>
      <c r="B244" s="5" t="s">
        <v>298</v>
      </c>
      <c r="C244" s="5">
        <v>22</v>
      </c>
      <c r="D244" s="5" t="s">
        <v>17</v>
      </c>
      <c r="E244" s="5" t="s">
        <v>12</v>
      </c>
      <c r="F244" s="15">
        <v>0.89100000000000001</v>
      </c>
      <c r="G244" s="32">
        <f t="shared" si="1"/>
        <v>0.89324999999999999</v>
      </c>
      <c r="H244" s="15">
        <v>0.91400000000000003</v>
      </c>
      <c r="I244" s="15">
        <v>0.89300000000000002</v>
      </c>
      <c r="J244" s="15">
        <v>0.90700000000000003</v>
      </c>
      <c r="K244" s="15">
        <v>0.91400000000000003</v>
      </c>
      <c r="L244" s="15">
        <v>0.82199999999999995</v>
      </c>
      <c r="M244" s="15">
        <v>0.86799999999999999</v>
      </c>
      <c r="N244" s="15">
        <v>0.91</v>
      </c>
      <c r="O244" s="15">
        <v>0.872</v>
      </c>
      <c r="P244" s="15">
        <v>0.85499999999999998</v>
      </c>
      <c r="Q244" s="15">
        <v>0.94299999999999995</v>
      </c>
      <c r="R244" s="15">
        <v>0.93</v>
      </c>
    </row>
    <row r="245" spans="1:19" x14ac:dyDescent="0.25">
      <c r="A245" s="5" t="s">
        <v>406</v>
      </c>
      <c r="B245" s="5" t="s">
        <v>298</v>
      </c>
      <c r="C245" s="5">
        <v>23</v>
      </c>
      <c r="D245" s="5" t="s">
        <v>16</v>
      </c>
      <c r="E245" s="5" t="s">
        <v>408</v>
      </c>
      <c r="F245" s="15">
        <v>0.92</v>
      </c>
      <c r="G245" s="32">
        <v>0.93400000000000005</v>
      </c>
      <c r="H245" s="15">
        <v>0.91800000000000004</v>
      </c>
      <c r="I245" s="15">
        <v>0.92</v>
      </c>
      <c r="J245" s="15">
        <v>0.94399999999999995</v>
      </c>
      <c r="K245" s="15">
        <v>0.93899999999999995</v>
      </c>
      <c r="L245" s="15">
        <v>0.93899999999999995</v>
      </c>
      <c r="M245" s="32">
        <v>0.93400000000000005</v>
      </c>
      <c r="N245" s="15">
        <v>0.94599999999999995</v>
      </c>
      <c r="O245" s="32">
        <v>0.93400000000000005</v>
      </c>
      <c r="P245" s="15">
        <v>0.92500000000000004</v>
      </c>
      <c r="Q245" s="32">
        <v>0.93400000000000005</v>
      </c>
      <c r="R245" s="32">
        <v>0.93400000000000005</v>
      </c>
      <c r="S245" s="5" t="s">
        <v>357</v>
      </c>
    </row>
    <row r="246" spans="1:19" x14ac:dyDescent="0.25">
      <c r="A246" s="5" t="s">
        <v>407</v>
      </c>
      <c r="B246" s="5" t="s">
        <v>28</v>
      </c>
      <c r="C246" s="5">
        <v>23</v>
      </c>
      <c r="D246" s="5" t="s">
        <v>16</v>
      </c>
      <c r="E246" s="5" t="s">
        <v>408</v>
      </c>
      <c r="F246" s="15">
        <v>0.94</v>
      </c>
      <c r="G246" s="32">
        <v>0.97</v>
      </c>
      <c r="H246" s="15">
        <v>0.94599999999999995</v>
      </c>
      <c r="I246" s="15">
        <v>0.94399999999999995</v>
      </c>
      <c r="J246" s="15">
        <v>0.98599999999999999</v>
      </c>
      <c r="K246" s="15">
        <v>0.98</v>
      </c>
      <c r="L246" s="15">
        <v>0.98299999999999998</v>
      </c>
      <c r="M246" s="32">
        <v>0.97</v>
      </c>
      <c r="N246" s="15">
        <v>0.99199999999999999</v>
      </c>
      <c r="O246" s="32">
        <v>0.97</v>
      </c>
      <c r="P246" s="15">
        <v>0.96099999999999997</v>
      </c>
      <c r="Q246" s="32">
        <v>0.97</v>
      </c>
      <c r="R246" s="32">
        <v>0.97</v>
      </c>
      <c r="S246" s="5" t="s">
        <v>357</v>
      </c>
    </row>
    <row r="247" spans="1:19" s="4" customFormat="1" x14ac:dyDescent="0.25">
      <c r="A247" s="4" t="s">
        <v>410</v>
      </c>
      <c r="B247" s="4" t="s">
        <v>24</v>
      </c>
      <c r="C247" s="4">
        <v>24</v>
      </c>
      <c r="D247" s="4" t="s">
        <v>17</v>
      </c>
      <c r="E247" s="4" t="s">
        <v>12</v>
      </c>
      <c r="F247" s="14">
        <v>0.91900000000000004</v>
      </c>
      <c r="G247" s="14">
        <v>0.94899999999999995</v>
      </c>
      <c r="H247" s="14">
        <v>0.88900000000000001</v>
      </c>
      <c r="I247" s="14">
        <v>0.93799999999999994</v>
      </c>
      <c r="J247" s="14">
        <v>0.94199999999999995</v>
      </c>
      <c r="K247" s="14">
        <v>0.96299999999999997</v>
      </c>
      <c r="L247" s="14">
        <v>0.95799999999999996</v>
      </c>
      <c r="M247" s="14">
        <v>0.629</v>
      </c>
      <c r="N247" s="14">
        <v>0.92700000000000005</v>
      </c>
      <c r="O247" s="14">
        <v>0.92300000000000004</v>
      </c>
      <c r="P247" s="14">
        <v>0.92100000000000004</v>
      </c>
      <c r="Q247" s="14">
        <v>0.97399999999999998</v>
      </c>
      <c r="R247" s="14">
        <v>0.93100000000000005</v>
      </c>
    </row>
    <row r="248" spans="1:19" s="4" customFormat="1" x14ac:dyDescent="0.25">
      <c r="A248" s="4" t="s">
        <v>411</v>
      </c>
      <c r="B248" s="4" t="s">
        <v>24</v>
      </c>
      <c r="C248" s="4">
        <v>24</v>
      </c>
      <c r="D248" s="4" t="s">
        <v>17</v>
      </c>
      <c r="E248" s="4" t="s">
        <v>12</v>
      </c>
      <c r="F248" s="14">
        <v>1</v>
      </c>
      <c r="G248" s="14">
        <v>1</v>
      </c>
      <c r="H248" s="14">
        <v>0.93400000000000005</v>
      </c>
      <c r="I248" s="14">
        <v>0.95699999999999996</v>
      </c>
      <c r="J248" s="14">
        <v>0.96199999999999997</v>
      </c>
      <c r="K248" s="14">
        <v>0.97699999999999998</v>
      </c>
      <c r="L248" s="14">
        <v>0.97</v>
      </c>
      <c r="M248" s="14">
        <v>0.73699999999999999</v>
      </c>
      <c r="N248" s="14">
        <v>0.95099999999999996</v>
      </c>
      <c r="O248" s="14">
        <v>0.65300000000000002</v>
      </c>
      <c r="P248" s="14">
        <v>0.95199999999999996</v>
      </c>
      <c r="Q248" s="14">
        <v>1</v>
      </c>
      <c r="R248" s="14">
        <v>0.96</v>
      </c>
    </row>
    <row r="249" spans="1:19" s="4" customFormat="1" x14ac:dyDescent="0.25">
      <c r="A249" s="4" t="s">
        <v>412</v>
      </c>
      <c r="B249" s="4" t="s">
        <v>24</v>
      </c>
      <c r="C249" s="4">
        <v>24</v>
      </c>
      <c r="D249" s="4" t="s">
        <v>17</v>
      </c>
      <c r="E249" s="4" t="s">
        <v>12</v>
      </c>
      <c r="F249" s="14">
        <v>1</v>
      </c>
      <c r="G249" s="14">
        <v>1</v>
      </c>
      <c r="H249" s="14">
        <v>0.95099999999999996</v>
      </c>
      <c r="I249" s="14">
        <v>0.96299999999999997</v>
      </c>
      <c r="J249" s="14">
        <v>0.96799999999999997</v>
      </c>
      <c r="K249" s="14">
        <v>0.98599999999999999</v>
      </c>
      <c r="L249" s="14">
        <v>0.97</v>
      </c>
      <c r="M249" s="14">
        <v>0.78800000000000003</v>
      </c>
      <c r="N249" s="14">
        <v>0.95899999999999996</v>
      </c>
      <c r="O249" s="14">
        <v>0.95</v>
      </c>
      <c r="P249" s="14">
        <v>0.96099999999999997</v>
      </c>
      <c r="Q249" s="14">
        <v>1</v>
      </c>
      <c r="R249" s="14">
        <v>0.97699999999999998</v>
      </c>
    </row>
    <row r="250" spans="1:19" s="4" customFormat="1" x14ac:dyDescent="0.25">
      <c r="A250" s="4" t="s">
        <v>413</v>
      </c>
      <c r="B250" s="4" t="s">
        <v>416</v>
      </c>
      <c r="C250" s="4">
        <v>24</v>
      </c>
      <c r="D250" s="4" t="s">
        <v>17</v>
      </c>
      <c r="E250" s="4" t="s">
        <v>12</v>
      </c>
      <c r="F250" s="14">
        <v>0.99099999999999999</v>
      </c>
      <c r="G250" s="14">
        <v>0.99</v>
      </c>
      <c r="H250" s="14">
        <v>0.90200000000000002</v>
      </c>
      <c r="I250" s="14">
        <v>0.94099999999999995</v>
      </c>
      <c r="J250" s="14">
        <v>0.93899999999999995</v>
      </c>
      <c r="K250" s="14">
        <v>0.95799999999999996</v>
      </c>
      <c r="L250" s="14">
        <v>0.94699999999999995</v>
      </c>
      <c r="M250" s="14">
        <v>0.76600000000000001</v>
      </c>
      <c r="N250" s="14">
        <v>0.94899999999999995</v>
      </c>
      <c r="O250" s="14">
        <v>0.95199999999999996</v>
      </c>
      <c r="P250" s="14">
        <v>0.93500000000000005</v>
      </c>
      <c r="Q250" s="14">
        <v>1</v>
      </c>
      <c r="R250" s="14">
        <v>0.95599999999999996</v>
      </c>
    </row>
    <row r="251" spans="1:19" s="4" customFormat="1" x14ac:dyDescent="0.25">
      <c r="A251" s="4" t="s">
        <v>414</v>
      </c>
      <c r="B251" s="4" t="s">
        <v>416</v>
      </c>
      <c r="C251" s="4">
        <v>24</v>
      </c>
      <c r="D251" s="4" t="s">
        <v>17</v>
      </c>
      <c r="E251" s="4" t="s">
        <v>12</v>
      </c>
      <c r="F251" s="14">
        <v>0.89700000000000002</v>
      </c>
      <c r="G251" s="14">
        <v>0.97799999999999998</v>
      </c>
      <c r="H251" s="14">
        <v>0.85799999999999998</v>
      </c>
      <c r="I251" s="14">
        <v>0.90100000000000002</v>
      </c>
      <c r="J251" s="14">
        <v>0.9</v>
      </c>
      <c r="K251" s="14">
        <v>0.94199999999999995</v>
      </c>
      <c r="L251" s="14">
        <v>0.83899999999999997</v>
      </c>
      <c r="M251" s="14">
        <v>0.64</v>
      </c>
      <c r="N251" s="14">
        <v>0.91800000000000004</v>
      </c>
      <c r="O251" s="14">
        <v>0.91500000000000004</v>
      </c>
      <c r="P251" s="14">
        <v>0.88900000000000001</v>
      </c>
      <c r="Q251" s="14">
        <v>0.97699999999999998</v>
      </c>
      <c r="R251" s="14">
        <v>0.89800000000000002</v>
      </c>
    </row>
    <row r="252" spans="1:19" s="4" customFormat="1" x14ac:dyDescent="0.25">
      <c r="A252" s="4" t="s">
        <v>415</v>
      </c>
      <c r="B252" s="4" t="s">
        <v>391</v>
      </c>
      <c r="C252" s="4">
        <v>24</v>
      </c>
      <c r="D252" s="4" t="s">
        <v>17</v>
      </c>
      <c r="E252" s="4" t="s">
        <v>12</v>
      </c>
      <c r="F252" s="14">
        <v>0.95199999999999996</v>
      </c>
      <c r="G252" s="14">
        <v>0.94799999999999995</v>
      </c>
      <c r="H252" s="14">
        <v>0.88300000000000001</v>
      </c>
      <c r="I252" s="14">
        <v>0.91300000000000003</v>
      </c>
      <c r="J252" s="14">
        <v>0.93200000000000005</v>
      </c>
      <c r="K252" s="14">
        <v>0.63900000000000001</v>
      </c>
      <c r="L252" s="14">
        <v>0.93</v>
      </c>
      <c r="M252" s="14">
        <v>0.91600000000000004</v>
      </c>
      <c r="N252" s="14">
        <v>0.94099999999999995</v>
      </c>
      <c r="O252" s="14">
        <v>0.89700000000000002</v>
      </c>
      <c r="P252" s="14">
        <v>0.90200000000000002</v>
      </c>
      <c r="Q252" s="14">
        <v>0.97099999999999997</v>
      </c>
      <c r="R252" s="14">
        <v>0.92400000000000004</v>
      </c>
    </row>
    <row r="253" spans="1:19" s="4" customFormat="1" x14ac:dyDescent="0.25">
      <c r="A253" s="4" t="s">
        <v>417</v>
      </c>
      <c r="B253" s="4" t="s">
        <v>423</v>
      </c>
      <c r="C253" s="4">
        <v>24</v>
      </c>
      <c r="D253" s="4" t="s">
        <v>17</v>
      </c>
      <c r="E253" s="4" t="s">
        <v>12</v>
      </c>
      <c r="F253" s="14">
        <v>0.95699999999999996</v>
      </c>
      <c r="G253" s="14">
        <v>1</v>
      </c>
      <c r="H253" s="14">
        <v>0.89800000000000002</v>
      </c>
      <c r="I253" s="14">
        <v>0.93</v>
      </c>
      <c r="J253" s="14">
        <v>0.94299999999999995</v>
      </c>
      <c r="K253" s="14">
        <v>0.94199999999999995</v>
      </c>
      <c r="L253" s="14">
        <v>0.95299999999999996</v>
      </c>
      <c r="M253" s="14">
        <v>0.76800000000000002</v>
      </c>
      <c r="N253" s="14">
        <v>0.93300000000000005</v>
      </c>
      <c r="O253" s="14">
        <v>0.93700000000000006</v>
      </c>
      <c r="P253" s="14">
        <v>0.91800000000000004</v>
      </c>
      <c r="Q253" s="14">
        <v>1</v>
      </c>
      <c r="R253" s="14">
        <v>0.93799999999999994</v>
      </c>
    </row>
    <row r="254" spans="1:19" s="4" customFormat="1" x14ac:dyDescent="0.25">
      <c r="A254" s="4" t="s">
        <v>418</v>
      </c>
      <c r="B254" s="4" t="s">
        <v>423</v>
      </c>
      <c r="C254" s="4">
        <v>24</v>
      </c>
      <c r="D254" s="4" t="s">
        <v>17</v>
      </c>
      <c r="E254" s="4" t="s">
        <v>12</v>
      </c>
      <c r="F254" s="14">
        <v>0.93600000000000005</v>
      </c>
      <c r="G254" s="14">
        <v>0.998</v>
      </c>
      <c r="H254" s="14">
        <v>0.89100000000000001</v>
      </c>
      <c r="I254" s="14">
        <v>0.92600000000000005</v>
      </c>
      <c r="J254" s="14">
        <v>0.93799999999999994</v>
      </c>
      <c r="K254" s="14">
        <v>0.94099999999999995</v>
      </c>
      <c r="L254" s="14">
        <v>0.95199999999999996</v>
      </c>
      <c r="M254" s="14">
        <v>0.77700000000000002</v>
      </c>
      <c r="N254" s="14">
        <v>0.93</v>
      </c>
      <c r="O254" s="14">
        <v>0.93200000000000005</v>
      </c>
      <c r="P254" s="14">
        <v>0.91700000000000004</v>
      </c>
      <c r="Q254" s="14">
        <v>0.97099999999999997</v>
      </c>
      <c r="R254" s="14">
        <v>0.93600000000000005</v>
      </c>
    </row>
    <row r="255" spans="1:19" s="4" customFormat="1" x14ac:dyDescent="0.25">
      <c r="A255" s="4" t="s">
        <v>419</v>
      </c>
      <c r="B255" s="4" t="s">
        <v>424</v>
      </c>
      <c r="C255" s="4">
        <v>24</v>
      </c>
      <c r="D255" s="4" t="s">
        <v>17</v>
      </c>
      <c r="E255" s="4" t="s">
        <v>12</v>
      </c>
      <c r="F255" s="14">
        <v>0.98</v>
      </c>
      <c r="G255" s="14">
        <v>0.98099999999999998</v>
      </c>
      <c r="H255" s="14">
        <v>0.86699999999999999</v>
      </c>
      <c r="I255" s="14">
        <v>0.91800000000000004</v>
      </c>
      <c r="J255" s="14">
        <v>0.92400000000000004</v>
      </c>
      <c r="K255" s="14">
        <v>0.91800000000000004</v>
      </c>
      <c r="L255" s="14">
        <v>0.92500000000000004</v>
      </c>
      <c r="M255" s="14">
        <v>0.77</v>
      </c>
      <c r="N255" s="14">
        <v>0.93600000000000005</v>
      </c>
      <c r="O255" s="14">
        <v>0.92800000000000005</v>
      </c>
      <c r="P255" s="14">
        <v>0.91</v>
      </c>
      <c r="Q255" s="14">
        <v>1</v>
      </c>
      <c r="R255" s="14">
        <v>0.92900000000000005</v>
      </c>
    </row>
    <row r="256" spans="1:19" s="4" customFormat="1" x14ac:dyDescent="0.25">
      <c r="A256" s="4" t="s">
        <v>422</v>
      </c>
      <c r="B256" s="4" t="s">
        <v>391</v>
      </c>
      <c r="C256" s="4">
        <v>25</v>
      </c>
      <c r="D256" s="4" t="s">
        <v>17</v>
      </c>
      <c r="E256" s="4" t="s">
        <v>15</v>
      </c>
      <c r="F256" s="14">
        <v>0.89400000000000002</v>
      </c>
      <c r="G256" s="14">
        <v>0.871</v>
      </c>
      <c r="H256" s="14">
        <v>0.79500000000000004</v>
      </c>
      <c r="I256" s="14">
        <v>0.84599999999999997</v>
      </c>
      <c r="J256" s="14">
        <v>0.879</v>
      </c>
      <c r="K256" s="14">
        <v>0.76400000000000001</v>
      </c>
      <c r="L256" s="14">
        <v>0.90400000000000003</v>
      </c>
      <c r="M256" s="14">
        <v>0.84599999999999997</v>
      </c>
      <c r="N256" s="14">
        <v>0.86799999999999999</v>
      </c>
      <c r="O256" s="14">
        <v>0.72399999999999998</v>
      </c>
      <c r="P256" s="14">
        <v>0.82199999999999995</v>
      </c>
      <c r="Q256" s="14">
        <v>0.89400000000000002</v>
      </c>
      <c r="R256" s="14">
        <v>0.51200000000000001</v>
      </c>
    </row>
    <row r="257" spans="1:19" s="4" customFormat="1" x14ac:dyDescent="0.25">
      <c r="A257" s="4" t="s">
        <v>427</v>
      </c>
      <c r="B257" s="4" t="s">
        <v>391</v>
      </c>
      <c r="C257" s="4">
        <v>25</v>
      </c>
      <c r="D257" s="4" t="s">
        <v>17</v>
      </c>
      <c r="E257" s="4" t="s">
        <v>15</v>
      </c>
      <c r="F257" s="14">
        <v>0.85199999999999998</v>
      </c>
      <c r="G257" s="14">
        <v>0.66200000000000003</v>
      </c>
      <c r="H257" s="14">
        <v>0.77900000000000003</v>
      </c>
      <c r="I257" s="14">
        <v>0.85699999999999998</v>
      </c>
      <c r="J257" s="14">
        <v>0.91100000000000003</v>
      </c>
      <c r="K257" s="14">
        <v>0.56499999999999995</v>
      </c>
      <c r="L257" s="14">
        <v>0.89900000000000002</v>
      </c>
      <c r="M257" s="14">
        <v>0.82099999999999995</v>
      </c>
      <c r="N257" s="14">
        <v>0.88400000000000001</v>
      </c>
      <c r="O257" s="14">
        <v>0.80900000000000005</v>
      </c>
      <c r="P257" s="14">
        <v>0.84599999999999997</v>
      </c>
      <c r="Q257" s="14">
        <v>0.89600000000000002</v>
      </c>
      <c r="R257" s="14">
        <v>0.56699999999999995</v>
      </c>
    </row>
    <row r="258" spans="1:19" s="4" customFormat="1" x14ac:dyDescent="0.25">
      <c r="A258" s="4" t="s">
        <v>430</v>
      </c>
      <c r="B258" s="4" t="s">
        <v>425</v>
      </c>
      <c r="C258" s="4">
        <v>25</v>
      </c>
      <c r="D258" s="4" t="s">
        <v>17</v>
      </c>
      <c r="E258" s="4" t="s">
        <v>15</v>
      </c>
      <c r="F258" s="14">
        <v>0.86599999999999999</v>
      </c>
      <c r="G258" s="14">
        <v>0.84699999999999998</v>
      </c>
      <c r="H258" s="14">
        <v>0.71399999999999997</v>
      </c>
      <c r="I258" s="14">
        <v>0.79900000000000004</v>
      </c>
      <c r="J258" s="14">
        <v>0.83799999999999997</v>
      </c>
      <c r="K258" s="14">
        <v>0.89400000000000002</v>
      </c>
      <c r="L258" s="14">
        <v>0.88600000000000001</v>
      </c>
      <c r="M258" s="14">
        <v>0.76300000000000001</v>
      </c>
      <c r="N258" s="14">
        <v>0.82299999999999995</v>
      </c>
      <c r="O258" s="14">
        <v>0.59099999999999997</v>
      </c>
      <c r="P258" s="14">
        <v>0.80200000000000005</v>
      </c>
      <c r="Q258" s="14">
        <v>0.84099999999999997</v>
      </c>
      <c r="R258" s="14">
        <v>0.51600000000000001</v>
      </c>
    </row>
    <row r="259" spans="1:19" s="4" customFormat="1" x14ac:dyDescent="0.25">
      <c r="A259" s="4" t="s">
        <v>431</v>
      </c>
      <c r="B259" s="4" t="s">
        <v>425</v>
      </c>
      <c r="C259" s="4">
        <v>25</v>
      </c>
      <c r="D259" s="4" t="s">
        <v>17</v>
      </c>
      <c r="E259" s="4" t="s">
        <v>15</v>
      </c>
      <c r="F259" s="14">
        <v>0.79500000000000004</v>
      </c>
      <c r="G259" s="14">
        <v>0.69299999999999995</v>
      </c>
      <c r="H259" s="14">
        <v>0.63600000000000001</v>
      </c>
      <c r="I259" s="14">
        <v>0.75800000000000001</v>
      </c>
      <c r="J259" s="14">
        <v>0.82499999999999996</v>
      </c>
      <c r="K259" s="14">
        <v>0.85499999999999998</v>
      </c>
      <c r="L259" s="14">
        <v>0.83699999999999997</v>
      </c>
      <c r="M259" s="14">
        <v>0.68200000000000005</v>
      </c>
      <c r="N259" s="14">
        <v>0.81200000000000006</v>
      </c>
      <c r="O259" s="14">
        <v>0.64700000000000002</v>
      </c>
      <c r="P259" s="14">
        <v>0.74399999999999999</v>
      </c>
      <c r="Q259" s="14">
        <v>0.81599999999999995</v>
      </c>
      <c r="R259" s="14">
        <v>0.443</v>
      </c>
    </row>
    <row r="260" spans="1:19" s="4" customFormat="1" x14ac:dyDescent="0.25">
      <c r="A260" s="4" t="s">
        <v>436</v>
      </c>
      <c r="B260" s="4" t="s">
        <v>391</v>
      </c>
      <c r="C260" s="4">
        <v>26</v>
      </c>
      <c r="D260" s="4" t="s">
        <v>17</v>
      </c>
      <c r="E260" s="4" t="s">
        <v>12</v>
      </c>
      <c r="F260" s="14">
        <v>0.98599999999999999</v>
      </c>
      <c r="G260" s="14">
        <v>0.91400000000000003</v>
      </c>
      <c r="H260" s="14">
        <v>0.93100000000000005</v>
      </c>
      <c r="I260" s="14">
        <v>0.92500000000000004</v>
      </c>
      <c r="J260" s="14">
        <v>0.96899999999999997</v>
      </c>
      <c r="K260" s="14">
        <v>0.77900000000000003</v>
      </c>
      <c r="L260" s="14">
        <v>0.97699999999999998</v>
      </c>
      <c r="M260" s="14">
        <v>0.92600000000000005</v>
      </c>
      <c r="N260" s="14">
        <v>0.94799999999999995</v>
      </c>
      <c r="O260" s="14">
        <v>0.95399999999999996</v>
      </c>
      <c r="P260" s="14">
        <v>0.94299999999999995</v>
      </c>
      <c r="Q260" s="14">
        <v>1</v>
      </c>
      <c r="R260" s="14">
        <v>0.877</v>
      </c>
    </row>
    <row r="261" spans="1:19" s="4" customFormat="1" x14ac:dyDescent="0.25">
      <c r="A261" s="4" t="s">
        <v>434</v>
      </c>
      <c r="B261" s="4" t="s">
        <v>391</v>
      </c>
      <c r="C261" s="4">
        <v>26</v>
      </c>
      <c r="D261" s="4" t="s">
        <v>17</v>
      </c>
      <c r="E261" s="4" t="s">
        <v>12</v>
      </c>
      <c r="F261" s="14">
        <v>0.91900000000000004</v>
      </c>
      <c r="G261" s="14">
        <v>0.85199999999999998</v>
      </c>
      <c r="H261" s="14">
        <v>0.84699999999999998</v>
      </c>
      <c r="I261" s="14">
        <v>0.86699999999999999</v>
      </c>
      <c r="J261" s="14">
        <v>0.88100000000000001</v>
      </c>
      <c r="K261" s="14">
        <v>0.82699999999999996</v>
      </c>
      <c r="L261" s="14">
        <v>0.88800000000000001</v>
      </c>
      <c r="M261" s="14">
        <v>0.89600000000000002</v>
      </c>
      <c r="N261" s="14">
        <v>0.88400000000000001</v>
      </c>
      <c r="O261" s="14">
        <v>0.88100000000000001</v>
      </c>
      <c r="P261" s="14">
        <v>0.85899999999999999</v>
      </c>
      <c r="Q261" s="14">
        <v>0.94499999999999995</v>
      </c>
      <c r="R261" s="14">
        <v>0.875</v>
      </c>
    </row>
    <row r="262" spans="1:19" s="4" customFormat="1" x14ac:dyDescent="0.25">
      <c r="A262" s="4" t="s">
        <v>435</v>
      </c>
      <c r="B262" s="4" t="s">
        <v>24</v>
      </c>
      <c r="C262" s="4">
        <v>26</v>
      </c>
      <c r="D262" s="4" t="s">
        <v>17</v>
      </c>
      <c r="E262" s="4" t="s">
        <v>12</v>
      </c>
      <c r="F262" s="14">
        <v>1</v>
      </c>
      <c r="G262" s="14">
        <v>0.96799999999999997</v>
      </c>
      <c r="H262" s="14">
        <v>0.95599999999999996</v>
      </c>
      <c r="I262" s="14">
        <v>0.95399999999999996</v>
      </c>
      <c r="J262" s="14">
        <v>0.98599999999999999</v>
      </c>
      <c r="K262" s="14">
        <v>0.96299999999999997</v>
      </c>
      <c r="L262" s="14">
        <v>0.98499999999999999</v>
      </c>
      <c r="M262" s="14">
        <v>0.99099999999999999</v>
      </c>
      <c r="N262" s="14">
        <v>0.99299999999999999</v>
      </c>
      <c r="O262" s="14">
        <v>0.99</v>
      </c>
      <c r="P262" s="14">
        <v>0.96599999999999997</v>
      </c>
      <c r="Q262" s="14">
        <v>1</v>
      </c>
      <c r="R262" s="14">
        <v>0.99299999999999999</v>
      </c>
    </row>
    <row r="263" spans="1:19" s="4" customFormat="1" x14ac:dyDescent="0.25">
      <c r="A263" s="4" t="s">
        <v>438</v>
      </c>
      <c r="B263" s="4" t="s">
        <v>439</v>
      </c>
      <c r="C263" s="4">
        <v>26</v>
      </c>
      <c r="D263" s="4" t="s">
        <v>17</v>
      </c>
      <c r="E263" s="4" t="s">
        <v>12</v>
      </c>
      <c r="F263" s="33">
        <f>AVERAGE(G263:R263)</f>
        <v>0.94783333333333342</v>
      </c>
      <c r="G263" s="14">
        <v>0.94199999999999995</v>
      </c>
      <c r="H263" s="14">
        <v>0.92300000000000004</v>
      </c>
      <c r="I263" s="14">
        <v>0.91400000000000003</v>
      </c>
      <c r="J263" s="14">
        <v>0.96599999999999997</v>
      </c>
      <c r="K263" s="14">
        <v>0.94299999999999995</v>
      </c>
      <c r="L263" s="14">
        <v>0.98</v>
      </c>
      <c r="M263" s="14">
        <v>0.89100000000000001</v>
      </c>
      <c r="N263" s="14">
        <v>0.96599999999999997</v>
      </c>
      <c r="O263" s="14">
        <v>0.97299999999999998</v>
      </c>
      <c r="P263" s="14">
        <v>0.93500000000000005</v>
      </c>
      <c r="Q263" s="14">
        <v>1</v>
      </c>
      <c r="R263" s="14">
        <v>0.94099999999999995</v>
      </c>
    </row>
    <row r="264" spans="1:19" s="4" customFormat="1" x14ac:dyDescent="0.25">
      <c r="A264" s="4" t="s">
        <v>437</v>
      </c>
      <c r="B264" s="4" t="s">
        <v>439</v>
      </c>
      <c r="C264" s="4">
        <v>26</v>
      </c>
      <c r="D264" s="4" t="s">
        <v>17</v>
      </c>
      <c r="E264" s="4" t="s">
        <v>12</v>
      </c>
      <c r="F264" s="33">
        <f>AVERAGE(G264:R264)</f>
        <v>0.93325000000000014</v>
      </c>
      <c r="G264" s="14">
        <v>0.92800000000000005</v>
      </c>
      <c r="H264" s="14">
        <v>0.91300000000000003</v>
      </c>
      <c r="I264" s="14">
        <v>0.92100000000000004</v>
      </c>
      <c r="J264" s="14">
        <v>0.93899999999999995</v>
      </c>
      <c r="K264" s="14">
        <v>0.91800000000000004</v>
      </c>
      <c r="L264" s="14">
        <v>0.94699999999999995</v>
      </c>
      <c r="M264" s="14">
        <v>0.92600000000000005</v>
      </c>
      <c r="N264" s="14">
        <v>0.93100000000000005</v>
      </c>
      <c r="O264" s="14">
        <v>0.93700000000000006</v>
      </c>
      <c r="P264" s="14">
        <v>0.92300000000000004</v>
      </c>
      <c r="Q264" s="14">
        <v>0.98</v>
      </c>
      <c r="R264" s="14">
        <v>0.93600000000000005</v>
      </c>
    </row>
    <row r="265" spans="1:19" s="4" customFormat="1" x14ac:dyDescent="0.25">
      <c r="A265" s="4" t="s">
        <v>443</v>
      </c>
      <c r="B265" s="4" t="s">
        <v>298</v>
      </c>
      <c r="C265" s="4">
        <v>27</v>
      </c>
      <c r="D265" s="4" t="s">
        <v>16</v>
      </c>
      <c r="E265" s="4" t="s">
        <v>240</v>
      </c>
      <c r="F265" s="33">
        <v>0.77</v>
      </c>
      <c r="G265" s="33">
        <v>0.77</v>
      </c>
      <c r="H265" s="14">
        <v>0.67800000000000005</v>
      </c>
      <c r="I265" s="14">
        <v>0.81</v>
      </c>
      <c r="J265" s="14">
        <v>0.82899999999999996</v>
      </c>
      <c r="K265" s="14">
        <v>0.73099999999999998</v>
      </c>
      <c r="L265" s="14">
        <v>0.78800000000000003</v>
      </c>
      <c r="M265" s="33">
        <v>0.77</v>
      </c>
      <c r="N265" s="14">
        <v>0.71299999999999997</v>
      </c>
      <c r="O265" s="33">
        <v>0.77</v>
      </c>
      <c r="P265" s="14">
        <v>0.84099999999999997</v>
      </c>
      <c r="Q265" s="33">
        <v>0.77</v>
      </c>
      <c r="R265" s="33">
        <v>0.77</v>
      </c>
      <c r="S265" s="4" t="s">
        <v>357</v>
      </c>
    </row>
    <row r="266" spans="1:19" s="4" customFormat="1" x14ac:dyDescent="0.25">
      <c r="A266" s="4" t="s">
        <v>446</v>
      </c>
      <c r="B266" s="4" t="s">
        <v>24</v>
      </c>
      <c r="C266" s="4">
        <v>28</v>
      </c>
      <c r="D266" s="4" t="s">
        <v>17</v>
      </c>
      <c r="E266" s="4" t="s">
        <v>12</v>
      </c>
      <c r="F266" s="33">
        <f>AVERAGE(G266:R266)</f>
        <v>0.95808333333333329</v>
      </c>
      <c r="G266" s="14">
        <v>0.96199999999999997</v>
      </c>
      <c r="H266" s="14">
        <v>0.96</v>
      </c>
      <c r="I266" s="14">
        <v>0.95599999999999996</v>
      </c>
      <c r="J266" s="14">
        <v>0.96199999999999997</v>
      </c>
      <c r="K266" s="14">
        <v>0.96299999999999997</v>
      </c>
      <c r="L266" s="14">
        <v>0.96099999999999997</v>
      </c>
      <c r="M266" s="14">
        <v>0.91</v>
      </c>
      <c r="N266" s="14">
        <v>0.95399999999999996</v>
      </c>
      <c r="O266" s="14">
        <v>0.95899999999999996</v>
      </c>
      <c r="P266" s="14">
        <v>0.95699999999999996</v>
      </c>
      <c r="Q266" s="14">
        <v>1</v>
      </c>
      <c r="R266" s="14">
        <v>0.95299999999999996</v>
      </c>
      <c r="S266" s="4" t="s">
        <v>357</v>
      </c>
    </row>
    <row r="267" spans="1:19" s="4" customFormat="1" x14ac:dyDescent="0.25">
      <c r="A267" s="4" t="s">
        <v>447</v>
      </c>
      <c r="B267" s="4" t="s">
        <v>24</v>
      </c>
      <c r="C267" s="4">
        <v>28</v>
      </c>
      <c r="D267" s="4" t="s">
        <v>17</v>
      </c>
      <c r="E267" s="4" t="s">
        <v>12</v>
      </c>
      <c r="F267" s="33">
        <f t="shared" ref="F267:F282" si="2">AVERAGE(G267:R267)</f>
        <v>0.96216666666666673</v>
      </c>
      <c r="G267" s="14">
        <v>0.97899999999999998</v>
      </c>
      <c r="H267" s="14">
        <v>0.94899999999999995</v>
      </c>
      <c r="I267" s="14">
        <v>0.96499999999999997</v>
      </c>
      <c r="J267" s="14">
        <v>0.96699999999999997</v>
      </c>
      <c r="K267" s="14">
        <v>0.96799999999999997</v>
      </c>
      <c r="L267" s="14">
        <v>0.96399999999999997</v>
      </c>
      <c r="M267" s="14">
        <v>0.90700000000000003</v>
      </c>
      <c r="N267" s="14">
        <v>0.96099999999999997</v>
      </c>
      <c r="O267" s="14">
        <v>0.96</v>
      </c>
      <c r="P267" s="14">
        <v>0.95699999999999996</v>
      </c>
      <c r="Q267" s="14">
        <v>1</v>
      </c>
      <c r="R267" s="14">
        <v>0.96899999999999997</v>
      </c>
      <c r="S267" s="4" t="s">
        <v>357</v>
      </c>
    </row>
    <row r="268" spans="1:19" s="4" customFormat="1" x14ac:dyDescent="0.25">
      <c r="A268" s="4" t="s">
        <v>448</v>
      </c>
      <c r="B268" s="4" t="s">
        <v>24</v>
      </c>
      <c r="C268" s="4">
        <v>28</v>
      </c>
      <c r="D268" s="4" t="s">
        <v>17</v>
      </c>
      <c r="E268" s="4" t="s">
        <v>12</v>
      </c>
      <c r="F268" s="33">
        <f t="shared" si="2"/>
        <v>0.96333333333333337</v>
      </c>
      <c r="G268" s="14">
        <v>0.96899999999999997</v>
      </c>
      <c r="H268" s="14">
        <v>0.96199999999999997</v>
      </c>
      <c r="I268" s="14">
        <v>0.96699999999999997</v>
      </c>
      <c r="J268" s="14">
        <v>0.97199999999999998</v>
      </c>
      <c r="K268" s="14">
        <v>0.96399999999999997</v>
      </c>
      <c r="L268" s="14">
        <v>0.97</v>
      </c>
      <c r="M268" s="14">
        <v>0.89900000000000002</v>
      </c>
      <c r="N268" s="14">
        <v>0.96499999999999997</v>
      </c>
      <c r="O268" s="14">
        <v>0.97</v>
      </c>
      <c r="P268" s="14">
        <v>0.96399999999999997</v>
      </c>
      <c r="Q268" s="14">
        <v>1</v>
      </c>
      <c r="R268" s="14">
        <v>0.95799999999999996</v>
      </c>
      <c r="S268" s="4" t="s">
        <v>357</v>
      </c>
    </row>
    <row r="269" spans="1:19" s="4" customFormat="1" x14ac:dyDescent="0.25">
      <c r="A269" s="4" t="s">
        <v>449</v>
      </c>
      <c r="B269" s="4" t="s">
        <v>24</v>
      </c>
      <c r="C269" s="4">
        <v>28</v>
      </c>
      <c r="D269" s="4" t="s">
        <v>17</v>
      </c>
      <c r="E269" s="4" t="s">
        <v>12</v>
      </c>
      <c r="F269" s="33">
        <f t="shared" si="2"/>
        <v>0.98191666666666666</v>
      </c>
      <c r="G269" s="14">
        <v>0.98199999999999998</v>
      </c>
      <c r="H269" s="14">
        <v>0.98699999999999999</v>
      </c>
      <c r="I269" s="14">
        <v>0.97599999999999998</v>
      </c>
      <c r="J269" s="14">
        <v>0.98499999999999999</v>
      </c>
      <c r="K269" s="14">
        <v>0.98399999999999999</v>
      </c>
      <c r="L269" s="14">
        <v>0.97699999999999998</v>
      </c>
      <c r="M269" s="14">
        <v>0.96</v>
      </c>
      <c r="N269" s="14">
        <v>0.98</v>
      </c>
      <c r="O269" s="14">
        <v>0.99</v>
      </c>
      <c r="P269" s="14">
        <v>0.97399999999999998</v>
      </c>
      <c r="Q269" s="14">
        <v>1</v>
      </c>
      <c r="R269" s="14">
        <v>0.98799999999999999</v>
      </c>
      <c r="S269" s="4" t="s">
        <v>357</v>
      </c>
    </row>
    <row r="270" spans="1:19" s="4" customFormat="1" x14ac:dyDescent="0.25">
      <c r="A270" s="4" t="s">
        <v>450</v>
      </c>
      <c r="B270" s="4" t="s">
        <v>24</v>
      </c>
      <c r="C270" s="4">
        <v>28</v>
      </c>
      <c r="D270" s="4" t="s">
        <v>17</v>
      </c>
      <c r="E270" s="4" t="s">
        <v>12</v>
      </c>
      <c r="F270" s="33">
        <f t="shared" si="2"/>
        <v>0.96250000000000002</v>
      </c>
      <c r="G270" s="14">
        <v>0.97599999999999998</v>
      </c>
      <c r="H270" s="14">
        <v>0.96599999999999997</v>
      </c>
      <c r="I270" s="14">
        <v>0.96299999999999997</v>
      </c>
      <c r="J270" s="14">
        <v>0.97</v>
      </c>
      <c r="K270" s="14">
        <v>0.96199999999999997</v>
      </c>
      <c r="L270" s="14">
        <v>0.96599999999999997</v>
      </c>
      <c r="M270" s="14">
        <v>0.88300000000000001</v>
      </c>
      <c r="N270" s="14">
        <v>0.96199999999999997</v>
      </c>
      <c r="O270" s="14">
        <v>0.97299999999999998</v>
      </c>
      <c r="P270" s="14">
        <v>0.96499999999999997</v>
      </c>
      <c r="Q270" s="14">
        <v>1</v>
      </c>
      <c r="R270" s="14">
        <v>0.96399999999999997</v>
      </c>
      <c r="S270" s="4" t="s">
        <v>357</v>
      </c>
    </row>
    <row r="271" spans="1:19" s="4" customFormat="1" x14ac:dyDescent="0.25">
      <c r="A271" s="4" t="s">
        <v>451</v>
      </c>
      <c r="B271" s="4" t="s">
        <v>24</v>
      </c>
      <c r="C271" s="4">
        <v>28</v>
      </c>
      <c r="D271" s="4" t="s">
        <v>17</v>
      </c>
      <c r="E271" s="4" t="s">
        <v>12</v>
      </c>
      <c r="F271" s="33">
        <f t="shared" si="2"/>
        <v>0.96883333333333332</v>
      </c>
      <c r="G271" s="14">
        <v>0.97099999999999997</v>
      </c>
      <c r="H271" s="14">
        <v>0.96699999999999997</v>
      </c>
      <c r="I271" s="14">
        <v>0.97</v>
      </c>
      <c r="J271" s="14">
        <v>0.97699999999999998</v>
      </c>
      <c r="K271" s="14">
        <v>0.97699999999999998</v>
      </c>
      <c r="L271" s="14">
        <v>0.97499999999999998</v>
      </c>
      <c r="M271" s="14">
        <v>0.89700000000000002</v>
      </c>
      <c r="N271" s="14">
        <v>0.97</v>
      </c>
      <c r="O271" s="14">
        <v>0.98</v>
      </c>
      <c r="P271" s="14">
        <v>0.96899999999999997</v>
      </c>
      <c r="Q271" s="14">
        <v>1</v>
      </c>
      <c r="R271" s="14">
        <v>0.97299999999999998</v>
      </c>
      <c r="S271" s="4" t="s">
        <v>357</v>
      </c>
    </row>
    <row r="272" spans="1:19" s="4" customFormat="1" x14ac:dyDescent="0.25">
      <c r="A272" s="4" t="s">
        <v>452</v>
      </c>
      <c r="B272" s="4" t="s">
        <v>24</v>
      </c>
      <c r="C272" s="4">
        <v>28</v>
      </c>
      <c r="D272" s="4" t="s">
        <v>17</v>
      </c>
      <c r="E272" s="4" t="s">
        <v>12</v>
      </c>
      <c r="F272" s="33">
        <f t="shared" si="2"/>
        <v>0.95316666666666661</v>
      </c>
      <c r="G272" s="14">
        <v>0.94799999999999995</v>
      </c>
      <c r="H272" s="14">
        <v>0.94099999999999995</v>
      </c>
      <c r="I272" s="14">
        <v>0.96</v>
      </c>
      <c r="J272" s="14">
        <v>0.96099999999999997</v>
      </c>
      <c r="K272" s="14">
        <v>0.96099999999999997</v>
      </c>
      <c r="L272" s="14">
        <v>0.96599999999999997</v>
      </c>
      <c r="M272" s="14">
        <v>0.878</v>
      </c>
      <c r="N272" s="14">
        <v>0.95299999999999996</v>
      </c>
      <c r="O272" s="14">
        <v>0.96399999999999997</v>
      </c>
      <c r="P272" s="14">
        <v>0.94699999999999995</v>
      </c>
      <c r="Q272" s="14">
        <v>1</v>
      </c>
      <c r="R272" s="14">
        <v>0.95899999999999996</v>
      </c>
      <c r="S272" s="4" t="s">
        <v>357</v>
      </c>
    </row>
    <row r="273" spans="1:19" s="4" customFormat="1" x14ac:dyDescent="0.25">
      <c r="A273" s="4" t="s">
        <v>453</v>
      </c>
      <c r="B273" s="4" t="s">
        <v>24</v>
      </c>
      <c r="C273" s="4">
        <v>28</v>
      </c>
      <c r="D273" s="4" t="s">
        <v>17</v>
      </c>
      <c r="E273" s="4" t="s">
        <v>12</v>
      </c>
      <c r="F273" s="33">
        <f t="shared" si="2"/>
        <v>0.96508333333333318</v>
      </c>
      <c r="G273" s="14">
        <v>0.98</v>
      </c>
      <c r="H273" s="14">
        <v>0.96499999999999997</v>
      </c>
      <c r="I273" s="14">
        <v>0.96599999999999997</v>
      </c>
      <c r="J273" s="14">
        <v>0.97199999999999998</v>
      </c>
      <c r="K273" s="14">
        <v>0.96699999999999997</v>
      </c>
      <c r="L273" s="14">
        <v>0.97</v>
      </c>
      <c r="M273" s="14">
        <v>0.89200000000000002</v>
      </c>
      <c r="N273" s="14">
        <v>0.96499999999999997</v>
      </c>
      <c r="O273" s="14">
        <v>0.97599999999999998</v>
      </c>
      <c r="P273" s="14">
        <v>0.96499999999999997</v>
      </c>
      <c r="Q273" s="14">
        <v>1</v>
      </c>
      <c r="R273" s="14">
        <v>0.96299999999999997</v>
      </c>
      <c r="S273" s="4" t="s">
        <v>357</v>
      </c>
    </row>
    <row r="274" spans="1:19" s="4" customFormat="1" x14ac:dyDescent="0.25">
      <c r="A274" s="4" t="s">
        <v>456</v>
      </c>
      <c r="B274" s="4" t="s">
        <v>24</v>
      </c>
      <c r="C274" s="4">
        <v>29</v>
      </c>
      <c r="D274" s="4" t="s">
        <v>17</v>
      </c>
      <c r="E274" s="4" t="s">
        <v>12</v>
      </c>
      <c r="F274" s="33">
        <f t="shared" si="2"/>
        <v>0.97733333333333328</v>
      </c>
      <c r="G274" s="14">
        <v>0.99</v>
      </c>
      <c r="H274" s="14">
        <v>0.97799999999999998</v>
      </c>
      <c r="I274" s="14">
        <v>0.97799999999999998</v>
      </c>
      <c r="J274" s="14">
        <v>0.98</v>
      </c>
      <c r="K274" s="14">
        <v>0.98499999999999999</v>
      </c>
      <c r="L274" s="14">
        <v>0.98</v>
      </c>
      <c r="M274" s="14">
        <v>0.92600000000000005</v>
      </c>
      <c r="N274" s="14">
        <v>0.97599999999999998</v>
      </c>
      <c r="O274" s="14">
        <v>0.98</v>
      </c>
      <c r="P274" s="14">
        <v>0.97</v>
      </c>
      <c r="Q274" s="14">
        <v>1</v>
      </c>
      <c r="R274" s="14">
        <v>0.98499999999999999</v>
      </c>
      <c r="S274" s="4" t="s">
        <v>357</v>
      </c>
    </row>
    <row r="275" spans="1:19" s="4" customFormat="1" x14ac:dyDescent="0.25">
      <c r="A275" s="4" t="s">
        <v>457</v>
      </c>
      <c r="B275" s="4" t="s">
        <v>24</v>
      </c>
      <c r="C275" s="4">
        <v>29</v>
      </c>
      <c r="D275" s="4" t="s">
        <v>17</v>
      </c>
      <c r="E275" s="4" t="s">
        <v>12</v>
      </c>
      <c r="F275" s="33">
        <f t="shared" si="2"/>
        <v>0.96341666666666681</v>
      </c>
      <c r="G275" s="14">
        <v>0.97199999999999998</v>
      </c>
      <c r="H275" s="14">
        <v>0.95799999999999996</v>
      </c>
      <c r="I275" s="14">
        <v>0.96599999999999997</v>
      </c>
      <c r="J275" s="14">
        <v>0.96799999999999997</v>
      </c>
      <c r="K275" s="14">
        <v>0.97199999999999998</v>
      </c>
      <c r="L275" s="14">
        <v>0.97399999999999998</v>
      </c>
      <c r="M275" s="14">
        <v>0.88700000000000001</v>
      </c>
      <c r="N275" s="14">
        <v>0.98899999999999999</v>
      </c>
      <c r="O275" s="14">
        <v>0.96799999999999997</v>
      </c>
      <c r="P275" s="14">
        <v>0.95399999999999996</v>
      </c>
      <c r="Q275" s="14">
        <v>0.98599999999999999</v>
      </c>
      <c r="R275" s="14">
        <v>0.96699999999999997</v>
      </c>
      <c r="S275" s="4" t="s">
        <v>357</v>
      </c>
    </row>
    <row r="276" spans="1:19" s="4" customFormat="1" x14ac:dyDescent="0.25">
      <c r="A276" s="4" t="s">
        <v>458</v>
      </c>
      <c r="B276" s="4" t="s">
        <v>24</v>
      </c>
      <c r="C276" s="4">
        <v>29</v>
      </c>
      <c r="D276" s="4" t="s">
        <v>17</v>
      </c>
      <c r="E276" s="4" t="s">
        <v>12</v>
      </c>
      <c r="F276" s="33">
        <f t="shared" si="2"/>
        <v>0.95591666666666664</v>
      </c>
      <c r="G276" s="14">
        <v>0.95699999999999996</v>
      </c>
      <c r="H276" s="14">
        <v>0.95799999999999996</v>
      </c>
      <c r="I276" s="14">
        <v>0.96099999999999997</v>
      </c>
      <c r="J276" s="14">
        <v>0.96499999999999997</v>
      </c>
      <c r="K276" s="14">
        <v>0.96699999999999997</v>
      </c>
      <c r="L276" s="14">
        <v>0.97</v>
      </c>
      <c r="M276" s="14">
        <v>0.88400000000000001</v>
      </c>
      <c r="N276" s="14">
        <v>0.95799999999999996</v>
      </c>
      <c r="O276" s="14">
        <v>0.95499999999999996</v>
      </c>
      <c r="P276" s="14">
        <v>0.95399999999999996</v>
      </c>
      <c r="Q276" s="14">
        <v>0.99399999999999999</v>
      </c>
      <c r="R276" s="14">
        <v>0.94799999999999995</v>
      </c>
      <c r="S276" s="4" t="s">
        <v>357</v>
      </c>
    </row>
    <row r="277" spans="1:19" s="4" customFormat="1" x14ac:dyDescent="0.25">
      <c r="A277" s="4" t="s">
        <v>459</v>
      </c>
      <c r="B277" s="4" t="s">
        <v>24</v>
      </c>
      <c r="C277" s="4">
        <v>29</v>
      </c>
      <c r="D277" s="4" t="s">
        <v>17</v>
      </c>
      <c r="E277" s="4" t="s">
        <v>12</v>
      </c>
      <c r="F277" s="33">
        <f t="shared" si="2"/>
        <v>0.9291666666666667</v>
      </c>
      <c r="G277" s="14">
        <v>0.92200000000000004</v>
      </c>
      <c r="H277" s="14">
        <v>0.92800000000000005</v>
      </c>
      <c r="I277" s="14">
        <v>0.93899999999999995</v>
      </c>
      <c r="J277" s="14">
        <v>0.94799999999999995</v>
      </c>
      <c r="K277" s="14">
        <v>0.95699999999999996</v>
      </c>
      <c r="L277" s="14">
        <v>0.95799999999999996</v>
      </c>
      <c r="M277" s="14">
        <v>0.77100000000000002</v>
      </c>
      <c r="N277" s="14">
        <v>0.93899999999999995</v>
      </c>
      <c r="O277" s="14">
        <v>0.94799999999999995</v>
      </c>
      <c r="P277" s="14">
        <v>0.92600000000000005</v>
      </c>
      <c r="Q277" s="14">
        <v>0.98</v>
      </c>
      <c r="R277" s="14">
        <v>0.93400000000000005</v>
      </c>
      <c r="S277" s="4" t="s">
        <v>357</v>
      </c>
    </row>
    <row r="278" spans="1:19" s="4" customFormat="1" x14ac:dyDescent="0.25">
      <c r="A278" s="4" t="s">
        <v>460</v>
      </c>
      <c r="B278" s="4" t="s">
        <v>24</v>
      </c>
      <c r="C278" s="4">
        <v>29</v>
      </c>
      <c r="D278" s="4" t="s">
        <v>17</v>
      </c>
      <c r="E278" s="4" t="s">
        <v>12</v>
      </c>
      <c r="F278" s="33">
        <f t="shared" si="2"/>
        <v>0.95674999999999988</v>
      </c>
      <c r="G278" s="14">
        <v>0.94</v>
      </c>
      <c r="H278" s="14">
        <v>0.96299999999999997</v>
      </c>
      <c r="I278" s="14">
        <v>0.96399999999999997</v>
      </c>
      <c r="J278" s="14">
        <v>0.96899999999999997</v>
      </c>
      <c r="K278" s="14">
        <v>0.97099999999999997</v>
      </c>
      <c r="L278" s="14">
        <v>0.97299999999999998</v>
      </c>
      <c r="M278" s="14">
        <v>0.88500000000000001</v>
      </c>
      <c r="N278" s="14">
        <v>0.96099999999999997</v>
      </c>
      <c r="O278" s="14">
        <v>0.95899999999999996</v>
      </c>
      <c r="P278" s="14">
        <v>0.95399999999999996</v>
      </c>
      <c r="Q278" s="14">
        <v>0.99199999999999999</v>
      </c>
      <c r="R278" s="14">
        <v>0.95</v>
      </c>
      <c r="S278" s="4" t="s">
        <v>357</v>
      </c>
    </row>
    <row r="279" spans="1:19" s="4" customFormat="1" x14ac:dyDescent="0.25">
      <c r="A279" s="4" t="s">
        <v>461</v>
      </c>
      <c r="B279" s="4" t="s">
        <v>24</v>
      </c>
      <c r="C279" s="4">
        <v>29</v>
      </c>
      <c r="D279" s="4" t="s">
        <v>17</v>
      </c>
      <c r="E279" s="4" t="s">
        <v>12</v>
      </c>
      <c r="F279" s="33">
        <f t="shared" si="2"/>
        <v>0.9630833333333334</v>
      </c>
      <c r="G279" s="14">
        <v>0.94899999999999995</v>
      </c>
      <c r="H279" s="14">
        <v>0.96699999999999997</v>
      </c>
      <c r="I279" s="14">
        <v>0.97099999999999997</v>
      </c>
      <c r="J279" s="14">
        <v>0.97399999999999998</v>
      </c>
      <c r="K279" s="14">
        <v>0.97799999999999998</v>
      </c>
      <c r="L279" s="14">
        <v>0.97699999999999998</v>
      </c>
      <c r="M279" s="14">
        <v>0.89100000000000001</v>
      </c>
      <c r="N279" s="14">
        <v>0.96799999999999997</v>
      </c>
      <c r="O279" s="14">
        <v>0.96699999999999997</v>
      </c>
      <c r="P279" s="14">
        <v>0.96099999999999997</v>
      </c>
      <c r="Q279" s="14">
        <v>0.996</v>
      </c>
      <c r="R279" s="14">
        <v>0.95799999999999996</v>
      </c>
      <c r="S279" s="4" t="s">
        <v>357</v>
      </c>
    </row>
    <row r="280" spans="1:19" s="4" customFormat="1" x14ac:dyDescent="0.25">
      <c r="A280" s="4" t="s">
        <v>462</v>
      </c>
      <c r="B280" s="4" t="s">
        <v>24</v>
      </c>
      <c r="C280" s="4">
        <v>29</v>
      </c>
      <c r="D280" s="4" t="s">
        <v>17</v>
      </c>
      <c r="E280" s="4" t="s">
        <v>12</v>
      </c>
      <c r="F280" s="33">
        <f t="shared" si="2"/>
        <v>0.95308333333333328</v>
      </c>
      <c r="G280" s="14">
        <v>0.94499999999999995</v>
      </c>
      <c r="H280" s="14">
        <v>0.95499999999999996</v>
      </c>
      <c r="I280" s="14">
        <v>0.95899999999999996</v>
      </c>
      <c r="J280" s="14">
        <v>0.96499999999999997</v>
      </c>
      <c r="K280" s="14">
        <v>0.97399999999999998</v>
      </c>
      <c r="L280" s="14">
        <v>0.97299999999999998</v>
      </c>
      <c r="M280" s="14">
        <v>0.85299999999999998</v>
      </c>
      <c r="N280" s="14">
        <v>0.95699999999999996</v>
      </c>
      <c r="O280" s="14">
        <v>0.96199999999999997</v>
      </c>
      <c r="P280" s="14">
        <v>0.94799999999999995</v>
      </c>
      <c r="Q280" s="14">
        <v>0.99</v>
      </c>
      <c r="R280" s="14">
        <v>0.95599999999999996</v>
      </c>
      <c r="S280" s="4" t="s">
        <v>357</v>
      </c>
    </row>
    <row r="281" spans="1:19" s="4" customFormat="1" x14ac:dyDescent="0.25">
      <c r="A281" s="4" t="s">
        <v>463</v>
      </c>
      <c r="B281" s="4" t="s">
        <v>24</v>
      </c>
      <c r="C281" s="4">
        <v>29</v>
      </c>
      <c r="D281" s="4" t="s">
        <v>17</v>
      </c>
      <c r="E281" s="4" t="s">
        <v>12</v>
      </c>
      <c r="F281" s="33">
        <f t="shared" si="2"/>
        <v>0.95433333333333337</v>
      </c>
      <c r="G281" s="14">
        <v>0.95399999999999996</v>
      </c>
      <c r="H281" s="14">
        <v>0.95599999999999996</v>
      </c>
      <c r="I281" s="14">
        <v>0.95699999999999996</v>
      </c>
      <c r="J281" s="14">
        <v>0.96299999999999997</v>
      </c>
      <c r="K281" s="14">
        <v>0.97299999999999998</v>
      </c>
      <c r="L281" s="14">
        <v>0.97099999999999997</v>
      </c>
      <c r="M281" s="14">
        <v>0.84799999999999998</v>
      </c>
      <c r="N281" s="14">
        <v>0.95799999999999996</v>
      </c>
      <c r="O281" s="14">
        <v>0.96699999999999997</v>
      </c>
      <c r="P281" s="14">
        <v>0.94799999999999995</v>
      </c>
      <c r="Q281" s="14">
        <v>0.995</v>
      </c>
      <c r="R281" s="14">
        <v>0.96199999999999997</v>
      </c>
      <c r="S281" s="4" t="s">
        <v>357</v>
      </c>
    </row>
    <row r="282" spans="1:19" s="4" customFormat="1" x14ac:dyDescent="0.25">
      <c r="A282" s="4" t="s">
        <v>464</v>
      </c>
      <c r="B282" s="4" t="s">
        <v>24</v>
      </c>
      <c r="C282" s="4">
        <v>29</v>
      </c>
      <c r="D282" s="4" t="s">
        <v>17</v>
      </c>
      <c r="E282" s="4" t="s">
        <v>12</v>
      </c>
      <c r="F282" s="33">
        <f t="shared" si="2"/>
        <v>0.95483333333333331</v>
      </c>
      <c r="G282" s="14">
        <v>0.95099999999999996</v>
      </c>
      <c r="H282" s="14">
        <v>0.95499999999999996</v>
      </c>
      <c r="I282" s="14">
        <v>0.96</v>
      </c>
      <c r="J282" s="14">
        <v>0.96499999999999997</v>
      </c>
      <c r="K282" s="14">
        <v>0.97399999999999998</v>
      </c>
      <c r="L282" s="14">
        <v>0.97099999999999997</v>
      </c>
      <c r="M282" s="14">
        <v>0.85899999999999999</v>
      </c>
      <c r="N282" s="14">
        <v>0.95699999999999996</v>
      </c>
      <c r="O282" s="14">
        <v>0.96499999999999997</v>
      </c>
      <c r="P282" s="14">
        <v>0.94899999999999995</v>
      </c>
      <c r="Q282" s="14">
        <v>0.99299999999999999</v>
      </c>
      <c r="R282" s="14">
        <v>0.95899999999999996</v>
      </c>
      <c r="S282" s="4" t="s">
        <v>357</v>
      </c>
    </row>
    <row r="283" spans="1:19" s="4" customFormat="1" x14ac:dyDescent="0.25">
      <c r="A283" s="4" t="s">
        <v>503</v>
      </c>
      <c r="B283" s="4" t="s">
        <v>298</v>
      </c>
      <c r="C283" s="4">
        <v>30</v>
      </c>
      <c r="D283" s="4" t="s">
        <v>505</v>
      </c>
      <c r="E283" s="4" t="s">
        <v>506</v>
      </c>
      <c r="F283" s="33">
        <f>AVERAGE(H283:L283,N283,P283)</f>
        <v>0.88214285714285723</v>
      </c>
      <c r="G283" s="33">
        <v>0.88200000000000001</v>
      </c>
      <c r="H283" s="14">
        <v>0.83199999999999996</v>
      </c>
      <c r="I283" s="14">
        <v>0.91300000000000003</v>
      </c>
      <c r="J283" s="14">
        <v>0.92400000000000004</v>
      </c>
      <c r="K283" s="14">
        <v>0.79200000000000004</v>
      </c>
      <c r="L283" s="14">
        <v>0.81899999999999995</v>
      </c>
      <c r="M283" s="14">
        <v>0.88200000000000001</v>
      </c>
      <c r="N283" s="14">
        <v>1</v>
      </c>
      <c r="O283" s="33">
        <v>0.88200000000000001</v>
      </c>
      <c r="P283" s="14">
        <v>0.89500000000000002</v>
      </c>
      <c r="Q283" s="33">
        <v>0.88200000000000001</v>
      </c>
      <c r="R283" s="33">
        <v>0.88200000000000001</v>
      </c>
      <c r="S283" s="4" t="s">
        <v>357</v>
      </c>
    </row>
    <row r="284" spans="1:19" s="4" customFormat="1" x14ac:dyDescent="0.25">
      <c r="A284" s="4" t="s">
        <v>504</v>
      </c>
      <c r="B284" s="4" t="s">
        <v>298</v>
      </c>
      <c r="C284" s="4">
        <v>30</v>
      </c>
      <c r="D284" s="4" t="s">
        <v>505</v>
      </c>
      <c r="E284" s="4" t="s">
        <v>240</v>
      </c>
      <c r="F284" s="33">
        <f>AVERAGE(H284:L284,N284,P284)</f>
        <v>0.87157142857142866</v>
      </c>
      <c r="G284" s="33">
        <v>0.872</v>
      </c>
      <c r="H284" s="14">
        <v>0.80500000000000005</v>
      </c>
      <c r="I284" s="14">
        <v>0.90600000000000003</v>
      </c>
      <c r="J284" s="14">
        <v>0.94099999999999995</v>
      </c>
      <c r="K284" s="14">
        <v>0.75</v>
      </c>
      <c r="L284" s="14">
        <v>0.80400000000000005</v>
      </c>
      <c r="M284" s="14">
        <v>0.872</v>
      </c>
      <c r="N284" s="14">
        <v>1</v>
      </c>
      <c r="O284" s="33">
        <v>0.872</v>
      </c>
      <c r="P284" s="14">
        <v>0.89500000000000002</v>
      </c>
      <c r="Q284" s="33">
        <v>0.872</v>
      </c>
      <c r="R284" s="33">
        <v>0.872</v>
      </c>
      <c r="S284" s="4" t="s">
        <v>357</v>
      </c>
    </row>
    <row r="285" spans="1:19" s="4" customFormat="1" x14ac:dyDescent="0.25">
      <c r="A285" s="4" t="s">
        <v>509</v>
      </c>
      <c r="B285" s="4" t="s">
        <v>24</v>
      </c>
      <c r="C285" s="4">
        <v>31</v>
      </c>
      <c r="D285" s="4" t="s">
        <v>17</v>
      </c>
      <c r="E285" s="4" t="s">
        <v>12</v>
      </c>
      <c r="F285" s="14">
        <v>0.80200000000000005</v>
      </c>
      <c r="G285" s="33">
        <f>AVERAGE(F285,H285:N285,P285:R285)</f>
        <v>0.86981818181818182</v>
      </c>
      <c r="H285" s="14">
        <v>0.872</v>
      </c>
      <c r="I285" s="14">
        <v>0.872</v>
      </c>
      <c r="J285" s="14">
        <v>0.872</v>
      </c>
      <c r="K285" s="14">
        <v>0.86799999999999999</v>
      </c>
      <c r="L285" s="14">
        <v>0.90200000000000002</v>
      </c>
      <c r="M285" s="14">
        <v>0.86</v>
      </c>
      <c r="N285" s="14">
        <v>0.95399999999999996</v>
      </c>
      <c r="O285" s="33">
        <v>0.87</v>
      </c>
      <c r="P285" s="14">
        <v>0.83199999999999996</v>
      </c>
      <c r="Q285" s="14">
        <v>0.92700000000000005</v>
      </c>
      <c r="R285" s="14">
        <v>0.80700000000000005</v>
      </c>
      <c r="S285" s="4" t="s">
        <v>357</v>
      </c>
    </row>
    <row r="286" spans="1:19" s="4" customFormat="1" x14ac:dyDescent="0.25">
      <c r="A286" s="4" t="s">
        <v>508</v>
      </c>
      <c r="B286" s="4" t="s">
        <v>24</v>
      </c>
      <c r="C286" s="4">
        <v>31</v>
      </c>
      <c r="D286" s="4" t="s">
        <v>17</v>
      </c>
      <c r="E286" s="4" t="s">
        <v>12</v>
      </c>
      <c r="F286" s="14">
        <v>0.81</v>
      </c>
      <c r="G286" s="33">
        <f>AVERAGE(F286,H286:N286,P286:R286)</f>
        <v>0.87781818181818183</v>
      </c>
      <c r="H286" s="14">
        <v>0.86599999999999999</v>
      </c>
      <c r="I286" s="14">
        <v>0.89600000000000002</v>
      </c>
      <c r="J286" s="14">
        <v>0.90700000000000003</v>
      </c>
      <c r="K286" s="14">
        <v>0.89100000000000001</v>
      </c>
      <c r="L286" s="14">
        <v>0.79300000000000004</v>
      </c>
      <c r="M286" s="14">
        <v>0.83099999999999996</v>
      </c>
      <c r="N286" s="14">
        <v>0.97599999999999998</v>
      </c>
      <c r="O286" s="33">
        <v>0.878</v>
      </c>
      <c r="P286" s="14">
        <v>0.88400000000000001</v>
      </c>
      <c r="Q286" s="14">
        <v>0.95899999999999996</v>
      </c>
      <c r="R286" s="14">
        <v>0.84299999999999997</v>
      </c>
      <c r="S286" s="4" t="s">
        <v>357</v>
      </c>
    </row>
    <row r="287" spans="1:19" s="4" customFormat="1" x14ac:dyDescent="0.25">
      <c r="A287" s="4" t="s">
        <v>512</v>
      </c>
      <c r="B287" s="4" t="s">
        <v>391</v>
      </c>
      <c r="C287" s="4">
        <v>32</v>
      </c>
      <c r="D287" s="4" t="s">
        <v>17</v>
      </c>
      <c r="E287" s="4" t="s">
        <v>12</v>
      </c>
      <c r="F287" s="14">
        <v>0.748</v>
      </c>
      <c r="G287" s="14">
        <v>0.61199999999999999</v>
      </c>
      <c r="H287" s="14">
        <v>0.66400000000000003</v>
      </c>
      <c r="I287" s="14">
        <v>0.73399999999999999</v>
      </c>
      <c r="J287" s="14">
        <v>0.81399999999999995</v>
      </c>
      <c r="K287" s="14">
        <v>0.67400000000000004</v>
      </c>
      <c r="L287" s="14">
        <v>0.84</v>
      </c>
      <c r="M287" s="14">
        <v>0.75700000000000001</v>
      </c>
      <c r="N287" s="14">
        <v>0.80500000000000005</v>
      </c>
      <c r="O287" s="33">
        <f>AVERAGE(G287:N287,P287:R287)</f>
        <v>0.75090909090909086</v>
      </c>
      <c r="P287" s="14">
        <v>0.73499999999999999</v>
      </c>
      <c r="Q287" s="14">
        <v>0.83</v>
      </c>
      <c r="R287" s="14">
        <v>0.79500000000000004</v>
      </c>
      <c r="S287" s="4" t="s">
        <v>357</v>
      </c>
    </row>
    <row r="288" spans="1:19" s="4" customFormat="1" x14ac:dyDescent="0.25">
      <c r="A288" s="4" t="s">
        <v>513</v>
      </c>
      <c r="B288" s="4" t="s">
        <v>391</v>
      </c>
      <c r="C288" s="4">
        <v>32</v>
      </c>
      <c r="D288" s="4" t="s">
        <v>17</v>
      </c>
      <c r="E288" s="4" t="s">
        <v>12</v>
      </c>
      <c r="F288" s="14">
        <v>0.94899999999999995</v>
      </c>
      <c r="G288" s="14">
        <v>0.78</v>
      </c>
      <c r="H288" s="14">
        <v>0.83199999999999996</v>
      </c>
      <c r="I288" s="14">
        <v>0.88200000000000001</v>
      </c>
      <c r="J288" s="14">
        <v>0.91700000000000004</v>
      </c>
      <c r="K288" s="14">
        <v>0.84899999999999998</v>
      </c>
      <c r="L288" s="14">
        <v>0.92900000000000005</v>
      </c>
      <c r="M288" s="14">
        <v>0.86599999999999999</v>
      </c>
      <c r="N288" s="14">
        <v>0.90300000000000002</v>
      </c>
      <c r="O288" s="33">
        <f t="shared" ref="O288:O292" si="3">AVERAGE(G288:N288,P288:R288)</f>
        <v>0.88100000000000012</v>
      </c>
      <c r="P288" s="14">
        <v>0.871</v>
      </c>
      <c r="Q288" s="14">
        <v>0.97099999999999997</v>
      </c>
      <c r="R288" s="14">
        <v>0.89100000000000001</v>
      </c>
      <c r="S288" s="4" t="s">
        <v>357</v>
      </c>
    </row>
    <row r="289" spans="1:19" s="4" customFormat="1" x14ac:dyDescent="0.25">
      <c r="A289" s="4" t="s">
        <v>514</v>
      </c>
      <c r="B289" s="4" t="s">
        <v>391</v>
      </c>
      <c r="C289" s="4">
        <v>32</v>
      </c>
      <c r="D289" s="4" t="s">
        <v>17</v>
      </c>
      <c r="E289" s="4" t="s">
        <v>12</v>
      </c>
      <c r="F289" s="14">
        <v>0.877</v>
      </c>
      <c r="G289" s="14">
        <v>0.80700000000000005</v>
      </c>
      <c r="H289" s="14">
        <v>0.77300000000000002</v>
      </c>
      <c r="I289" s="14">
        <v>0.83599999999999997</v>
      </c>
      <c r="J289" s="14">
        <v>0.84899999999999998</v>
      </c>
      <c r="K289" s="14">
        <v>0.747</v>
      </c>
      <c r="L289" s="14">
        <v>0.85399999999999998</v>
      </c>
      <c r="M289" s="14">
        <v>0.88200000000000001</v>
      </c>
      <c r="N289" s="14">
        <v>0.873</v>
      </c>
      <c r="O289" s="33">
        <f t="shared" si="3"/>
        <v>0.83318181818181813</v>
      </c>
      <c r="P289" s="14">
        <v>0.81599999999999995</v>
      </c>
      <c r="Q289" s="14">
        <v>0.86799999999999999</v>
      </c>
      <c r="R289" s="14">
        <v>0.86</v>
      </c>
      <c r="S289" s="4" t="s">
        <v>357</v>
      </c>
    </row>
    <row r="290" spans="1:19" s="4" customFormat="1" x14ac:dyDescent="0.25">
      <c r="A290" s="4" t="s">
        <v>515</v>
      </c>
      <c r="B290" s="4" t="s">
        <v>391</v>
      </c>
      <c r="C290" s="4">
        <v>32</v>
      </c>
      <c r="D290" s="4" t="s">
        <v>17</v>
      </c>
      <c r="E290" s="4" t="s">
        <v>12</v>
      </c>
      <c r="F290" s="14">
        <v>0.92100000000000004</v>
      </c>
      <c r="G290" s="14">
        <v>0.84799999999999998</v>
      </c>
      <c r="H290" s="14">
        <v>0.84399999999999997</v>
      </c>
      <c r="I290" s="14">
        <v>0.88200000000000001</v>
      </c>
      <c r="J290" s="14">
        <v>0.88800000000000001</v>
      </c>
      <c r="K290" s="14">
        <v>0.79400000000000004</v>
      </c>
      <c r="L290" s="14">
        <v>0.89200000000000002</v>
      </c>
      <c r="M290" s="14">
        <v>0.89500000000000002</v>
      </c>
      <c r="N290" s="14">
        <v>0.9</v>
      </c>
      <c r="O290" s="33">
        <f t="shared" si="3"/>
        <v>0.86881818181818204</v>
      </c>
      <c r="P290" s="14">
        <v>0.85699999999999998</v>
      </c>
      <c r="Q290" s="14">
        <v>0.88200000000000001</v>
      </c>
      <c r="R290" s="14">
        <v>0.875</v>
      </c>
      <c r="S290" s="4" t="s">
        <v>357</v>
      </c>
    </row>
    <row r="291" spans="1:19" s="4" customFormat="1" x14ac:dyDescent="0.25">
      <c r="A291" s="4" t="s">
        <v>517</v>
      </c>
      <c r="B291" s="4" t="s">
        <v>391</v>
      </c>
      <c r="C291" s="4">
        <v>32</v>
      </c>
      <c r="D291" s="4" t="s">
        <v>17</v>
      </c>
      <c r="E291" s="4" t="s">
        <v>12</v>
      </c>
      <c r="F291" s="14">
        <v>0.82199999999999995</v>
      </c>
      <c r="G291" s="14">
        <v>0.77300000000000002</v>
      </c>
      <c r="H291" s="14">
        <v>0.74399999999999999</v>
      </c>
      <c r="I291" s="14">
        <v>0.79200000000000004</v>
      </c>
      <c r="J291" s="14">
        <v>0.83599999999999997</v>
      </c>
      <c r="K291" s="14">
        <v>0.68600000000000005</v>
      </c>
      <c r="L291" s="14">
        <v>0.82499999999999996</v>
      </c>
      <c r="M291" s="14">
        <v>0.76900000000000002</v>
      </c>
      <c r="N291" s="14">
        <v>0.83299999999999996</v>
      </c>
      <c r="O291" s="33">
        <f t="shared" si="3"/>
        <v>0.78790909090909089</v>
      </c>
      <c r="P291" s="14">
        <v>0.78900000000000003</v>
      </c>
      <c r="Q291" s="14">
        <v>0.85399999999999998</v>
      </c>
      <c r="R291" s="14">
        <v>0.76600000000000001</v>
      </c>
      <c r="S291" s="4" t="s">
        <v>357</v>
      </c>
    </row>
    <row r="292" spans="1:19" s="4" customFormat="1" x14ac:dyDescent="0.25">
      <c r="A292" s="4" t="s">
        <v>518</v>
      </c>
      <c r="B292" s="4" t="s">
        <v>391</v>
      </c>
      <c r="C292" s="4">
        <v>32</v>
      </c>
      <c r="D292" s="4" t="s">
        <v>17</v>
      </c>
      <c r="E292" s="4" t="s">
        <v>12</v>
      </c>
      <c r="F292" s="14">
        <v>0.877</v>
      </c>
      <c r="G292" s="14">
        <v>0.77700000000000002</v>
      </c>
      <c r="H292" s="14">
        <v>0.77500000000000002</v>
      </c>
      <c r="I292" s="14">
        <v>0.82</v>
      </c>
      <c r="J292" s="14">
        <v>0.85099999999999998</v>
      </c>
      <c r="K292" s="14">
        <v>0.77600000000000002</v>
      </c>
      <c r="L292" s="14">
        <v>0.85099999999999998</v>
      </c>
      <c r="M292" s="14">
        <v>0.75600000000000001</v>
      </c>
      <c r="N292" s="14">
        <v>0.84699999999999998</v>
      </c>
      <c r="O292" s="33">
        <f t="shared" si="3"/>
        <v>0.81090909090909091</v>
      </c>
      <c r="P292" s="14">
        <v>0.80700000000000005</v>
      </c>
      <c r="Q292" s="14">
        <v>0.89800000000000002</v>
      </c>
      <c r="R292" s="14">
        <v>0.76200000000000001</v>
      </c>
      <c r="S292" s="4" t="s">
        <v>357</v>
      </c>
    </row>
    <row r="293" spans="1:19" s="6" customFormat="1" x14ac:dyDescent="0.25"/>
  </sheetData>
  <pageMargins left="0.7" right="0.7" top="0.75" bottom="0.75" header="0.3" footer="0.3"/>
  <pageSetup paperSize="9" orientation="portrait" r:id="rId1"/>
  <ignoredErrors>
    <ignoredError sqref="O287:O29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AEAA3-7DDD-4EA5-A959-834439CE009B}">
  <dimension ref="A1:AQ344"/>
  <sheetViews>
    <sheetView workbookViewId="0">
      <pane xSplit="9" ySplit="17" topLeftCell="J208" activePane="bottomRight" state="frozen"/>
      <selection pane="topRight" activeCell="J1" sqref="J1"/>
      <selection pane="bottomLeft" activeCell="A18" sqref="A18"/>
      <selection pane="bottomRight" activeCell="A13" sqref="A13"/>
    </sheetView>
  </sheetViews>
  <sheetFormatPr defaultColWidth="9.5703125" defaultRowHeight="15" x14ac:dyDescent="0.25"/>
  <cols>
    <col min="1" max="1" width="54.5703125" style="5" customWidth="1"/>
    <col min="2" max="2" width="23.28515625" style="5" customWidth="1"/>
    <col min="3" max="3" width="13.28515625" style="5" customWidth="1"/>
    <col min="4" max="4" width="13" style="5" hidden="1" customWidth="1"/>
    <col min="5" max="5" width="15.7109375" style="5" hidden="1" customWidth="1"/>
    <col min="6" max="6" width="8.140625" style="5" customWidth="1"/>
    <col min="7" max="8" width="4.85546875" style="5" customWidth="1"/>
    <col min="9" max="9" width="4.7109375" style="5" customWidth="1"/>
    <col min="10" max="10" width="6.28515625" style="5" customWidth="1"/>
    <col min="11" max="11" width="5.5703125" style="5" customWidth="1"/>
    <col min="12" max="12" width="5.85546875" style="5" customWidth="1"/>
    <col min="13" max="13" width="5.5703125" style="5" customWidth="1"/>
    <col min="14" max="14" width="5.7109375" style="5" customWidth="1"/>
    <col min="15" max="15" width="6" style="5" customWidth="1"/>
    <col min="16" max="16" width="5.42578125" style="5" customWidth="1"/>
    <col min="17" max="17" width="5.140625" style="5" customWidth="1"/>
    <col min="18" max="18" width="5.85546875" style="5" customWidth="1"/>
    <col min="19" max="19" width="22" style="5" hidden="1" customWidth="1"/>
    <col min="20" max="20" width="2" style="10" customWidth="1"/>
    <col min="21" max="21" width="2.28515625" style="10" hidden="1" customWidth="1"/>
    <col min="22" max="22" width="5.7109375" style="5" customWidth="1"/>
    <col min="23" max="23" width="6.7109375" style="5" customWidth="1"/>
    <col min="24" max="24" width="6.140625" style="5" customWidth="1"/>
    <col min="25" max="25" width="5.7109375" style="5" customWidth="1"/>
    <col min="26" max="27" width="6" style="5" customWidth="1"/>
    <col min="28" max="28" width="6.42578125" style="5" customWidth="1"/>
    <col min="29" max="30" width="6.28515625" style="5" customWidth="1"/>
    <col min="31" max="31" width="5.7109375" style="5" customWidth="1"/>
    <col min="32" max="32" width="7.42578125" style="5" customWidth="1"/>
    <col min="33" max="33" width="2.85546875" style="10" customWidth="1"/>
    <col min="34" max="34" width="6.140625" style="5" customWidth="1"/>
    <col min="35" max="35" width="6.85546875" style="5" customWidth="1"/>
    <col min="36" max="36" width="6" style="5" customWidth="1"/>
    <col min="37" max="37" width="5.28515625" style="5" customWidth="1"/>
    <col min="38" max="39" width="6.28515625" style="5" customWidth="1"/>
    <col min="40" max="40" width="6.140625" style="5" customWidth="1"/>
    <col min="41" max="41" width="5.85546875" style="5" customWidth="1"/>
    <col min="42" max="42" width="6" style="5" customWidth="1"/>
    <col min="43" max="43" width="33.85546875" style="5" customWidth="1"/>
    <col min="44" max="16384" width="9.5703125" style="5"/>
  </cols>
  <sheetData>
    <row r="1" spans="1:43" s="3" customFormat="1" x14ac:dyDescent="0.25">
      <c r="A1" s="3" t="s">
        <v>0</v>
      </c>
      <c r="B1" s="3" t="s">
        <v>1</v>
      </c>
      <c r="C1" s="3" t="s">
        <v>521</v>
      </c>
      <c r="D1" s="3" t="s">
        <v>337</v>
      </c>
      <c r="E1" s="3" t="s">
        <v>4</v>
      </c>
      <c r="F1" s="3" t="s">
        <v>5</v>
      </c>
      <c r="G1" s="3" t="s">
        <v>362</v>
      </c>
      <c r="H1" s="3" t="s">
        <v>343</v>
      </c>
      <c r="I1" s="3" t="s">
        <v>344</v>
      </c>
      <c r="J1" s="3" t="s">
        <v>345</v>
      </c>
      <c r="K1" s="3" t="s">
        <v>346</v>
      </c>
      <c r="L1" s="3" t="s">
        <v>347</v>
      </c>
      <c r="M1" s="3" t="s">
        <v>348</v>
      </c>
      <c r="N1" s="3" t="s">
        <v>349</v>
      </c>
      <c r="O1" s="3" t="s">
        <v>350</v>
      </c>
      <c r="P1" s="3" t="s">
        <v>351</v>
      </c>
      <c r="Q1" s="3" t="s">
        <v>352</v>
      </c>
      <c r="R1" s="3" t="s">
        <v>353</v>
      </c>
      <c r="S1" s="3" t="s">
        <v>255</v>
      </c>
      <c r="V1" s="3" t="s">
        <v>362</v>
      </c>
      <c r="W1" s="3" t="s">
        <v>343</v>
      </c>
      <c r="X1" s="3" t="s">
        <v>344</v>
      </c>
      <c r="Y1" s="3" t="s">
        <v>345</v>
      </c>
      <c r="Z1" s="3" t="s">
        <v>346</v>
      </c>
      <c r="AA1" s="3" t="s">
        <v>347</v>
      </c>
      <c r="AB1" s="3" t="s">
        <v>348</v>
      </c>
      <c r="AC1" s="3" t="s">
        <v>349</v>
      </c>
      <c r="AD1" s="3" t="s">
        <v>350</v>
      </c>
      <c r="AE1" s="3" t="s">
        <v>351</v>
      </c>
      <c r="AF1" s="3" t="s">
        <v>353</v>
      </c>
      <c r="AH1" s="3" t="s">
        <v>362</v>
      </c>
      <c r="AI1" s="3" t="s">
        <v>343</v>
      </c>
      <c r="AJ1" s="3" t="s">
        <v>344</v>
      </c>
      <c r="AK1" s="3" t="s">
        <v>345</v>
      </c>
      <c r="AL1" s="3" t="s">
        <v>346</v>
      </c>
      <c r="AM1" s="3" t="s">
        <v>355</v>
      </c>
      <c r="AN1" s="3" t="s">
        <v>356</v>
      </c>
      <c r="AO1" s="3" t="s">
        <v>351</v>
      </c>
      <c r="AP1" s="3" t="s">
        <v>353</v>
      </c>
      <c r="AQ1" s="3" t="s">
        <v>255</v>
      </c>
    </row>
    <row r="2" spans="1:43" s="13" customFormat="1" ht="15.75" thickBot="1" x14ac:dyDescent="0.3">
      <c r="F2" s="13" t="s">
        <v>359</v>
      </c>
      <c r="G2" s="13" t="s">
        <v>540</v>
      </c>
      <c r="V2" s="13" t="s">
        <v>541</v>
      </c>
      <c r="AH2" s="13" t="s">
        <v>542</v>
      </c>
    </row>
    <row r="3" spans="1:43" s="4" customFormat="1" x14ac:dyDescent="0.25">
      <c r="A3" s="4" t="s">
        <v>39</v>
      </c>
      <c r="B3" s="4" t="s">
        <v>10</v>
      </c>
      <c r="C3" s="4">
        <v>2</v>
      </c>
      <c r="E3" s="4" t="s">
        <v>12</v>
      </c>
      <c r="F3" s="4">
        <v>113</v>
      </c>
      <c r="G3" s="4">
        <v>1.4</v>
      </c>
      <c r="H3" s="4">
        <v>3.9</v>
      </c>
      <c r="I3" s="4">
        <v>4.0999999999999996</v>
      </c>
      <c r="J3" s="4">
        <v>7.7</v>
      </c>
      <c r="K3" s="4">
        <v>4.3</v>
      </c>
      <c r="L3" s="4">
        <v>1.9</v>
      </c>
      <c r="M3" s="4">
        <v>2.6</v>
      </c>
      <c r="N3" s="4">
        <v>5.5</v>
      </c>
      <c r="O3" s="4">
        <v>3.2</v>
      </c>
      <c r="P3" s="4">
        <v>5.7</v>
      </c>
      <c r="Q3" s="4">
        <v>5.5</v>
      </c>
      <c r="R3" s="4">
        <v>2.6</v>
      </c>
      <c r="T3" s="10"/>
      <c r="V3" s="17">
        <f>G3*'IAA digestibility'!G3</f>
        <v>1.1059999999999999</v>
      </c>
      <c r="W3" s="17">
        <f>H3*'IAA digestibility'!H3</f>
        <v>2.9249999999999998</v>
      </c>
      <c r="X3" s="17">
        <f>I3*'IAA digestibility'!I3</f>
        <v>3.3209999999999997</v>
      </c>
      <c r="Y3" s="17">
        <f>J3*'IAA digestibility'!J3</f>
        <v>6.391</v>
      </c>
      <c r="Z3" s="17">
        <f>K3*'IAA digestibility'!K3</f>
        <v>3.2249999999999996</v>
      </c>
      <c r="AA3" s="17">
        <f>L3*'IAA digestibility'!L3</f>
        <v>1.577</v>
      </c>
      <c r="AB3" s="17">
        <f>M3*'IAA digestibility'!M3</f>
        <v>2.1840000000000002</v>
      </c>
      <c r="AC3" s="17">
        <f>N3*'IAA digestibility'!N3</f>
        <v>4.62</v>
      </c>
      <c r="AD3" s="17">
        <f>O3*'IAA digestibility'!O3</f>
        <v>2.6560000000000001</v>
      </c>
      <c r="AE3" s="17">
        <f>P3*'IAA digestibility'!P3</f>
        <v>4.5600000000000005</v>
      </c>
      <c r="AF3" s="17">
        <f>R3*'IAA digestibility'!R3</f>
        <v>2.1060000000000003</v>
      </c>
      <c r="AG3" s="25"/>
      <c r="AH3" s="17">
        <f>(V3/$F3)*1000</f>
        <v>9.7876106194690244</v>
      </c>
      <c r="AI3" s="17">
        <f>(W3/$F3)*1000</f>
        <v>25.884955752212388</v>
      </c>
      <c r="AJ3" s="17">
        <f>(X3/$F3)*1000</f>
        <v>29.389380530973447</v>
      </c>
      <c r="AK3" s="17">
        <f>(Y3/$F3)*1000</f>
        <v>56.557522123893804</v>
      </c>
      <c r="AL3" s="17">
        <f>(Z3/$F3)*1000</f>
        <v>28.539823008849556</v>
      </c>
      <c r="AM3" s="17">
        <f>((AA3+AB3)/$F3)*1000</f>
        <v>33.283185840707965</v>
      </c>
      <c r="AN3" s="18">
        <f>((AC3+AD3)/$F3)*1000</f>
        <v>64.389380530973455</v>
      </c>
      <c r="AO3" s="17">
        <f t="shared" ref="AO3:AP3" si="0">(AE3/$F3)*1000</f>
        <v>40.353982300884958</v>
      </c>
      <c r="AP3" s="17">
        <f t="shared" si="0"/>
        <v>18.637168141592923</v>
      </c>
    </row>
    <row r="4" spans="1:43" s="4" customFormat="1" x14ac:dyDescent="0.25">
      <c r="A4" s="4" t="s">
        <v>220</v>
      </c>
      <c r="B4" s="4" t="s">
        <v>10</v>
      </c>
      <c r="C4" s="4">
        <v>7</v>
      </c>
      <c r="E4" s="4" t="s">
        <v>12</v>
      </c>
      <c r="F4" s="4">
        <v>118</v>
      </c>
      <c r="G4" s="4">
        <v>1</v>
      </c>
      <c r="H4" s="4">
        <v>3.4</v>
      </c>
      <c r="I4" s="4">
        <v>3.9</v>
      </c>
      <c r="J4" s="4">
        <v>7.3</v>
      </c>
      <c r="K4" s="4">
        <v>3.9</v>
      </c>
      <c r="L4" s="4">
        <v>1.7</v>
      </c>
      <c r="M4" s="4">
        <v>2.2999999999999998</v>
      </c>
      <c r="N4" s="4">
        <v>5.5</v>
      </c>
      <c r="O4" s="4">
        <v>2.7</v>
      </c>
      <c r="P4" s="4">
        <v>5.3</v>
      </c>
      <c r="Q4" s="4">
        <v>5.0999999999999996</v>
      </c>
      <c r="R4" s="4">
        <v>2.5</v>
      </c>
      <c r="S4" s="4" t="s">
        <v>230</v>
      </c>
      <c r="T4" s="10"/>
      <c r="V4" s="17">
        <f>G4*'IAA digestibility'!G4</f>
        <v>0.84</v>
      </c>
      <c r="W4" s="17">
        <f>H4*'IAA digestibility'!H4</f>
        <v>2.448</v>
      </c>
      <c r="X4" s="17">
        <f>I4*'IAA digestibility'!I4</f>
        <v>2.964</v>
      </c>
      <c r="Y4" s="17">
        <f>J4*'IAA digestibility'!J4</f>
        <v>5.7670000000000003</v>
      </c>
      <c r="Z4" s="17">
        <f>K4*'IAA digestibility'!K4</f>
        <v>2.8860000000000001</v>
      </c>
      <c r="AA4" s="17">
        <f>L4*'IAA digestibility'!L4</f>
        <v>1.3260000000000001</v>
      </c>
      <c r="AB4" s="17">
        <f>M4*'IAA digestibility'!M4</f>
        <v>1.8399999999999999</v>
      </c>
      <c r="AC4" s="17">
        <f>N4*'IAA digestibility'!N4</f>
        <v>4.51</v>
      </c>
      <c r="AD4" s="17">
        <f>O4*'IAA digestibility'!O4</f>
        <v>2.0790000000000002</v>
      </c>
      <c r="AE4" s="17">
        <f>P4*'IAA digestibility'!P4</f>
        <v>4.0809999999999995</v>
      </c>
      <c r="AF4" s="17">
        <f>R4*'IAA digestibility'!R4</f>
        <v>2.0250000000000004</v>
      </c>
      <c r="AG4" s="25"/>
      <c r="AH4" s="17">
        <f t="shared" ref="AH4:AH67" si="1">(V4/$F4)*1000</f>
        <v>7.1186440677966099</v>
      </c>
      <c r="AI4" s="17">
        <f t="shared" ref="AI4:AI67" si="2">(W4/$F4)*1000</f>
        <v>20.745762711864405</v>
      </c>
      <c r="AJ4" s="17">
        <f t="shared" ref="AJ4:AJ67" si="3">(X4/$F4)*1000</f>
        <v>25.118644067796613</v>
      </c>
      <c r="AK4" s="17">
        <f t="shared" ref="AK4:AK67" si="4">(Y4/$F4)*1000</f>
        <v>48.872881355932208</v>
      </c>
      <c r="AL4" s="17">
        <f t="shared" ref="AL4:AL67" si="5">(Z4/$F4)*1000</f>
        <v>24.457627118644069</v>
      </c>
      <c r="AM4" s="17">
        <f t="shared" ref="AM4:AM67" si="6">((AA4+AB4)/$F4)*1000</f>
        <v>26.83050847457627</v>
      </c>
      <c r="AN4" s="18">
        <f t="shared" ref="AN4:AN67" si="7">((AC4+AD4)/$F4)*1000</f>
        <v>55.83898305084746</v>
      </c>
      <c r="AO4" s="17">
        <f t="shared" ref="AO4:AO67" si="8">(AE4/$F4)*1000</f>
        <v>34.584745762711862</v>
      </c>
      <c r="AP4" s="17">
        <f t="shared" ref="AP4:AP67" si="9">(AF4/$F4)*1000</f>
        <v>17.161016949152547</v>
      </c>
    </row>
    <row r="5" spans="1:43" s="4" customFormat="1" x14ac:dyDescent="0.25">
      <c r="A5" s="4" t="s">
        <v>20</v>
      </c>
      <c r="B5" s="4" t="s">
        <v>10</v>
      </c>
      <c r="C5" s="4" t="s">
        <v>373</v>
      </c>
      <c r="E5" s="4" t="s">
        <v>12</v>
      </c>
      <c r="F5" s="4">
        <v>81</v>
      </c>
      <c r="G5" s="4">
        <v>0.8</v>
      </c>
      <c r="H5" s="4">
        <v>2.7</v>
      </c>
      <c r="I5" s="4">
        <v>2.9</v>
      </c>
      <c r="J5" s="4">
        <v>5.4</v>
      </c>
      <c r="K5" s="4">
        <v>2</v>
      </c>
      <c r="L5" s="4">
        <v>1.2</v>
      </c>
      <c r="M5" s="4">
        <v>1.7</v>
      </c>
      <c r="N5" s="4">
        <v>3.7</v>
      </c>
      <c r="O5" s="4">
        <v>2.2999999999999998</v>
      </c>
      <c r="P5" s="4">
        <v>3.7</v>
      </c>
      <c r="Q5" s="4">
        <v>3.3</v>
      </c>
      <c r="R5" s="4">
        <v>1.9</v>
      </c>
      <c r="T5" s="10"/>
      <c r="V5" s="17">
        <f>G5*'IAA digestibility'!G5</f>
        <v>0.68800000000000006</v>
      </c>
      <c r="W5" s="17">
        <f>H5*'IAA digestibility'!H5</f>
        <v>2.4570000000000003</v>
      </c>
      <c r="X5" s="17">
        <f>I5*'IAA digestibility'!I5</f>
        <v>2.6680000000000001</v>
      </c>
      <c r="Y5" s="17">
        <f>J5*'IAA digestibility'!J5</f>
        <v>4.9140000000000006</v>
      </c>
      <c r="Z5" s="17">
        <f>K5*'IAA digestibility'!K5</f>
        <v>1.78</v>
      </c>
      <c r="AA5" s="17">
        <f>L5*'IAA digestibility'!L5</f>
        <v>1.08</v>
      </c>
      <c r="AB5" s="17">
        <f>M5*'IAA digestibility'!M5</f>
        <v>1.4789999999999999</v>
      </c>
      <c r="AC5" s="17">
        <f>N5*'IAA digestibility'!N5</f>
        <v>3.2560000000000002</v>
      </c>
      <c r="AD5" s="17">
        <f>O5*'IAA digestibility'!O5</f>
        <v>2.1619999999999999</v>
      </c>
      <c r="AE5" s="17">
        <f>P5*'IAA digestibility'!P5</f>
        <v>3.33</v>
      </c>
      <c r="AF5" s="17">
        <f>R5*'IAA digestibility'!R5</f>
        <v>1.7669999999999999</v>
      </c>
      <c r="AG5" s="25"/>
      <c r="AH5" s="17">
        <f t="shared" si="1"/>
        <v>8.4938271604938276</v>
      </c>
      <c r="AI5" s="17">
        <f t="shared" si="2"/>
        <v>30.333333333333336</v>
      </c>
      <c r="AJ5" s="17">
        <f t="shared" si="3"/>
        <v>32.938271604938272</v>
      </c>
      <c r="AK5" s="17">
        <f t="shared" si="4"/>
        <v>60.666666666666671</v>
      </c>
      <c r="AL5" s="17">
        <f t="shared" si="5"/>
        <v>21.97530864197531</v>
      </c>
      <c r="AM5" s="17">
        <f t="shared" si="6"/>
        <v>31.592592592592595</v>
      </c>
      <c r="AN5" s="18">
        <f t="shared" si="7"/>
        <v>66.888888888888886</v>
      </c>
      <c r="AO5" s="17">
        <f t="shared" si="8"/>
        <v>41.111111111111114</v>
      </c>
      <c r="AP5" s="17">
        <f t="shared" si="9"/>
        <v>21.814814814814813</v>
      </c>
    </row>
    <row r="6" spans="1:43" s="4" customFormat="1" x14ac:dyDescent="0.25">
      <c r="A6" s="4" t="s">
        <v>19</v>
      </c>
      <c r="B6" s="4" t="s">
        <v>10</v>
      </c>
      <c r="C6" s="4" t="s">
        <v>373</v>
      </c>
      <c r="E6" s="4" t="s">
        <v>12</v>
      </c>
      <c r="F6" s="4">
        <v>121</v>
      </c>
      <c r="G6" s="4">
        <v>1.2</v>
      </c>
      <c r="H6" s="4">
        <v>4</v>
      </c>
      <c r="I6" s="4">
        <v>4.4000000000000004</v>
      </c>
      <c r="J6" s="4">
        <v>8</v>
      </c>
      <c r="K6" s="4">
        <v>3</v>
      </c>
      <c r="L6" s="4">
        <v>1.8</v>
      </c>
      <c r="M6" s="4">
        <v>2.6</v>
      </c>
      <c r="N6" s="4">
        <v>5.6</v>
      </c>
      <c r="O6" s="4">
        <v>3.4</v>
      </c>
      <c r="P6" s="4">
        <v>5.5</v>
      </c>
      <c r="Q6" s="4">
        <v>5</v>
      </c>
      <c r="R6" s="4">
        <v>2.9</v>
      </c>
      <c r="T6" s="10"/>
      <c r="V6" s="17">
        <f>G6*'IAA digestibility'!G6</f>
        <v>1.08</v>
      </c>
      <c r="W6" s="17">
        <f>H6*'IAA digestibility'!H6</f>
        <v>3.64</v>
      </c>
      <c r="X6" s="17">
        <f>I6*'IAA digestibility'!I6</f>
        <v>4.0480000000000009</v>
      </c>
      <c r="Y6" s="17">
        <f>J6*'IAA digestibility'!J6</f>
        <v>7.44</v>
      </c>
      <c r="Z6" s="17">
        <f>K6*'IAA digestibility'!K6</f>
        <v>2.7600000000000002</v>
      </c>
      <c r="AA6" s="17">
        <f>L6*'IAA digestibility'!L6</f>
        <v>1.6740000000000002</v>
      </c>
      <c r="AB6" s="17">
        <f>M6*'IAA digestibility'!M6</f>
        <v>2.262</v>
      </c>
      <c r="AC6" s="17">
        <f>N6*'IAA digestibility'!N6</f>
        <v>4.9279999999999999</v>
      </c>
      <c r="AD6" s="17">
        <f>O6*'IAA digestibility'!O6</f>
        <v>3.1619999999999999</v>
      </c>
      <c r="AE6" s="17">
        <f>P6*'IAA digestibility'!P6</f>
        <v>5.0049999999999999</v>
      </c>
      <c r="AF6" s="17">
        <f>R6*'IAA digestibility'!R6</f>
        <v>2.6680000000000001</v>
      </c>
      <c r="AG6" s="25"/>
      <c r="AH6" s="17">
        <f t="shared" si="1"/>
        <v>8.9256198347107443</v>
      </c>
      <c r="AI6" s="17">
        <f t="shared" si="2"/>
        <v>30.082644628099175</v>
      </c>
      <c r="AJ6" s="17">
        <f t="shared" si="3"/>
        <v>33.45454545454546</v>
      </c>
      <c r="AK6" s="17">
        <f t="shared" si="4"/>
        <v>61.487603305785129</v>
      </c>
      <c r="AL6" s="17">
        <f t="shared" si="5"/>
        <v>22.809917355371901</v>
      </c>
      <c r="AM6" s="17">
        <f t="shared" si="6"/>
        <v>32.528925619834709</v>
      </c>
      <c r="AN6" s="18">
        <f t="shared" si="7"/>
        <v>66.859504132231407</v>
      </c>
      <c r="AO6" s="17">
        <f t="shared" si="8"/>
        <v>41.36363636363636</v>
      </c>
      <c r="AP6" s="17">
        <f t="shared" si="9"/>
        <v>22.049586776859506</v>
      </c>
    </row>
    <row r="7" spans="1:43" s="4" customFormat="1" x14ac:dyDescent="0.25">
      <c r="A7" s="4" t="s">
        <v>44</v>
      </c>
      <c r="B7" s="4" t="s">
        <v>10</v>
      </c>
      <c r="C7" s="4">
        <v>1</v>
      </c>
      <c r="E7" s="4" t="s">
        <v>12</v>
      </c>
      <c r="F7" s="4">
        <v>76</v>
      </c>
      <c r="G7" s="4">
        <v>0.5</v>
      </c>
      <c r="H7" s="4">
        <v>2.7</v>
      </c>
      <c r="I7" s="4">
        <v>2.6</v>
      </c>
      <c r="J7" s="4">
        <v>9.1999999999999993</v>
      </c>
      <c r="K7" s="4">
        <v>2.2000000000000002</v>
      </c>
      <c r="L7" s="4">
        <v>1.6</v>
      </c>
      <c r="M7" s="4">
        <v>1.7</v>
      </c>
      <c r="N7" s="4">
        <v>3.7</v>
      </c>
      <c r="O7" s="4">
        <v>2.8</v>
      </c>
      <c r="P7" s="4">
        <v>3.7</v>
      </c>
      <c r="Q7" s="4">
        <v>3.6</v>
      </c>
      <c r="R7" s="4">
        <v>2.2999999999999998</v>
      </c>
      <c r="T7" s="10"/>
      <c r="V7" s="17">
        <f>G7*'IAA digestibility'!G7</f>
        <v>0.39</v>
      </c>
      <c r="W7" s="17">
        <f>H7*'IAA digestibility'!H7</f>
        <v>2.052</v>
      </c>
      <c r="X7" s="17">
        <f>I7*'IAA digestibility'!I7</f>
        <v>2.2360000000000002</v>
      </c>
      <c r="Y7" s="17">
        <f>J7*'IAA digestibility'!J7</f>
        <v>8.4640000000000004</v>
      </c>
      <c r="Z7" s="17">
        <f>K7*'IAA digestibility'!K7</f>
        <v>1.6720000000000002</v>
      </c>
      <c r="AA7" s="17">
        <f>L7*'IAA digestibility'!L7</f>
        <v>1.4720000000000002</v>
      </c>
      <c r="AB7" s="17">
        <f>M7*'IAA digestibility'!M7</f>
        <v>1.343</v>
      </c>
      <c r="AC7" s="17">
        <f>N7*'IAA digestibility'!N7</f>
        <v>3.1080000000000001</v>
      </c>
      <c r="AD7" s="17">
        <f>O7*'IAA digestibility'!O7</f>
        <v>2.548</v>
      </c>
      <c r="AE7" s="17">
        <f>P7*'IAA digestibility'!P7</f>
        <v>3.145</v>
      </c>
      <c r="AF7" s="17">
        <f>R7*'IAA digestibility'!R7</f>
        <v>1.9319999999999997</v>
      </c>
      <c r="AG7" s="25"/>
      <c r="AH7" s="17">
        <f t="shared" si="1"/>
        <v>5.1315789473684212</v>
      </c>
      <c r="AI7" s="17">
        <f t="shared" si="2"/>
        <v>27</v>
      </c>
      <c r="AJ7" s="17">
        <f t="shared" si="3"/>
        <v>29.421052631578949</v>
      </c>
      <c r="AK7" s="17">
        <f t="shared" si="4"/>
        <v>111.36842105263159</v>
      </c>
      <c r="AL7" s="17">
        <f t="shared" si="5"/>
        <v>22.000000000000004</v>
      </c>
      <c r="AM7" s="17">
        <f t="shared" si="6"/>
        <v>37.039473684210535</v>
      </c>
      <c r="AN7" s="18">
        <f t="shared" si="7"/>
        <v>74.421052631578959</v>
      </c>
      <c r="AO7" s="17">
        <f t="shared" si="8"/>
        <v>41.381578947368425</v>
      </c>
      <c r="AP7" s="17">
        <f t="shared" si="9"/>
        <v>25.421052631578945</v>
      </c>
    </row>
    <row r="8" spans="1:43" s="4" customFormat="1" x14ac:dyDescent="0.25">
      <c r="A8" s="4" t="s">
        <v>40</v>
      </c>
      <c r="B8" s="4" t="s">
        <v>10</v>
      </c>
      <c r="C8" s="4">
        <v>2</v>
      </c>
      <c r="E8" s="4" t="s">
        <v>12</v>
      </c>
      <c r="F8" s="4">
        <v>88</v>
      </c>
      <c r="G8" s="4">
        <v>0.6</v>
      </c>
      <c r="H8" s="4">
        <v>3.3</v>
      </c>
      <c r="I8" s="4">
        <v>3.3</v>
      </c>
      <c r="J8" s="4">
        <v>10.8</v>
      </c>
      <c r="K8" s="4">
        <v>2.7</v>
      </c>
      <c r="L8" s="4">
        <v>1.9</v>
      </c>
      <c r="M8" s="4">
        <v>2.2000000000000002</v>
      </c>
      <c r="N8" s="4">
        <v>4.3</v>
      </c>
      <c r="O8" s="4">
        <v>3.7</v>
      </c>
      <c r="P8" s="4">
        <v>4.4000000000000004</v>
      </c>
      <c r="Q8" s="4">
        <v>4.2</v>
      </c>
      <c r="R8" s="4">
        <v>2.6</v>
      </c>
      <c r="T8" s="10"/>
      <c r="V8" s="17">
        <f>G8*'IAA digestibility'!G8</f>
        <v>0.48</v>
      </c>
      <c r="W8" s="17">
        <f>H8*'IAA digestibility'!H8</f>
        <v>2.7389999999999999</v>
      </c>
      <c r="X8" s="17">
        <f>I8*'IAA digestibility'!I8</f>
        <v>2.9039999999999999</v>
      </c>
      <c r="Y8" s="17">
        <f>J8*'IAA digestibility'!J8</f>
        <v>10.044</v>
      </c>
      <c r="Z8" s="17">
        <f>K8*'IAA digestibility'!K8</f>
        <v>2.16</v>
      </c>
      <c r="AA8" s="17">
        <f>L8*'IAA digestibility'!L8</f>
        <v>1.7289999999999999</v>
      </c>
      <c r="AB8" s="17">
        <f>M8*'IAA digestibility'!M8</f>
        <v>1.9580000000000002</v>
      </c>
      <c r="AC8" s="17">
        <f>N8*'IAA digestibility'!N8</f>
        <v>3.9129999999999998</v>
      </c>
      <c r="AD8" s="17">
        <f>O8*'IAA digestibility'!O8</f>
        <v>3.33</v>
      </c>
      <c r="AE8" s="17">
        <f>P8*'IAA digestibility'!P8</f>
        <v>3.8280000000000003</v>
      </c>
      <c r="AF8" s="17">
        <f>R8*'IAA digestibility'!R8</f>
        <v>2.3140000000000001</v>
      </c>
      <c r="AG8" s="25"/>
      <c r="AH8" s="17">
        <f t="shared" si="1"/>
        <v>5.4545454545454541</v>
      </c>
      <c r="AI8" s="17">
        <f t="shared" si="2"/>
        <v>31.125</v>
      </c>
      <c r="AJ8" s="17">
        <f t="shared" si="3"/>
        <v>33</v>
      </c>
      <c r="AK8" s="17">
        <f t="shared" si="4"/>
        <v>114.13636363636364</v>
      </c>
      <c r="AL8" s="17">
        <f t="shared" si="5"/>
        <v>24.545454545454547</v>
      </c>
      <c r="AM8" s="17">
        <f t="shared" si="6"/>
        <v>41.897727272727273</v>
      </c>
      <c r="AN8" s="18">
        <f t="shared" si="7"/>
        <v>82.306818181818187</v>
      </c>
      <c r="AO8" s="17">
        <f t="shared" si="8"/>
        <v>43.500000000000007</v>
      </c>
      <c r="AP8" s="17">
        <f t="shared" si="9"/>
        <v>26.295454545454547</v>
      </c>
    </row>
    <row r="9" spans="1:43" s="4" customFormat="1" x14ac:dyDescent="0.25">
      <c r="A9" s="4" t="s">
        <v>42</v>
      </c>
      <c r="B9" s="4" t="s">
        <v>10</v>
      </c>
      <c r="C9" s="4">
        <v>2</v>
      </c>
      <c r="E9" s="4" t="s">
        <v>12</v>
      </c>
      <c r="F9" s="4">
        <v>88</v>
      </c>
      <c r="G9" s="4">
        <v>0.6</v>
      </c>
      <c r="H9" s="4">
        <v>3.3</v>
      </c>
      <c r="I9" s="4">
        <v>3.3</v>
      </c>
      <c r="J9" s="4">
        <v>10.8</v>
      </c>
      <c r="K9" s="4">
        <v>2.7</v>
      </c>
      <c r="L9" s="4">
        <v>1.9</v>
      </c>
      <c r="M9" s="4">
        <v>2.2000000000000002</v>
      </c>
      <c r="N9" s="4">
        <v>4.3</v>
      </c>
      <c r="O9" s="4">
        <v>3.7</v>
      </c>
      <c r="P9" s="4">
        <v>4.4000000000000004</v>
      </c>
      <c r="Q9" s="4">
        <v>4.2</v>
      </c>
      <c r="R9" s="4">
        <v>2.6</v>
      </c>
      <c r="T9" s="10"/>
      <c r="V9" s="17">
        <f>G9*'IAA digestibility'!G9</f>
        <v>0.49799999999999994</v>
      </c>
      <c r="W9" s="17">
        <f>H9*'IAA digestibility'!H9</f>
        <v>2.673</v>
      </c>
      <c r="X9" s="17">
        <f>I9*'IAA digestibility'!I9</f>
        <v>2.871</v>
      </c>
      <c r="Y9" s="17">
        <f>J9*'IAA digestibility'!J9</f>
        <v>9.8280000000000012</v>
      </c>
      <c r="Z9" s="17">
        <f>K9*'IAA digestibility'!K9</f>
        <v>2.1330000000000005</v>
      </c>
      <c r="AA9" s="17">
        <f>L9*'IAA digestibility'!L9</f>
        <v>1.6909999999999998</v>
      </c>
      <c r="AB9" s="17">
        <f>M9*'IAA digestibility'!M9</f>
        <v>1.9140000000000001</v>
      </c>
      <c r="AC9" s="17">
        <f>N9*'IAA digestibility'!N9</f>
        <v>3.87</v>
      </c>
      <c r="AD9" s="17">
        <f>O9*'IAA digestibility'!O9</f>
        <v>3.2930000000000001</v>
      </c>
      <c r="AE9" s="17">
        <f>P9*'IAA digestibility'!P9</f>
        <v>3.7840000000000003</v>
      </c>
      <c r="AF9" s="17">
        <f>R9*'IAA digestibility'!R9</f>
        <v>2.262</v>
      </c>
      <c r="AG9" s="25"/>
      <c r="AH9" s="17">
        <f t="shared" si="1"/>
        <v>5.6590909090909092</v>
      </c>
      <c r="AI9" s="17">
        <f t="shared" si="2"/>
        <v>30.375</v>
      </c>
      <c r="AJ9" s="17">
        <f t="shared" si="3"/>
        <v>32.625</v>
      </c>
      <c r="AK9" s="17">
        <f t="shared" si="4"/>
        <v>111.6818181818182</v>
      </c>
      <c r="AL9" s="17">
        <f t="shared" si="5"/>
        <v>24.238636363636367</v>
      </c>
      <c r="AM9" s="17">
        <f t="shared" si="6"/>
        <v>40.965909090909086</v>
      </c>
      <c r="AN9" s="18">
        <f t="shared" si="7"/>
        <v>81.39772727272728</v>
      </c>
      <c r="AO9" s="17">
        <f t="shared" si="8"/>
        <v>43</v>
      </c>
      <c r="AP9" s="17">
        <f t="shared" si="9"/>
        <v>25.704545454545457</v>
      </c>
    </row>
    <row r="10" spans="1:43" s="4" customFormat="1" x14ac:dyDescent="0.25">
      <c r="A10" s="4" t="s">
        <v>41</v>
      </c>
      <c r="B10" s="4" t="s">
        <v>10</v>
      </c>
      <c r="C10" s="4">
        <v>2</v>
      </c>
      <c r="E10" s="4" t="s">
        <v>12</v>
      </c>
      <c r="F10" s="4">
        <v>88</v>
      </c>
      <c r="G10" s="4">
        <v>0.6</v>
      </c>
      <c r="H10" s="4">
        <v>3.3</v>
      </c>
      <c r="I10" s="4">
        <v>3.3</v>
      </c>
      <c r="J10" s="4">
        <v>10.8</v>
      </c>
      <c r="K10" s="4">
        <v>2.7</v>
      </c>
      <c r="L10" s="4">
        <v>1.9</v>
      </c>
      <c r="M10" s="4">
        <v>2.2000000000000002</v>
      </c>
      <c r="N10" s="4">
        <v>4.3</v>
      </c>
      <c r="O10" s="4">
        <v>3.7</v>
      </c>
      <c r="P10" s="4">
        <v>4.4000000000000004</v>
      </c>
      <c r="Q10" s="4">
        <v>4.2</v>
      </c>
      <c r="R10" s="4">
        <v>2.6</v>
      </c>
      <c r="T10" s="10"/>
      <c r="V10" s="17">
        <f>G10*'IAA digestibility'!G10</f>
        <v>0.49799999999999994</v>
      </c>
      <c r="W10" s="17">
        <f>H10*'IAA digestibility'!H10</f>
        <v>2.673</v>
      </c>
      <c r="X10" s="17">
        <f>I10*'IAA digestibility'!I10</f>
        <v>2.871</v>
      </c>
      <c r="Y10" s="17">
        <f>J10*'IAA digestibility'!J10</f>
        <v>9.8280000000000012</v>
      </c>
      <c r="Z10" s="17">
        <f>K10*'IAA digestibility'!K10</f>
        <v>2.1330000000000005</v>
      </c>
      <c r="AA10" s="17">
        <f>L10*'IAA digestibility'!L10</f>
        <v>1.6909999999999998</v>
      </c>
      <c r="AB10" s="17">
        <f>M10*'IAA digestibility'!M10</f>
        <v>1.9140000000000001</v>
      </c>
      <c r="AC10" s="17">
        <f>N10*'IAA digestibility'!N10</f>
        <v>3.87</v>
      </c>
      <c r="AD10" s="17">
        <f>O10*'IAA digestibility'!O10</f>
        <v>3.2930000000000001</v>
      </c>
      <c r="AE10" s="17">
        <f>P10*'IAA digestibility'!P10</f>
        <v>3.7840000000000003</v>
      </c>
      <c r="AF10" s="17">
        <f>R10*'IAA digestibility'!R10</f>
        <v>2.262</v>
      </c>
      <c r="AG10" s="25"/>
      <c r="AH10" s="17">
        <f t="shared" si="1"/>
        <v>5.6590909090909092</v>
      </c>
      <c r="AI10" s="17">
        <f t="shared" si="2"/>
        <v>30.375</v>
      </c>
      <c r="AJ10" s="17">
        <f t="shared" si="3"/>
        <v>32.625</v>
      </c>
      <c r="AK10" s="17">
        <f t="shared" si="4"/>
        <v>111.6818181818182</v>
      </c>
      <c r="AL10" s="17">
        <f t="shared" si="5"/>
        <v>24.238636363636367</v>
      </c>
      <c r="AM10" s="17">
        <f t="shared" si="6"/>
        <v>40.965909090909086</v>
      </c>
      <c r="AN10" s="18">
        <f t="shared" si="7"/>
        <v>81.39772727272728</v>
      </c>
      <c r="AO10" s="17">
        <f t="shared" si="8"/>
        <v>43</v>
      </c>
      <c r="AP10" s="17">
        <f t="shared" si="9"/>
        <v>25.704545454545457</v>
      </c>
    </row>
    <row r="11" spans="1:43" s="4" customFormat="1" x14ac:dyDescent="0.25">
      <c r="A11" s="4" t="s">
        <v>43</v>
      </c>
      <c r="B11" s="4" t="s">
        <v>10</v>
      </c>
      <c r="C11" s="4">
        <v>2</v>
      </c>
      <c r="E11" s="4" t="s">
        <v>12</v>
      </c>
      <c r="F11" s="4">
        <v>92</v>
      </c>
      <c r="G11" s="4">
        <v>0.6</v>
      </c>
      <c r="H11" s="4">
        <v>3.4</v>
      </c>
      <c r="I11" s="4">
        <v>3.4</v>
      </c>
      <c r="J11" s="4">
        <v>11.4</v>
      </c>
      <c r="K11" s="4">
        <v>2.8</v>
      </c>
      <c r="L11" s="4">
        <v>1.9</v>
      </c>
      <c r="M11" s="4">
        <v>2.2999999999999998</v>
      </c>
      <c r="N11" s="4">
        <v>4.5</v>
      </c>
      <c r="O11" s="4">
        <v>3.9</v>
      </c>
      <c r="P11" s="4">
        <v>4.5999999999999996</v>
      </c>
      <c r="Q11" s="4">
        <v>4.4000000000000004</v>
      </c>
      <c r="R11" s="4">
        <v>2.7</v>
      </c>
      <c r="T11" s="10"/>
      <c r="V11" s="17">
        <f>G11*'IAA digestibility'!G11</f>
        <v>0.48</v>
      </c>
      <c r="W11" s="17">
        <f>H11*'IAA digestibility'!H11</f>
        <v>2.8219999999999996</v>
      </c>
      <c r="X11" s="17">
        <f>I11*'IAA digestibility'!I11</f>
        <v>2.992</v>
      </c>
      <c r="Y11" s="17">
        <f>J11*'IAA digestibility'!J11</f>
        <v>10.602</v>
      </c>
      <c r="Z11" s="17">
        <f>K11*'IAA digestibility'!K11</f>
        <v>2.2399999999999998</v>
      </c>
      <c r="AA11" s="17">
        <f>L11*'IAA digestibility'!L11</f>
        <v>1.7289999999999999</v>
      </c>
      <c r="AB11" s="17">
        <f>M11*'IAA digestibility'!M11</f>
        <v>2.024</v>
      </c>
      <c r="AC11" s="17">
        <f>N11*'IAA digestibility'!N11</f>
        <v>4.0949999999999998</v>
      </c>
      <c r="AD11" s="17">
        <f>O11*'IAA digestibility'!O11</f>
        <v>3.51</v>
      </c>
      <c r="AE11" s="17">
        <f>P11*'IAA digestibility'!P11</f>
        <v>4.0019999999999998</v>
      </c>
      <c r="AF11" s="17">
        <f>R11*'IAA digestibility'!R11</f>
        <v>2.403</v>
      </c>
      <c r="AG11" s="25"/>
      <c r="AH11" s="17">
        <f t="shared" si="1"/>
        <v>5.2173913043478253</v>
      </c>
      <c r="AI11" s="17">
        <f t="shared" si="2"/>
        <v>30.673913043478255</v>
      </c>
      <c r="AJ11" s="17">
        <f t="shared" si="3"/>
        <v>32.521739130434781</v>
      </c>
      <c r="AK11" s="17">
        <f t="shared" si="4"/>
        <v>115.23913043478261</v>
      </c>
      <c r="AL11" s="17">
        <f t="shared" si="5"/>
        <v>24.347826086956516</v>
      </c>
      <c r="AM11" s="17">
        <f t="shared" si="6"/>
        <v>40.793478260869563</v>
      </c>
      <c r="AN11" s="18">
        <f t="shared" si="7"/>
        <v>82.66304347826086</v>
      </c>
      <c r="AO11" s="17">
        <f t="shared" si="8"/>
        <v>43.5</v>
      </c>
      <c r="AP11" s="17">
        <f t="shared" si="9"/>
        <v>26.119565217391305</v>
      </c>
    </row>
    <row r="12" spans="1:43" s="4" customFormat="1" x14ac:dyDescent="0.25">
      <c r="A12" s="4" t="s">
        <v>13</v>
      </c>
      <c r="B12" s="4" t="s">
        <v>10</v>
      </c>
      <c r="C12" s="4">
        <v>1</v>
      </c>
      <c r="E12" s="4" t="s">
        <v>12</v>
      </c>
      <c r="F12" s="4">
        <v>94</v>
      </c>
      <c r="G12" s="4">
        <v>0.7</v>
      </c>
      <c r="H12" s="4">
        <v>3.5</v>
      </c>
      <c r="I12" s="4">
        <v>3.3</v>
      </c>
      <c r="J12" s="4">
        <v>10.5</v>
      </c>
      <c r="K12" s="4">
        <v>3</v>
      </c>
      <c r="L12" s="4">
        <v>2</v>
      </c>
      <c r="M12" s="4">
        <v>2.1</v>
      </c>
      <c r="N12" s="4">
        <v>4.4000000000000004</v>
      </c>
      <c r="O12" s="4">
        <v>3.4</v>
      </c>
      <c r="P12" s="4">
        <v>4.8</v>
      </c>
      <c r="Q12" s="4">
        <v>4.7</v>
      </c>
      <c r="R12" s="4">
        <v>2.7</v>
      </c>
      <c r="T12" s="10"/>
      <c r="V12" s="17">
        <f>G12*'IAA digestibility'!G12</f>
        <v>0.48299999999999993</v>
      </c>
      <c r="W12" s="17">
        <f>H12*'IAA digestibility'!H12</f>
        <v>2.31</v>
      </c>
      <c r="X12" s="17">
        <f>I12*'IAA digestibility'!I12</f>
        <v>2.5409999999999999</v>
      </c>
      <c r="Y12" s="17">
        <f>J12*'IAA digestibility'!J12</f>
        <v>8.5050000000000008</v>
      </c>
      <c r="Z12" s="17">
        <f>K12*'IAA digestibility'!K12</f>
        <v>2.04</v>
      </c>
      <c r="AA12" s="17">
        <f>L12*'IAA digestibility'!L12</f>
        <v>1.66</v>
      </c>
      <c r="AB12" s="17">
        <f>M12*'IAA digestibility'!M12</f>
        <v>1.4489999999999998</v>
      </c>
      <c r="AC12" s="17">
        <f>N12*'IAA digestibility'!N12</f>
        <v>3.5200000000000005</v>
      </c>
      <c r="AD12" s="17">
        <f>O12*'IAA digestibility'!O12</f>
        <v>2.72</v>
      </c>
      <c r="AE12" s="17">
        <f>P12*'IAA digestibility'!P12</f>
        <v>3.6959999999999997</v>
      </c>
      <c r="AF12" s="17">
        <f>R12*'IAA digestibility'!R12</f>
        <v>2.16</v>
      </c>
      <c r="AG12" s="25"/>
      <c r="AH12" s="17">
        <f t="shared" si="1"/>
        <v>5.1382978723404245</v>
      </c>
      <c r="AI12" s="17">
        <f t="shared" si="2"/>
        <v>24.574468085106382</v>
      </c>
      <c r="AJ12" s="17">
        <f t="shared" si="3"/>
        <v>27.031914893617021</v>
      </c>
      <c r="AK12" s="17">
        <f t="shared" si="4"/>
        <v>90.478723404255319</v>
      </c>
      <c r="AL12" s="17">
        <f t="shared" si="5"/>
        <v>21.702127659574469</v>
      </c>
      <c r="AM12" s="17">
        <f t="shared" si="6"/>
        <v>33.074468085106382</v>
      </c>
      <c r="AN12" s="18">
        <f t="shared" si="7"/>
        <v>66.382978723404264</v>
      </c>
      <c r="AO12" s="17">
        <f t="shared" si="8"/>
        <v>39.319148936170208</v>
      </c>
      <c r="AP12" s="17">
        <f t="shared" si="9"/>
        <v>22.978723404255319</v>
      </c>
    </row>
    <row r="13" spans="1:43" s="4" customFormat="1" x14ac:dyDescent="0.25">
      <c r="A13" s="4" t="s">
        <v>221</v>
      </c>
      <c r="B13" s="4" t="s">
        <v>10</v>
      </c>
      <c r="C13" s="4">
        <v>7</v>
      </c>
      <c r="E13" s="4" t="s">
        <v>12</v>
      </c>
      <c r="F13" s="4">
        <v>75</v>
      </c>
      <c r="G13" s="4">
        <v>0.5</v>
      </c>
      <c r="H13" s="4">
        <v>2.2999999999999998</v>
      </c>
      <c r="I13" s="4">
        <v>2.2999999999999998</v>
      </c>
      <c r="J13" s="4">
        <v>7.1</v>
      </c>
      <c r="K13" s="4">
        <v>2.2999999999999998</v>
      </c>
      <c r="L13" s="4">
        <v>1.4</v>
      </c>
      <c r="M13" s="4">
        <v>1.4</v>
      </c>
      <c r="N13" s="4">
        <v>2.9</v>
      </c>
      <c r="O13" s="4">
        <v>1.9</v>
      </c>
      <c r="P13" s="4">
        <v>3.2</v>
      </c>
      <c r="Q13" s="4">
        <v>3.2</v>
      </c>
      <c r="R13" s="4">
        <v>1.9</v>
      </c>
      <c r="S13" s="4" t="s">
        <v>228</v>
      </c>
      <c r="T13" s="10"/>
      <c r="V13" s="17">
        <f>G13*'IAA digestibility'!G13</f>
        <v>0.35</v>
      </c>
      <c r="W13" s="17">
        <f>H13*'IAA digestibility'!H13</f>
        <v>1.6099999999999999</v>
      </c>
      <c r="X13" s="17">
        <f>I13*'IAA digestibility'!I13</f>
        <v>1.7479999999999998</v>
      </c>
      <c r="Y13" s="17">
        <f>J13*'IAA digestibility'!J13</f>
        <v>5.9639999999999995</v>
      </c>
      <c r="Z13" s="17">
        <f>K13*'IAA digestibility'!K13</f>
        <v>1.7249999999999999</v>
      </c>
      <c r="AA13" s="17">
        <f>L13*'IAA digestibility'!L13</f>
        <v>1.26</v>
      </c>
      <c r="AB13" s="17">
        <f>M13*'IAA digestibility'!M13</f>
        <v>1.0779999999999998</v>
      </c>
      <c r="AC13" s="17">
        <f>N13*'IAA digestibility'!N13</f>
        <v>2.407</v>
      </c>
      <c r="AD13" s="17">
        <f>O13*'IAA digestibility'!O13</f>
        <v>1.52</v>
      </c>
      <c r="AE13" s="17">
        <f>P13*'IAA digestibility'!P13</f>
        <v>2.4000000000000004</v>
      </c>
      <c r="AF13" s="17">
        <f>R13*'IAA digestibility'!R13</f>
        <v>1.577</v>
      </c>
      <c r="AG13" s="25"/>
      <c r="AH13" s="17">
        <f t="shared" si="1"/>
        <v>4.6666666666666661</v>
      </c>
      <c r="AI13" s="17">
        <f t="shared" si="2"/>
        <v>21.466666666666665</v>
      </c>
      <c r="AJ13" s="17">
        <f t="shared" si="3"/>
        <v>23.306666666666661</v>
      </c>
      <c r="AK13" s="17">
        <f t="shared" si="4"/>
        <v>79.52</v>
      </c>
      <c r="AL13" s="17">
        <f t="shared" si="5"/>
        <v>23</v>
      </c>
      <c r="AM13" s="17">
        <f t="shared" si="6"/>
        <v>31.173333333333336</v>
      </c>
      <c r="AN13" s="18">
        <f t="shared" si="7"/>
        <v>52.360000000000007</v>
      </c>
      <c r="AO13" s="17">
        <f t="shared" si="8"/>
        <v>32.000000000000007</v>
      </c>
      <c r="AP13" s="17">
        <f t="shared" si="9"/>
        <v>21.026666666666667</v>
      </c>
    </row>
    <row r="14" spans="1:43" s="4" customFormat="1" x14ac:dyDescent="0.25">
      <c r="A14" s="4" t="s">
        <v>222</v>
      </c>
      <c r="B14" s="4" t="s">
        <v>10</v>
      </c>
      <c r="C14" s="4">
        <v>7</v>
      </c>
      <c r="E14" s="4" t="s">
        <v>12</v>
      </c>
      <c r="F14" s="4">
        <v>88</v>
      </c>
      <c r="G14" s="4">
        <v>0.5</v>
      </c>
      <c r="H14" s="4">
        <v>2.7</v>
      </c>
      <c r="I14" s="4">
        <v>3</v>
      </c>
      <c r="J14" s="4">
        <v>9.6</v>
      </c>
      <c r="K14" s="4">
        <v>2.9</v>
      </c>
      <c r="L14" s="4">
        <v>1.7</v>
      </c>
      <c r="M14" s="4">
        <v>1.7</v>
      </c>
      <c r="N14" s="4">
        <v>3.9</v>
      </c>
      <c r="O14" s="4">
        <v>2.4</v>
      </c>
      <c r="P14" s="4">
        <v>4</v>
      </c>
      <c r="Q14" s="4">
        <v>4.0999999999999996</v>
      </c>
      <c r="R14" s="4">
        <v>2.6</v>
      </c>
      <c r="S14" s="4" t="s">
        <v>228</v>
      </c>
      <c r="T14" s="10"/>
      <c r="V14" s="17">
        <f>G14*'IAA digestibility'!G14</f>
        <v>0.36499999999999999</v>
      </c>
      <c r="W14" s="17">
        <f>H14*'IAA digestibility'!H14</f>
        <v>2.052</v>
      </c>
      <c r="X14" s="17">
        <f>I14*'IAA digestibility'!I14</f>
        <v>2.4300000000000002</v>
      </c>
      <c r="Y14" s="17">
        <f>J14*'IAA digestibility'!J14</f>
        <v>8.64</v>
      </c>
      <c r="Z14" s="17">
        <f>K14*'IAA digestibility'!K14</f>
        <v>2.2909999999999999</v>
      </c>
      <c r="AA14" s="17">
        <f>L14*'IAA digestibility'!L14</f>
        <v>1.5469999999999999</v>
      </c>
      <c r="AB14" s="17">
        <f>M14*'IAA digestibility'!M14</f>
        <v>1.3939999999999999</v>
      </c>
      <c r="AC14" s="17">
        <f>N14*'IAA digestibility'!N14</f>
        <v>3.4319999999999999</v>
      </c>
      <c r="AD14" s="17">
        <f>O14*'IAA digestibility'!O14</f>
        <v>2.04</v>
      </c>
      <c r="AE14" s="17">
        <f>P14*'IAA digestibility'!P14</f>
        <v>3.28</v>
      </c>
      <c r="AF14" s="17">
        <f>R14*'IAA digestibility'!R14</f>
        <v>2.262</v>
      </c>
      <c r="AG14" s="25"/>
      <c r="AH14" s="17">
        <f t="shared" si="1"/>
        <v>4.1477272727272725</v>
      </c>
      <c r="AI14" s="17">
        <f t="shared" si="2"/>
        <v>23.318181818181817</v>
      </c>
      <c r="AJ14" s="17">
        <f t="shared" si="3"/>
        <v>27.613636363636363</v>
      </c>
      <c r="AK14" s="17">
        <f t="shared" si="4"/>
        <v>98.181818181818187</v>
      </c>
      <c r="AL14" s="17">
        <f t="shared" si="5"/>
        <v>26.03409090909091</v>
      </c>
      <c r="AM14" s="17">
        <f t="shared" si="6"/>
        <v>33.420454545454547</v>
      </c>
      <c r="AN14" s="18">
        <f t="shared" si="7"/>
        <v>62.18181818181818</v>
      </c>
      <c r="AO14" s="17">
        <f t="shared" si="8"/>
        <v>37.272727272727273</v>
      </c>
      <c r="AP14" s="17">
        <f t="shared" si="9"/>
        <v>25.704545454545457</v>
      </c>
    </row>
    <row r="15" spans="1:43" s="4" customFormat="1" x14ac:dyDescent="0.25">
      <c r="A15" s="4" t="s">
        <v>295</v>
      </c>
      <c r="B15" s="4" t="s">
        <v>10</v>
      </c>
      <c r="C15" s="4">
        <v>16</v>
      </c>
      <c r="E15" s="4" t="s">
        <v>12</v>
      </c>
      <c r="T15" s="10"/>
      <c r="V15" s="17"/>
      <c r="W15" s="17"/>
      <c r="X15" s="17"/>
      <c r="Y15" s="17"/>
      <c r="Z15" s="17"/>
      <c r="AA15" s="17"/>
      <c r="AB15" s="17"/>
      <c r="AC15" s="17"/>
      <c r="AD15" s="17"/>
      <c r="AE15" s="17"/>
      <c r="AF15" s="17"/>
      <c r="AG15" s="25"/>
      <c r="AH15" s="17"/>
      <c r="AI15" s="17"/>
      <c r="AJ15" s="17"/>
      <c r="AK15" s="17"/>
      <c r="AL15" s="17"/>
      <c r="AM15" s="17"/>
      <c r="AN15" s="18"/>
      <c r="AO15" s="17"/>
      <c r="AP15" s="17"/>
      <c r="AQ15" s="4" t="s">
        <v>440</v>
      </c>
    </row>
    <row r="16" spans="1:43" s="4" customFormat="1" x14ac:dyDescent="0.25">
      <c r="A16" s="4" t="s">
        <v>280</v>
      </c>
      <c r="B16" s="4" t="s">
        <v>10</v>
      </c>
      <c r="C16" s="4">
        <v>4</v>
      </c>
      <c r="E16" s="4" t="s">
        <v>15</v>
      </c>
      <c r="F16" s="11"/>
      <c r="G16" s="11"/>
      <c r="M16" s="11"/>
      <c r="O16" s="11"/>
      <c r="Q16" s="11"/>
      <c r="R16" s="11"/>
      <c r="T16" s="10"/>
      <c r="V16" s="17"/>
      <c r="W16" s="17"/>
      <c r="X16" s="17"/>
      <c r="Y16" s="17"/>
      <c r="Z16" s="17"/>
      <c r="AA16" s="17"/>
      <c r="AB16" s="17"/>
      <c r="AC16" s="17"/>
      <c r="AD16" s="17"/>
      <c r="AE16" s="17"/>
      <c r="AF16" s="17"/>
      <c r="AG16" s="25"/>
      <c r="AH16" s="17"/>
      <c r="AI16" s="17"/>
      <c r="AJ16" s="17"/>
      <c r="AK16" s="17"/>
      <c r="AL16" s="17"/>
      <c r="AM16" s="17"/>
      <c r="AN16" s="18"/>
      <c r="AO16" s="17"/>
      <c r="AP16" s="17"/>
      <c r="AQ16" s="4" t="s">
        <v>440</v>
      </c>
    </row>
    <row r="17" spans="1:42" s="7" customFormat="1" x14ac:dyDescent="0.25">
      <c r="A17" s="4" t="s">
        <v>465</v>
      </c>
      <c r="B17" s="4" t="s">
        <v>10</v>
      </c>
      <c r="C17" s="4">
        <v>2</v>
      </c>
      <c r="D17" s="4"/>
      <c r="E17" s="4" t="s">
        <v>12</v>
      </c>
      <c r="F17" s="4">
        <v>125</v>
      </c>
      <c r="G17" s="4">
        <v>2.2000000000000002</v>
      </c>
      <c r="H17" s="4">
        <v>4.9000000000000004</v>
      </c>
      <c r="I17" s="4">
        <v>5.5</v>
      </c>
      <c r="J17" s="4">
        <v>16.399999999999999</v>
      </c>
      <c r="K17" s="4">
        <v>3.1</v>
      </c>
      <c r="L17" s="4">
        <v>4.3</v>
      </c>
      <c r="M17" s="4">
        <v>3</v>
      </c>
      <c r="N17" s="4">
        <v>6.1</v>
      </c>
      <c r="O17" s="4">
        <v>3.9</v>
      </c>
      <c r="P17" s="4">
        <v>6.8</v>
      </c>
      <c r="Q17" s="4">
        <v>4.9000000000000004</v>
      </c>
      <c r="R17" s="4">
        <v>2.9</v>
      </c>
      <c r="S17" s="4"/>
      <c r="T17" s="3"/>
      <c r="V17" s="17">
        <f>G17*'IAA digestibility'!G17</f>
        <v>2.0240000000000005</v>
      </c>
      <c r="W17" s="17">
        <f>H17*'IAA digestibility'!H17</f>
        <v>4.2629999999999999</v>
      </c>
      <c r="X17" s="17">
        <f>I17*'IAA digestibility'!I17</f>
        <v>5.0049999999999999</v>
      </c>
      <c r="Y17" s="17">
        <f>J17*'IAA digestibility'!J17</f>
        <v>14.923999999999999</v>
      </c>
      <c r="Z17" s="17">
        <f>K17*'IAA digestibility'!K17</f>
        <v>2.6659999999999999</v>
      </c>
      <c r="AA17" s="17">
        <f>L17*'IAA digestibility'!L17</f>
        <v>3.6119999999999997</v>
      </c>
      <c r="AB17" s="17">
        <f>M17*'IAA digestibility'!M17</f>
        <v>2.7</v>
      </c>
      <c r="AC17" s="17">
        <f>N17*'IAA digestibility'!N17</f>
        <v>5.673</v>
      </c>
      <c r="AD17" s="17">
        <f>O17*'IAA digestibility'!O17</f>
        <v>3.3929999999999998</v>
      </c>
      <c r="AE17" s="17">
        <f>P17*'IAA digestibility'!P17</f>
        <v>6.12</v>
      </c>
      <c r="AF17" s="17">
        <f>R17*'IAA digestibility'!R17</f>
        <v>2.6680000000000001</v>
      </c>
      <c r="AG17" s="26"/>
      <c r="AH17" s="17">
        <f t="shared" si="1"/>
        <v>16.192000000000004</v>
      </c>
      <c r="AI17" s="17">
        <f t="shared" si="2"/>
        <v>34.103999999999999</v>
      </c>
      <c r="AJ17" s="17">
        <f t="shared" si="3"/>
        <v>40.04</v>
      </c>
      <c r="AK17" s="17">
        <f t="shared" si="4"/>
        <v>119.392</v>
      </c>
      <c r="AL17" s="17">
        <f t="shared" si="5"/>
        <v>21.327999999999999</v>
      </c>
      <c r="AM17" s="17">
        <f t="shared" si="6"/>
        <v>50.495999999999995</v>
      </c>
      <c r="AN17" s="18">
        <f t="shared" si="7"/>
        <v>72.527999999999992</v>
      </c>
      <c r="AO17" s="17">
        <f t="shared" si="8"/>
        <v>48.96</v>
      </c>
      <c r="AP17" s="17">
        <f t="shared" si="9"/>
        <v>21.344000000000001</v>
      </c>
    </row>
    <row r="18" spans="1:42" s="7" customFormat="1" x14ac:dyDescent="0.25">
      <c r="A18" s="4" t="s">
        <v>466</v>
      </c>
      <c r="B18" s="4" t="s">
        <v>10</v>
      </c>
      <c r="C18" s="4">
        <v>2</v>
      </c>
      <c r="D18" s="4"/>
      <c r="E18" s="4" t="s">
        <v>12</v>
      </c>
      <c r="F18" s="4">
        <v>142</v>
      </c>
      <c r="G18" s="4">
        <v>2.6</v>
      </c>
      <c r="H18" s="4">
        <v>5.4</v>
      </c>
      <c r="I18" s="4">
        <v>6.4</v>
      </c>
      <c r="J18" s="4">
        <v>19</v>
      </c>
      <c r="K18" s="4">
        <v>3.2</v>
      </c>
      <c r="L18" s="4">
        <v>5</v>
      </c>
      <c r="M18" s="4">
        <v>3.3</v>
      </c>
      <c r="N18" s="4">
        <v>7</v>
      </c>
      <c r="O18" s="4">
        <v>4.4000000000000004</v>
      </c>
      <c r="P18" s="4">
        <v>7.7</v>
      </c>
      <c r="Q18" s="4">
        <v>5.3</v>
      </c>
      <c r="R18" s="4">
        <v>3.1</v>
      </c>
      <c r="S18" s="4"/>
      <c r="T18" s="3"/>
      <c r="V18" s="17">
        <f>G18*'IAA digestibility'!G18</f>
        <v>2.0020000000000002</v>
      </c>
      <c r="W18" s="17">
        <f>H18*'IAA digestibility'!H18</f>
        <v>4.1040000000000001</v>
      </c>
      <c r="X18" s="17">
        <f>I18*'IAA digestibility'!I18</f>
        <v>5.1840000000000011</v>
      </c>
      <c r="Y18" s="17">
        <f>J18*'IAA digestibility'!J18</f>
        <v>15.77</v>
      </c>
      <c r="Z18" s="17">
        <f>K18*'IAA digestibility'!K18</f>
        <v>2.4640000000000004</v>
      </c>
      <c r="AA18" s="17">
        <f>L18*'IAA digestibility'!L18</f>
        <v>4.2</v>
      </c>
      <c r="AB18" s="17">
        <f>M18*'IAA digestibility'!M18</f>
        <v>2.4749999999999996</v>
      </c>
      <c r="AC18" s="17">
        <f>N18*'IAA digestibility'!N18</f>
        <v>5.88</v>
      </c>
      <c r="AD18" s="17">
        <f>O18*'IAA digestibility'!O18</f>
        <v>3.6080000000000001</v>
      </c>
      <c r="AE18" s="17">
        <f>P18*'IAA digestibility'!P18</f>
        <v>6.0830000000000002</v>
      </c>
      <c r="AF18" s="17">
        <f>R18*'IAA digestibility'!R18</f>
        <v>2.5419999999999998</v>
      </c>
      <c r="AG18" s="26"/>
      <c r="AH18" s="17">
        <f t="shared" si="1"/>
        <v>14.098591549295776</v>
      </c>
      <c r="AI18" s="17">
        <f t="shared" si="2"/>
        <v>28.901408450704228</v>
      </c>
      <c r="AJ18" s="17">
        <f t="shared" si="3"/>
        <v>36.507042253521128</v>
      </c>
      <c r="AK18" s="17">
        <f t="shared" si="4"/>
        <v>111.05633802816901</v>
      </c>
      <c r="AL18" s="17">
        <f t="shared" si="5"/>
        <v>17.352112676056343</v>
      </c>
      <c r="AM18" s="17">
        <f t="shared" si="6"/>
        <v>47.007042253521128</v>
      </c>
      <c r="AN18" s="18">
        <f t="shared" si="7"/>
        <v>66.816901408450704</v>
      </c>
      <c r="AO18" s="17">
        <f t="shared" si="8"/>
        <v>42.838028169014088</v>
      </c>
      <c r="AP18" s="17">
        <f t="shared" si="9"/>
        <v>17.901408450704224</v>
      </c>
    </row>
    <row r="19" spans="1:42" s="7" customFormat="1" x14ac:dyDescent="0.25">
      <c r="A19" s="4" t="s">
        <v>467</v>
      </c>
      <c r="B19" s="4" t="s">
        <v>10</v>
      </c>
      <c r="C19" s="4">
        <v>2</v>
      </c>
      <c r="D19" s="4"/>
      <c r="E19" s="4" t="s">
        <v>12</v>
      </c>
      <c r="F19" s="4">
        <v>128</v>
      </c>
      <c r="G19" s="4">
        <v>1.6</v>
      </c>
      <c r="H19" s="4">
        <v>4.5</v>
      </c>
      <c r="I19" s="4">
        <v>4.9000000000000004</v>
      </c>
      <c r="J19" s="4">
        <v>9.4</v>
      </c>
      <c r="K19" s="4">
        <v>5.3</v>
      </c>
      <c r="L19" s="4">
        <v>2.2000000000000002</v>
      </c>
      <c r="M19" s="4">
        <v>4</v>
      </c>
      <c r="N19" s="4">
        <v>6.5</v>
      </c>
      <c r="O19" s="4">
        <v>4.5999999999999996</v>
      </c>
      <c r="P19" s="4">
        <v>6.8</v>
      </c>
      <c r="Q19" s="4">
        <v>8.8000000000000007</v>
      </c>
      <c r="R19" s="4">
        <v>2.8</v>
      </c>
      <c r="S19" s="4"/>
      <c r="T19" s="3"/>
      <c r="V19" s="17">
        <f>G19*'IAA digestibility'!G19</f>
        <v>1.3120000000000001</v>
      </c>
      <c r="W19" s="17">
        <f>H19*'IAA digestibility'!H19</f>
        <v>3.6</v>
      </c>
      <c r="X19" s="17">
        <f>I19*'IAA digestibility'!I19</f>
        <v>4.0670000000000002</v>
      </c>
      <c r="Y19" s="17">
        <f>J19*'IAA digestibility'!J19</f>
        <v>7.8019999999999996</v>
      </c>
      <c r="Z19" s="17">
        <f>K19*'IAA digestibility'!K19</f>
        <v>4.1870000000000003</v>
      </c>
      <c r="AA19" s="17">
        <f>L19*'IAA digestibility'!L19</f>
        <v>1.87</v>
      </c>
      <c r="AB19" s="17">
        <f>M19*'IAA digestibility'!M19</f>
        <v>3.4</v>
      </c>
      <c r="AC19" s="17">
        <f>N19*'IAA digestibility'!N19</f>
        <v>5.3949999999999996</v>
      </c>
      <c r="AD19" s="17">
        <f>O19*'IAA digestibility'!O19</f>
        <v>3.9099999999999997</v>
      </c>
      <c r="AE19" s="17">
        <f>P19*'IAA digestibility'!P19</f>
        <v>5.508</v>
      </c>
      <c r="AF19" s="17">
        <f>R19*'IAA digestibility'!R19</f>
        <v>2.3239999999999998</v>
      </c>
      <c r="AG19" s="26"/>
      <c r="AH19" s="17">
        <f t="shared" si="1"/>
        <v>10.25</v>
      </c>
      <c r="AI19" s="17">
        <f t="shared" si="2"/>
        <v>28.125</v>
      </c>
      <c r="AJ19" s="17">
        <f t="shared" si="3"/>
        <v>31.7734375</v>
      </c>
      <c r="AK19" s="17">
        <f t="shared" si="4"/>
        <v>60.953125</v>
      </c>
      <c r="AL19" s="17">
        <f t="shared" si="5"/>
        <v>32.7109375</v>
      </c>
      <c r="AM19" s="17">
        <f t="shared" si="6"/>
        <v>41.171875</v>
      </c>
      <c r="AN19" s="18">
        <f t="shared" si="7"/>
        <v>72.6953125</v>
      </c>
      <c r="AO19" s="17">
        <f t="shared" si="8"/>
        <v>43.03125</v>
      </c>
      <c r="AP19" s="17">
        <f t="shared" si="9"/>
        <v>18.15625</v>
      </c>
    </row>
    <row r="20" spans="1:42" s="4" customFormat="1" x14ac:dyDescent="0.25">
      <c r="A20" s="4" t="s">
        <v>468</v>
      </c>
      <c r="B20" s="4" t="s">
        <v>10</v>
      </c>
      <c r="C20" s="4" t="s">
        <v>373</v>
      </c>
      <c r="E20" s="4" t="s">
        <v>12</v>
      </c>
      <c r="F20" s="4">
        <v>102</v>
      </c>
      <c r="G20" s="4">
        <v>1.2</v>
      </c>
      <c r="H20" s="4">
        <v>3.6</v>
      </c>
      <c r="I20" s="4">
        <v>3.8</v>
      </c>
      <c r="J20" s="4">
        <v>7.5</v>
      </c>
      <c r="K20" s="4">
        <v>4.2</v>
      </c>
      <c r="L20" s="4">
        <v>1.7</v>
      </c>
      <c r="M20" s="4">
        <v>3.1</v>
      </c>
      <c r="N20" s="4">
        <v>4.9000000000000004</v>
      </c>
      <c r="O20" s="4">
        <v>3.4</v>
      </c>
      <c r="P20" s="4">
        <v>5.3</v>
      </c>
      <c r="Q20" s="4">
        <v>6.6</v>
      </c>
      <c r="R20" s="4">
        <v>2.2000000000000002</v>
      </c>
      <c r="T20" s="10"/>
      <c r="V20" s="17">
        <f>G20*'IAA digestibility'!G20</f>
        <v>0.92399999999999993</v>
      </c>
      <c r="W20" s="17">
        <f>H20*'IAA digestibility'!H20</f>
        <v>2.52</v>
      </c>
      <c r="X20" s="17">
        <f>I20*'IAA digestibility'!I20</f>
        <v>3.04</v>
      </c>
      <c r="Y20" s="17">
        <f>J20*'IAA digestibility'!J20</f>
        <v>6.1499999999999995</v>
      </c>
      <c r="Z20" s="17">
        <f>K20*'IAA digestibility'!K20</f>
        <v>3.1920000000000002</v>
      </c>
      <c r="AA20" s="17">
        <f>L20*'IAA digestibility'!L20</f>
        <v>1.3939999999999999</v>
      </c>
      <c r="AB20" s="17">
        <f>M20*'IAA digestibility'!M20</f>
        <v>2.2319999999999998</v>
      </c>
      <c r="AC20" s="17">
        <f>N20*'IAA digestibility'!N20</f>
        <v>4.1160000000000005</v>
      </c>
      <c r="AD20" s="17">
        <f>O20*'IAA digestibility'!O20</f>
        <v>2.754</v>
      </c>
      <c r="AE20" s="17">
        <f>P20*'IAA digestibility'!P20</f>
        <v>4.1870000000000003</v>
      </c>
      <c r="AF20" s="17">
        <f>R20*'IAA digestibility'!R20</f>
        <v>1.87</v>
      </c>
      <c r="AG20" s="25"/>
      <c r="AH20" s="17">
        <f t="shared" si="1"/>
        <v>9.0588235294117627</v>
      </c>
      <c r="AI20" s="17">
        <f t="shared" si="2"/>
        <v>24.705882352941178</v>
      </c>
      <c r="AJ20" s="17">
        <f t="shared" si="3"/>
        <v>29.803921568627452</v>
      </c>
      <c r="AK20" s="17">
        <f t="shared" si="4"/>
        <v>60.294117647058819</v>
      </c>
      <c r="AL20" s="17">
        <f t="shared" si="5"/>
        <v>31.294117647058826</v>
      </c>
      <c r="AM20" s="17">
        <f t="shared" si="6"/>
        <v>35.549019607843128</v>
      </c>
      <c r="AN20" s="18">
        <f t="shared" si="7"/>
        <v>67.352941176470608</v>
      </c>
      <c r="AO20" s="17">
        <f t="shared" si="8"/>
        <v>41.049019607843142</v>
      </c>
      <c r="AP20" s="17">
        <f t="shared" si="9"/>
        <v>18.333333333333332</v>
      </c>
    </row>
    <row r="21" spans="1:42" s="7" customFormat="1" x14ac:dyDescent="0.25">
      <c r="A21" s="4" t="s">
        <v>469</v>
      </c>
      <c r="B21" s="4" t="s">
        <v>10</v>
      </c>
      <c r="C21" s="4">
        <v>2</v>
      </c>
      <c r="D21" s="4"/>
      <c r="E21" s="4" t="s">
        <v>12</v>
      </c>
      <c r="F21" s="4">
        <v>108</v>
      </c>
      <c r="G21" s="4">
        <v>1.4</v>
      </c>
      <c r="H21" s="4">
        <v>3.8</v>
      </c>
      <c r="I21" s="4">
        <v>4.0999999999999996</v>
      </c>
      <c r="J21" s="4">
        <v>7.9</v>
      </c>
      <c r="K21" s="4">
        <v>4.5</v>
      </c>
      <c r="L21" s="4">
        <v>1.9</v>
      </c>
      <c r="M21" s="4">
        <v>3.6</v>
      </c>
      <c r="N21" s="4">
        <v>5.4</v>
      </c>
      <c r="O21" s="4">
        <v>3.8</v>
      </c>
      <c r="P21" s="4">
        <v>5.7</v>
      </c>
      <c r="Q21" s="4">
        <v>7.2</v>
      </c>
      <c r="R21" s="4">
        <v>2.2999999999999998</v>
      </c>
      <c r="S21" s="4"/>
      <c r="T21" s="3"/>
      <c r="V21" s="17">
        <f>G21*'IAA digestibility'!G21</f>
        <v>1.0919999999999999</v>
      </c>
      <c r="W21" s="17">
        <f>H21*'IAA digestibility'!H21</f>
        <v>2.6219999999999999</v>
      </c>
      <c r="X21" s="17">
        <f>I21*'IAA digestibility'!I21</f>
        <v>3.2389999999999999</v>
      </c>
      <c r="Y21" s="17">
        <f>J21*'IAA digestibility'!J21</f>
        <v>6.3990000000000009</v>
      </c>
      <c r="Z21" s="17">
        <f>K21*'IAA digestibility'!K21</f>
        <v>3.2850000000000001</v>
      </c>
      <c r="AA21" s="17">
        <f>L21*'IAA digestibility'!L21</f>
        <v>1.5959999999999999</v>
      </c>
      <c r="AB21" s="17">
        <f>M21*'IAA digestibility'!M21</f>
        <v>2.7</v>
      </c>
      <c r="AC21" s="17">
        <f>N21*'IAA digestibility'!N21</f>
        <v>4.5360000000000005</v>
      </c>
      <c r="AD21" s="17">
        <f>O21*'IAA digestibility'!O21</f>
        <v>3.04</v>
      </c>
      <c r="AE21" s="17">
        <f>P21*'IAA digestibility'!P21</f>
        <v>4.3890000000000002</v>
      </c>
      <c r="AF21" s="17">
        <f>R21*'IAA digestibility'!R21</f>
        <v>1.9089999999999998</v>
      </c>
      <c r="AG21" s="26"/>
      <c r="AH21" s="17">
        <f t="shared" si="1"/>
        <v>10.111111111111111</v>
      </c>
      <c r="AI21" s="17">
        <f t="shared" si="2"/>
        <v>24.277777777777775</v>
      </c>
      <c r="AJ21" s="17">
        <f t="shared" si="3"/>
        <v>29.990740740740737</v>
      </c>
      <c r="AK21" s="17">
        <f t="shared" si="4"/>
        <v>59.250000000000014</v>
      </c>
      <c r="AL21" s="17">
        <f t="shared" si="5"/>
        <v>30.416666666666668</v>
      </c>
      <c r="AM21" s="17">
        <f t="shared" si="6"/>
        <v>39.777777777777779</v>
      </c>
      <c r="AN21" s="18">
        <f t="shared" si="7"/>
        <v>70.148148148148152</v>
      </c>
      <c r="AO21" s="17">
        <f t="shared" si="8"/>
        <v>40.638888888888893</v>
      </c>
      <c r="AP21" s="17">
        <f t="shared" si="9"/>
        <v>17.675925925925924</v>
      </c>
    </row>
    <row r="22" spans="1:42" s="7" customFormat="1" x14ac:dyDescent="0.25">
      <c r="A22" s="4" t="s">
        <v>45</v>
      </c>
      <c r="B22" s="4" t="s">
        <v>10</v>
      </c>
      <c r="C22" s="4">
        <v>2</v>
      </c>
      <c r="D22" s="4"/>
      <c r="E22" s="4" t="s">
        <v>12</v>
      </c>
      <c r="F22" s="4">
        <v>108</v>
      </c>
      <c r="G22" s="4">
        <v>1.4</v>
      </c>
      <c r="H22" s="4">
        <v>3.8</v>
      </c>
      <c r="I22" s="4">
        <v>4.0999999999999996</v>
      </c>
      <c r="J22" s="4">
        <v>7.9</v>
      </c>
      <c r="K22" s="4">
        <v>4.5</v>
      </c>
      <c r="L22" s="4">
        <v>1.9</v>
      </c>
      <c r="M22" s="4">
        <v>3.6</v>
      </c>
      <c r="N22" s="4">
        <v>5.4</v>
      </c>
      <c r="O22" s="4">
        <v>3.8</v>
      </c>
      <c r="P22" s="4">
        <v>5.7</v>
      </c>
      <c r="Q22" s="4">
        <v>7.2</v>
      </c>
      <c r="R22" s="4">
        <v>2.2999999999999998</v>
      </c>
      <c r="S22" s="4"/>
      <c r="T22" s="3"/>
      <c r="V22" s="17">
        <f>G22*'IAA digestibility'!G22</f>
        <v>1.0919999999999999</v>
      </c>
      <c r="W22" s="17">
        <f>H22*'IAA digestibility'!H22</f>
        <v>2.6219999999999999</v>
      </c>
      <c r="X22" s="17">
        <f>I22*'IAA digestibility'!I22</f>
        <v>3.2389999999999999</v>
      </c>
      <c r="Y22" s="17">
        <f>J22*'IAA digestibility'!J22</f>
        <v>6.3990000000000009</v>
      </c>
      <c r="Z22" s="17">
        <f>K22*'IAA digestibility'!K22</f>
        <v>3.2850000000000001</v>
      </c>
      <c r="AA22" s="17">
        <f>L22*'IAA digestibility'!L22</f>
        <v>1.5959999999999999</v>
      </c>
      <c r="AB22" s="17">
        <f>M22*'IAA digestibility'!M22</f>
        <v>2.7</v>
      </c>
      <c r="AC22" s="17">
        <f>N22*'IAA digestibility'!N22</f>
        <v>5.0220000000000002</v>
      </c>
      <c r="AD22" s="17">
        <f>O22*'IAA digestibility'!O22</f>
        <v>3.0019999999999998</v>
      </c>
      <c r="AE22" s="17">
        <f>P22*'IAA digestibility'!P22</f>
        <v>4.3890000000000002</v>
      </c>
      <c r="AF22" s="17">
        <f>R22*'IAA digestibility'!R22</f>
        <v>1.9089999999999998</v>
      </c>
      <c r="AG22" s="26"/>
      <c r="AH22" s="17">
        <f t="shared" si="1"/>
        <v>10.111111111111111</v>
      </c>
      <c r="AI22" s="17">
        <f t="shared" si="2"/>
        <v>24.277777777777775</v>
      </c>
      <c r="AJ22" s="17">
        <f t="shared" si="3"/>
        <v>29.990740740740737</v>
      </c>
      <c r="AK22" s="17">
        <f t="shared" si="4"/>
        <v>59.250000000000014</v>
      </c>
      <c r="AL22" s="17">
        <f t="shared" si="5"/>
        <v>30.416666666666668</v>
      </c>
      <c r="AM22" s="17">
        <f t="shared" si="6"/>
        <v>39.777777777777779</v>
      </c>
      <c r="AN22" s="18">
        <f t="shared" si="7"/>
        <v>74.296296296296305</v>
      </c>
      <c r="AO22" s="17">
        <f t="shared" si="8"/>
        <v>40.638888888888893</v>
      </c>
      <c r="AP22" s="17">
        <f t="shared" si="9"/>
        <v>17.675925925925924</v>
      </c>
    </row>
    <row r="23" spans="1:42" s="4" customFormat="1" x14ac:dyDescent="0.25">
      <c r="A23" s="4" t="s">
        <v>223</v>
      </c>
      <c r="B23" s="4" t="s">
        <v>10</v>
      </c>
      <c r="C23" s="4">
        <v>7</v>
      </c>
      <c r="E23" s="4" t="s">
        <v>12</v>
      </c>
      <c r="F23" s="4">
        <v>131</v>
      </c>
      <c r="G23" s="4">
        <v>1</v>
      </c>
      <c r="H23" s="4">
        <v>4.3</v>
      </c>
      <c r="I23" s="4">
        <v>5.0999999999999996</v>
      </c>
      <c r="J23" s="4">
        <v>9.8000000000000007</v>
      </c>
      <c r="K23" s="4">
        <v>5.7</v>
      </c>
      <c r="L23" s="4">
        <v>2.2999999999999998</v>
      </c>
      <c r="M23" s="4">
        <v>4</v>
      </c>
      <c r="N23" s="4">
        <v>6.6</v>
      </c>
      <c r="O23" s="4">
        <v>3.8</v>
      </c>
      <c r="P23" s="4">
        <v>7.1</v>
      </c>
      <c r="Q23" s="4">
        <v>8.6999999999999993</v>
      </c>
      <c r="R23" s="4">
        <v>3.2</v>
      </c>
      <c r="S23" s="4" t="s">
        <v>230</v>
      </c>
      <c r="T23" s="10"/>
      <c r="V23" s="17">
        <f>G23*'IAA digestibility'!G23</f>
        <v>0.82</v>
      </c>
      <c r="W23" s="17">
        <f>H23*'IAA digestibility'!H23</f>
        <v>3.4830000000000001</v>
      </c>
      <c r="X23" s="17">
        <f>I23*'IAA digestibility'!I23</f>
        <v>4.4369999999999994</v>
      </c>
      <c r="Y23" s="17">
        <f>J23*'IAA digestibility'!J23</f>
        <v>8.5259999999999998</v>
      </c>
      <c r="Z23" s="17">
        <f>K23*'IAA digestibility'!K23</f>
        <v>4.9020000000000001</v>
      </c>
      <c r="AA23" s="17">
        <f>L23*'IAA digestibility'!L23</f>
        <v>2.0699999999999998</v>
      </c>
      <c r="AB23" s="17">
        <f>M23*'IAA digestibility'!M23</f>
        <v>3.08</v>
      </c>
      <c r="AC23" s="17">
        <f>N23*'IAA digestibility'!N23</f>
        <v>5.8079999999999998</v>
      </c>
      <c r="AD23" s="17">
        <f>O23*'IAA digestibility'!O23</f>
        <v>3.0779999999999998</v>
      </c>
      <c r="AE23" s="17">
        <f>P23*'IAA digestibility'!P23</f>
        <v>6.0349999999999993</v>
      </c>
      <c r="AF23" s="17">
        <f>R23*'IAA digestibility'!R23</f>
        <v>2.8160000000000003</v>
      </c>
      <c r="AG23" s="25"/>
      <c r="AH23" s="17">
        <f t="shared" si="1"/>
        <v>6.2595419847328246</v>
      </c>
      <c r="AI23" s="17">
        <f t="shared" si="2"/>
        <v>26.587786259541982</v>
      </c>
      <c r="AJ23" s="17">
        <f t="shared" si="3"/>
        <v>33.870229007633583</v>
      </c>
      <c r="AK23" s="17">
        <f t="shared" si="4"/>
        <v>65.083969465648863</v>
      </c>
      <c r="AL23" s="17">
        <f t="shared" si="5"/>
        <v>37.419847328244281</v>
      </c>
      <c r="AM23" s="17">
        <f t="shared" si="6"/>
        <v>39.312977099236647</v>
      </c>
      <c r="AN23" s="18">
        <f t="shared" si="7"/>
        <v>67.832061068702274</v>
      </c>
      <c r="AO23" s="17">
        <f t="shared" si="8"/>
        <v>46.068702290076324</v>
      </c>
      <c r="AP23" s="17">
        <f t="shared" si="9"/>
        <v>21.496183206106874</v>
      </c>
    </row>
    <row r="24" spans="1:42" s="4" customFormat="1" x14ac:dyDescent="0.25">
      <c r="A24" s="4" t="s">
        <v>14</v>
      </c>
      <c r="B24" s="4" t="s">
        <v>10</v>
      </c>
      <c r="C24" s="4" t="s">
        <v>373</v>
      </c>
      <c r="E24" s="4" t="s">
        <v>15</v>
      </c>
      <c r="F24" s="4">
        <v>78</v>
      </c>
      <c r="G24" s="4">
        <v>0.9</v>
      </c>
      <c r="H24" s="4">
        <v>2.9</v>
      </c>
      <c r="I24" s="4">
        <v>2.9</v>
      </c>
      <c r="J24" s="4">
        <v>5.7</v>
      </c>
      <c r="K24" s="4">
        <v>3.3</v>
      </c>
      <c r="L24" s="4">
        <v>1.6</v>
      </c>
      <c r="M24" s="4">
        <v>1.7</v>
      </c>
      <c r="N24" s="4">
        <v>3.7</v>
      </c>
      <c r="O24" s="4">
        <v>2.7</v>
      </c>
      <c r="P24" s="4">
        <v>4.3</v>
      </c>
      <c r="Q24" s="4">
        <v>6.1</v>
      </c>
      <c r="R24" s="4">
        <v>2.1</v>
      </c>
      <c r="T24" s="10"/>
      <c r="V24" s="17">
        <f>G24*'IAA digestibility'!G24</f>
        <v>0.80100000000000005</v>
      </c>
      <c r="W24" s="17">
        <f>H24*'IAA digestibility'!H24</f>
        <v>2.3779999999999997</v>
      </c>
      <c r="X24" s="17">
        <f>I24*'IAA digestibility'!I24</f>
        <v>2.1749999999999998</v>
      </c>
      <c r="Y24" s="17">
        <f>J24*'IAA digestibility'!J24</f>
        <v>4.6170000000000009</v>
      </c>
      <c r="Z24" s="17">
        <f>K24*'IAA digestibility'!K24</f>
        <v>3.036</v>
      </c>
      <c r="AA24" s="17">
        <f>L24*'IAA digestibility'!L24</f>
        <v>1.3760000000000001</v>
      </c>
      <c r="AB24" s="17">
        <f>M24*'IAA digestibility'!M24</f>
        <v>1.649</v>
      </c>
      <c r="AC24" s="17">
        <f>N24*'IAA digestibility'!N24</f>
        <v>3.1819999999999999</v>
      </c>
      <c r="AD24" s="17">
        <f>O24*'IAA digestibility'!O24</f>
        <v>2.1330000000000005</v>
      </c>
      <c r="AE24" s="17">
        <f>P24*'IAA digestibility'!P24</f>
        <v>3.7839999999999998</v>
      </c>
      <c r="AF24" s="17">
        <f>R24*'IAA digestibility'!R24</f>
        <v>2.0790000000000002</v>
      </c>
      <c r="AG24" s="25"/>
      <c r="AH24" s="17">
        <f t="shared" si="1"/>
        <v>10.26923076923077</v>
      </c>
      <c r="AI24" s="17">
        <f t="shared" si="2"/>
        <v>30.487179487179485</v>
      </c>
      <c r="AJ24" s="17">
        <f t="shared" si="3"/>
        <v>27.884615384615383</v>
      </c>
      <c r="AK24" s="17">
        <f t="shared" si="4"/>
        <v>59.192307692307701</v>
      </c>
      <c r="AL24" s="17">
        <f t="shared" si="5"/>
        <v>38.92307692307692</v>
      </c>
      <c r="AM24" s="17">
        <f t="shared" si="6"/>
        <v>38.782051282051292</v>
      </c>
      <c r="AN24" s="18">
        <f t="shared" si="7"/>
        <v>68.141025641025649</v>
      </c>
      <c r="AO24" s="17">
        <f t="shared" si="8"/>
        <v>48.512820512820511</v>
      </c>
      <c r="AP24" s="17">
        <f t="shared" si="9"/>
        <v>26.653846153846157</v>
      </c>
    </row>
    <row r="25" spans="1:42" s="7" customFormat="1" x14ac:dyDescent="0.25">
      <c r="A25" s="4" t="s">
        <v>470</v>
      </c>
      <c r="B25" s="4" t="s">
        <v>10</v>
      </c>
      <c r="C25" s="4">
        <v>2</v>
      </c>
      <c r="D25" s="4"/>
      <c r="E25" s="4" t="s">
        <v>12</v>
      </c>
      <c r="F25" s="4">
        <v>105</v>
      </c>
      <c r="G25" s="4">
        <v>1.8</v>
      </c>
      <c r="H25" s="4">
        <v>3.8</v>
      </c>
      <c r="I25" s="4">
        <v>4.7</v>
      </c>
      <c r="J25" s="4">
        <v>8.4</v>
      </c>
      <c r="K25" s="4">
        <v>3.9</v>
      </c>
      <c r="L25" s="4">
        <v>2.4</v>
      </c>
      <c r="M25" s="4">
        <v>1.7</v>
      </c>
      <c r="N25" s="4">
        <v>5.5</v>
      </c>
      <c r="O25" s="4">
        <v>4.4000000000000004</v>
      </c>
      <c r="P25" s="4">
        <v>6.1</v>
      </c>
      <c r="Q25" s="4">
        <v>8.4</v>
      </c>
      <c r="R25" s="4">
        <v>2.4</v>
      </c>
      <c r="S25" s="4"/>
      <c r="T25" s="3"/>
      <c r="V25" s="17">
        <f>G25*'IAA digestibility'!G25</f>
        <v>1.53</v>
      </c>
      <c r="W25" s="17">
        <f>H25*'IAA digestibility'!H25</f>
        <v>3.1919999999999997</v>
      </c>
      <c r="X25" s="17">
        <f>I25*'IAA digestibility'!I25</f>
        <v>4.0419999999999998</v>
      </c>
      <c r="Y25" s="17">
        <f>J25*'IAA digestibility'!J25</f>
        <v>7.3920000000000003</v>
      </c>
      <c r="Z25" s="17">
        <f>K25*'IAA digestibility'!K25</f>
        <v>3.3540000000000001</v>
      </c>
      <c r="AA25" s="17">
        <f>L25*'IAA digestibility'!L25</f>
        <v>2.1360000000000001</v>
      </c>
      <c r="AB25" s="17">
        <f>M25*'IAA digestibility'!M25</f>
        <v>1.4449999999999998</v>
      </c>
      <c r="AC25" s="17">
        <f>N25*'IAA digestibility'!N25</f>
        <v>4.8950000000000005</v>
      </c>
      <c r="AD25" s="17">
        <f>O25*'IAA digestibility'!O25</f>
        <v>3.8720000000000003</v>
      </c>
      <c r="AE25" s="17">
        <f>P25*'IAA digestibility'!P25</f>
        <v>5.2459999999999996</v>
      </c>
      <c r="AF25" s="17">
        <f>R25*'IAA digestibility'!R25</f>
        <v>2.1120000000000001</v>
      </c>
      <c r="AG25" s="26"/>
      <c r="AH25" s="17">
        <f t="shared" si="1"/>
        <v>14.571428571428571</v>
      </c>
      <c r="AI25" s="17">
        <f t="shared" si="2"/>
        <v>30.399999999999995</v>
      </c>
      <c r="AJ25" s="17">
        <f t="shared" si="3"/>
        <v>38.495238095238093</v>
      </c>
      <c r="AK25" s="17">
        <f t="shared" si="4"/>
        <v>70.400000000000006</v>
      </c>
      <c r="AL25" s="17">
        <f t="shared" si="5"/>
        <v>31.94285714285714</v>
      </c>
      <c r="AM25" s="17">
        <f t="shared" si="6"/>
        <v>34.104761904761901</v>
      </c>
      <c r="AN25" s="18">
        <f t="shared" si="7"/>
        <v>83.495238095238108</v>
      </c>
      <c r="AO25" s="17">
        <f t="shared" si="8"/>
        <v>49.961904761904755</v>
      </c>
      <c r="AP25" s="17">
        <f t="shared" si="9"/>
        <v>20.114285714285717</v>
      </c>
    </row>
    <row r="26" spans="1:42" s="7" customFormat="1" x14ac:dyDescent="0.25">
      <c r="A26" s="4" t="s">
        <v>46</v>
      </c>
      <c r="B26" s="4" t="s">
        <v>10</v>
      </c>
      <c r="C26" s="4">
        <v>2</v>
      </c>
      <c r="D26" s="4"/>
      <c r="E26" s="4" t="s">
        <v>12</v>
      </c>
      <c r="F26" s="4">
        <v>85</v>
      </c>
      <c r="G26" s="4">
        <v>1.5</v>
      </c>
      <c r="H26" s="4">
        <v>3.1</v>
      </c>
      <c r="I26" s="4">
        <v>3.8</v>
      </c>
      <c r="J26" s="4">
        <v>6.7</v>
      </c>
      <c r="K26" s="4">
        <v>3.2</v>
      </c>
      <c r="L26" s="4">
        <v>2.1</v>
      </c>
      <c r="M26" s="4">
        <v>1.6</v>
      </c>
      <c r="N26" s="4">
        <v>4.3</v>
      </c>
      <c r="O26" s="4">
        <v>3.6</v>
      </c>
      <c r="P26" s="4">
        <v>5</v>
      </c>
      <c r="Q26" s="4">
        <v>6.7</v>
      </c>
      <c r="R26" s="4">
        <v>1.9</v>
      </c>
      <c r="S26" s="4"/>
      <c r="T26" s="3"/>
      <c r="V26" s="17">
        <f>G26*'IAA digestibility'!G26</f>
        <v>1.1400000000000001</v>
      </c>
      <c r="W26" s="17">
        <f>H26*'IAA digestibility'!H26</f>
        <v>2.3250000000000002</v>
      </c>
      <c r="X26" s="17">
        <f>I26*'IAA digestibility'!I26</f>
        <v>3.04</v>
      </c>
      <c r="Y26" s="17">
        <f>J26*'IAA digestibility'!J26</f>
        <v>5.4939999999999998</v>
      </c>
      <c r="Z26" s="17">
        <f>K26*'IAA digestibility'!K26</f>
        <v>2.4000000000000004</v>
      </c>
      <c r="AA26" s="17">
        <f>L26*'IAA digestibility'!L26</f>
        <v>1.7429999999999999</v>
      </c>
      <c r="AB26" s="17">
        <f>M26*'IAA digestibility'!M26</f>
        <v>1.1679999999999999</v>
      </c>
      <c r="AC26" s="17">
        <f>N26*'IAA digestibility'!N26</f>
        <v>3.5689999999999995</v>
      </c>
      <c r="AD26" s="17">
        <f>O26*'IAA digestibility'!O26</f>
        <v>2.9160000000000004</v>
      </c>
      <c r="AE26" s="17">
        <f>P26*'IAA digestibility'!P26</f>
        <v>3.9000000000000004</v>
      </c>
      <c r="AF26" s="17">
        <f>R26*'IAA digestibility'!R26</f>
        <v>1.52</v>
      </c>
      <c r="AG26" s="26"/>
      <c r="AH26" s="17">
        <f t="shared" si="1"/>
        <v>13.411764705882353</v>
      </c>
      <c r="AI26" s="17">
        <f t="shared" si="2"/>
        <v>27.352941176470591</v>
      </c>
      <c r="AJ26" s="17">
        <f t="shared" si="3"/>
        <v>35.764705882352942</v>
      </c>
      <c r="AK26" s="17">
        <f t="shared" si="4"/>
        <v>64.635294117647049</v>
      </c>
      <c r="AL26" s="17">
        <f t="shared" si="5"/>
        <v>28.235294117647062</v>
      </c>
      <c r="AM26" s="17">
        <f t="shared" si="6"/>
        <v>34.247058823529407</v>
      </c>
      <c r="AN26" s="18">
        <f t="shared" si="7"/>
        <v>76.294117647058812</v>
      </c>
      <c r="AO26" s="17">
        <f t="shared" si="8"/>
        <v>45.882352941176471</v>
      </c>
      <c r="AP26" s="17">
        <f t="shared" si="9"/>
        <v>17.882352941176471</v>
      </c>
    </row>
    <row r="27" spans="1:42" s="7" customFormat="1" x14ac:dyDescent="0.25">
      <c r="A27" s="4" t="s">
        <v>47</v>
      </c>
      <c r="B27" s="4" t="s">
        <v>10</v>
      </c>
      <c r="C27" s="4">
        <v>2</v>
      </c>
      <c r="D27" s="4"/>
      <c r="E27" s="4" t="s">
        <v>12</v>
      </c>
      <c r="F27" s="4">
        <v>92</v>
      </c>
      <c r="G27" s="4">
        <v>1.6</v>
      </c>
      <c r="H27" s="4">
        <v>3.3</v>
      </c>
      <c r="I27" s="4">
        <v>4.0999999999999996</v>
      </c>
      <c r="J27" s="4">
        <v>7.3</v>
      </c>
      <c r="K27" s="4">
        <v>3.5</v>
      </c>
      <c r="L27" s="4">
        <v>2.2000000000000002</v>
      </c>
      <c r="M27" s="4">
        <v>1.6</v>
      </c>
      <c r="N27" s="4">
        <v>4.7</v>
      </c>
      <c r="O27" s="4">
        <v>3.9</v>
      </c>
      <c r="P27" s="4">
        <v>5.4</v>
      </c>
      <c r="Q27" s="4">
        <v>7.3</v>
      </c>
      <c r="R27" s="4">
        <v>2.1</v>
      </c>
      <c r="S27" s="4"/>
      <c r="T27" s="3"/>
      <c r="V27" s="17">
        <f>G27*'IAA digestibility'!G27</f>
        <v>1.52</v>
      </c>
      <c r="W27" s="17">
        <f>H27*'IAA digestibility'!H27</f>
        <v>3.1019999999999999</v>
      </c>
      <c r="X27" s="17">
        <f>I27*'IAA digestibility'!I27</f>
        <v>3.8539999999999996</v>
      </c>
      <c r="Y27" s="17">
        <f>J27*'IAA digestibility'!J27</f>
        <v>6.9349999999999996</v>
      </c>
      <c r="Z27" s="17">
        <f>K27*'IAA digestibility'!K27</f>
        <v>3.29</v>
      </c>
      <c r="AA27" s="17">
        <f>L27*'IAA digestibility'!L27</f>
        <v>2.0680000000000001</v>
      </c>
      <c r="AB27" s="17">
        <f>M27*'IAA digestibility'!M27</f>
        <v>1.504</v>
      </c>
      <c r="AC27" s="17">
        <f>N27*'IAA digestibility'!N27</f>
        <v>4.4180000000000001</v>
      </c>
      <c r="AD27" s="17">
        <f>O27*'IAA digestibility'!O27</f>
        <v>3.198</v>
      </c>
      <c r="AE27" s="17">
        <f>P27*'IAA digestibility'!P27</f>
        <v>5.13</v>
      </c>
      <c r="AF27" s="17">
        <f>R27*'IAA digestibility'!R27</f>
        <v>1.974</v>
      </c>
      <c r="AG27" s="26"/>
      <c r="AH27" s="17">
        <f t="shared" si="1"/>
        <v>16.521739130434781</v>
      </c>
      <c r="AI27" s="17">
        <f t="shared" si="2"/>
        <v>33.717391304347821</v>
      </c>
      <c r="AJ27" s="17">
        <f t="shared" si="3"/>
        <v>41.891304347826086</v>
      </c>
      <c r="AK27" s="17">
        <f t="shared" si="4"/>
        <v>75.380434782608702</v>
      </c>
      <c r="AL27" s="17">
        <f t="shared" si="5"/>
        <v>35.760869565217398</v>
      </c>
      <c r="AM27" s="17">
        <f t="shared" si="6"/>
        <v>38.826086956521742</v>
      </c>
      <c r="AN27" s="18">
        <f t="shared" si="7"/>
        <v>82.782608695652172</v>
      </c>
      <c r="AO27" s="17">
        <f t="shared" si="8"/>
        <v>55.760869565217391</v>
      </c>
      <c r="AP27" s="17">
        <f t="shared" si="9"/>
        <v>21.456521739130434</v>
      </c>
    </row>
    <row r="28" spans="1:42" s="4" customFormat="1" x14ac:dyDescent="0.25">
      <c r="A28" s="4" t="s">
        <v>224</v>
      </c>
      <c r="B28" s="4" t="s">
        <v>10</v>
      </c>
      <c r="C28" s="4">
        <v>7</v>
      </c>
      <c r="E28" s="4" t="s">
        <v>12</v>
      </c>
      <c r="F28" s="4">
        <v>90</v>
      </c>
      <c r="G28" s="4">
        <v>0.7</v>
      </c>
      <c r="H28" s="4">
        <v>2.7</v>
      </c>
      <c r="I28" s="4">
        <v>3.5</v>
      </c>
      <c r="J28" s="4">
        <v>6.6</v>
      </c>
      <c r="K28" s="4">
        <v>3</v>
      </c>
      <c r="L28" s="4">
        <v>2.1</v>
      </c>
      <c r="M28" s="4">
        <v>1.9</v>
      </c>
      <c r="N28" s="4">
        <v>4.2</v>
      </c>
      <c r="O28" s="4">
        <v>2.2999999999999998</v>
      </c>
      <c r="P28" s="4">
        <v>4.9000000000000004</v>
      </c>
      <c r="Q28" s="4">
        <v>6.1</v>
      </c>
      <c r="R28" s="4">
        <v>2.1</v>
      </c>
      <c r="S28" s="4" t="s">
        <v>229</v>
      </c>
      <c r="T28" s="10"/>
      <c r="V28" s="17">
        <f>G28*'IAA digestibility'!G28</f>
        <v>0.66499999999999992</v>
      </c>
      <c r="W28" s="17">
        <f>H28*'IAA digestibility'!H28</f>
        <v>2.4570000000000003</v>
      </c>
      <c r="X28" s="17">
        <f>I28*'IAA digestibility'!I28</f>
        <v>3.22</v>
      </c>
      <c r="Y28" s="17">
        <f>J28*'IAA digestibility'!J28</f>
        <v>6.2039999999999997</v>
      </c>
      <c r="Z28" s="17">
        <f>K28*'IAA digestibility'!K28</f>
        <v>2.7600000000000002</v>
      </c>
      <c r="AA28" s="17">
        <f>L28*'IAA digestibility'!L28</f>
        <v>1.9949999999999999</v>
      </c>
      <c r="AB28" s="17">
        <f>M28*'IAA digestibility'!M28</f>
        <v>1.7859999999999998</v>
      </c>
      <c r="AC28" s="17">
        <f>N28*'IAA digestibility'!N28</f>
        <v>3.9899999999999998</v>
      </c>
      <c r="AD28" s="17">
        <f>O28*'IAA digestibility'!O28</f>
        <v>2.1160000000000001</v>
      </c>
      <c r="AE28" s="17">
        <f>P28*'IAA digestibility'!P28</f>
        <v>4.6059999999999999</v>
      </c>
      <c r="AF28" s="17">
        <f>R28*'IAA digestibility'!R28</f>
        <v>1.9110000000000003</v>
      </c>
      <c r="AG28" s="25"/>
      <c r="AH28" s="17">
        <f t="shared" si="1"/>
        <v>7.3888888888888884</v>
      </c>
      <c r="AI28" s="17">
        <f t="shared" si="2"/>
        <v>27.300000000000004</v>
      </c>
      <c r="AJ28" s="17">
        <f t="shared" si="3"/>
        <v>35.777777777777786</v>
      </c>
      <c r="AK28" s="17">
        <f t="shared" si="4"/>
        <v>68.933333333333337</v>
      </c>
      <c r="AL28" s="17">
        <f t="shared" si="5"/>
        <v>30.666666666666668</v>
      </c>
      <c r="AM28" s="17">
        <f t="shared" si="6"/>
        <v>42.011111111111113</v>
      </c>
      <c r="AN28" s="18">
        <f t="shared" si="7"/>
        <v>67.844444444444449</v>
      </c>
      <c r="AO28" s="17">
        <f t="shared" si="8"/>
        <v>51.17777777777777</v>
      </c>
      <c r="AP28" s="17">
        <f t="shared" si="9"/>
        <v>21.233333333333338</v>
      </c>
    </row>
    <row r="29" spans="1:42" s="4" customFormat="1" x14ac:dyDescent="0.25">
      <c r="A29" s="4" t="s">
        <v>294</v>
      </c>
      <c r="B29" s="4" t="s">
        <v>10</v>
      </c>
      <c r="C29" s="4" t="s">
        <v>373</v>
      </c>
      <c r="E29" s="4" t="s">
        <v>12</v>
      </c>
      <c r="F29" s="4">
        <v>143</v>
      </c>
      <c r="G29" s="4">
        <v>1.6</v>
      </c>
      <c r="H29" s="4">
        <v>5.3</v>
      </c>
      <c r="I29" s="4">
        <v>5.3</v>
      </c>
      <c r="J29" s="4">
        <v>10.4</v>
      </c>
      <c r="K29" s="4">
        <v>6</v>
      </c>
      <c r="L29" s="4">
        <v>3</v>
      </c>
      <c r="M29" s="4">
        <v>3.1</v>
      </c>
      <c r="N29" s="4">
        <v>6.7</v>
      </c>
      <c r="O29" s="4">
        <v>4.9000000000000004</v>
      </c>
      <c r="P29" s="4">
        <v>7.9</v>
      </c>
      <c r="Q29" s="4">
        <v>11.1</v>
      </c>
      <c r="R29" s="4">
        <v>3.9</v>
      </c>
      <c r="T29" s="10"/>
      <c r="V29" s="17">
        <f>G29*'IAA digestibility'!G29</f>
        <v>1.1519999999999999</v>
      </c>
      <c r="W29" s="17">
        <f>H29*'IAA digestibility'!H29</f>
        <v>3.3919999999999999</v>
      </c>
      <c r="X29" s="17">
        <f>I29*'IAA digestibility'!I29</f>
        <v>3.5510000000000002</v>
      </c>
      <c r="Y29" s="17">
        <f>J29*'IAA digestibility'!J29</f>
        <v>6.9680000000000009</v>
      </c>
      <c r="Z29" s="17">
        <f>K29*'IAA digestibility'!K29</f>
        <v>4.1399999999999997</v>
      </c>
      <c r="AA29" s="17">
        <f>L29*'IAA digestibility'!L29</f>
        <v>2.19</v>
      </c>
      <c r="AB29" s="17">
        <f>M29*'IAA digestibility'!M29</f>
        <v>2.0150000000000001</v>
      </c>
      <c r="AC29" s="17">
        <f>N29*'IAA digestibility'!N29</f>
        <v>4.556</v>
      </c>
      <c r="AD29" s="17">
        <f>O29*'IAA digestibility'!O29</f>
        <v>3.8710000000000004</v>
      </c>
      <c r="AE29" s="17">
        <f>P29*'IAA digestibility'!P29</f>
        <v>5.2140000000000004</v>
      </c>
      <c r="AF29" s="17">
        <f>R29*'IAA digestibility'!R29</f>
        <v>3.0030000000000001</v>
      </c>
      <c r="AG29" s="25"/>
      <c r="AH29" s="17">
        <f t="shared" si="1"/>
        <v>8.0559440559440549</v>
      </c>
      <c r="AI29" s="17">
        <f t="shared" si="2"/>
        <v>23.720279720279716</v>
      </c>
      <c r="AJ29" s="17">
        <f t="shared" si="3"/>
        <v>24.832167832167833</v>
      </c>
      <c r="AK29" s="17">
        <f t="shared" si="4"/>
        <v>48.727272727272734</v>
      </c>
      <c r="AL29" s="17">
        <f t="shared" si="5"/>
        <v>28.951048951048946</v>
      </c>
      <c r="AM29" s="17">
        <f t="shared" si="6"/>
        <v>29.405594405594407</v>
      </c>
      <c r="AN29" s="18">
        <f t="shared" si="7"/>
        <v>58.930069930069926</v>
      </c>
      <c r="AO29" s="17">
        <f t="shared" si="8"/>
        <v>36.46153846153846</v>
      </c>
      <c r="AP29" s="17">
        <f t="shared" si="9"/>
        <v>21</v>
      </c>
    </row>
    <row r="30" spans="1:42" s="7" customFormat="1" x14ac:dyDescent="0.25">
      <c r="A30" s="4" t="s">
        <v>48</v>
      </c>
      <c r="B30" s="4" t="s">
        <v>10</v>
      </c>
      <c r="C30" s="4">
        <v>2</v>
      </c>
      <c r="D30" s="4"/>
      <c r="E30" s="4" t="s">
        <v>12</v>
      </c>
      <c r="F30" s="4">
        <v>98</v>
      </c>
      <c r="G30" s="4">
        <v>0.9</v>
      </c>
      <c r="H30" s="4">
        <v>3.4</v>
      </c>
      <c r="I30" s="4">
        <v>3.4</v>
      </c>
      <c r="J30" s="4">
        <v>6</v>
      </c>
      <c r="K30" s="4">
        <v>3.9</v>
      </c>
      <c r="L30" s="4">
        <v>1.6</v>
      </c>
      <c r="M30" s="4">
        <v>2.2999999999999998</v>
      </c>
      <c r="N30" s="4">
        <v>4.3</v>
      </c>
      <c r="O30" s="4">
        <v>2.5</v>
      </c>
      <c r="P30" s="4">
        <v>4.8</v>
      </c>
      <c r="Q30" s="4">
        <v>5</v>
      </c>
      <c r="R30" s="4">
        <v>2.1</v>
      </c>
      <c r="S30" s="4"/>
      <c r="T30" s="3"/>
      <c r="V30" s="17">
        <f>G30*'IAA digestibility'!G30</f>
        <v>0.68400000000000005</v>
      </c>
      <c r="W30" s="17">
        <f>H30*'IAA digestibility'!H30</f>
        <v>2.4139999999999997</v>
      </c>
      <c r="X30" s="17">
        <f>I30*'IAA digestibility'!I30</f>
        <v>2.6179999999999999</v>
      </c>
      <c r="Y30" s="17">
        <f>J30*'IAA digestibility'!J30</f>
        <v>4.68</v>
      </c>
      <c r="Z30" s="17">
        <f>K30*'IAA digestibility'!K30</f>
        <v>2.8079999999999998</v>
      </c>
      <c r="AA30" s="17">
        <f>L30*'IAA digestibility'!L30</f>
        <v>1.2960000000000003</v>
      </c>
      <c r="AB30" s="17">
        <f>M30*'IAA digestibility'!M30</f>
        <v>1.9319999999999997</v>
      </c>
      <c r="AC30" s="17">
        <f>N30*'IAA digestibility'!N30</f>
        <v>3.5259999999999998</v>
      </c>
      <c r="AD30" s="17">
        <f>O30*'IAA digestibility'!O30</f>
        <v>1.925</v>
      </c>
      <c r="AE30" s="17">
        <f>P30*'IAA digestibility'!P30</f>
        <v>3.5999999999999996</v>
      </c>
      <c r="AF30" s="17">
        <f>R30*'IAA digestibility'!R30</f>
        <v>1.6590000000000003</v>
      </c>
      <c r="AG30" s="26"/>
      <c r="AH30" s="17">
        <f t="shared" si="1"/>
        <v>6.979591836734695</v>
      </c>
      <c r="AI30" s="17">
        <f t="shared" si="2"/>
        <v>24.632653061224488</v>
      </c>
      <c r="AJ30" s="17">
        <f t="shared" si="3"/>
        <v>26.714285714285715</v>
      </c>
      <c r="AK30" s="17">
        <f t="shared" si="4"/>
        <v>47.755102040816325</v>
      </c>
      <c r="AL30" s="17">
        <f t="shared" si="5"/>
        <v>28.653061224489797</v>
      </c>
      <c r="AM30" s="17">
        <f t="shared" si="6"/>
        <v>32.938775510204074</v>
      </c>
      <c r="AN30" s="18">
        <f t="shared" si="7"/>
        <v>55.622448979591837</v>
      </c>
      <c r="AO30" s="17">
        <f t="shared" si="8"/>
        <v>36.734693877551017</v>
      </c>
      <c r="AP30" s="17">
        <f t="shared" si="9"/>
        <v>16.928571428571431</v>
      </c>
    </row>
    <row r="31" spans="1:42" s="4" customFormat="1" x14ac:dyDescent="0.25">
      <c r="A31" s="4" t="s">
        <v>225</v>
      </c>
      <c r="B31" s="4" t="s">
        <v>10</v>
      </c>
      <c r="C31" s="4">
        <v>7</v>
      </c>
      <c r="E31" s="4" t="s">
        <v>12</v>
      </c>
      <c r="F31" s="4">
        <v>121</v>
      </c>
      <c r="G31" s="4">
        <v>0.9</v>
      </c>
      <c r="H31" s="4">
        <v>3.3</v>
      </c>
      <c r="I31" s="4">
        <v>3.8</v>
      </c>
      <c r="J31" s="4">
        <v>6.7</v>
      </c>
      <c r="K31" s="4">
        <v>4.0999999999999996</v>
      </c>
      <c r="L31" s="4">
        <v>1.7</v>
      </c>
      <c r="M31" s="4">
        <v>2.2000000000000002</v>
      </c>
      <c r="N31" s="4">
        <v>4.9000000000000004</v>
      </c>
      <c r="O31" s="4">
        <v>2.2000000000000002</v>
      </c>
      <c r="P31" s="4">
        <v>5.0999999999999996</v>
      </c>
      <c r="Q31" s="4">
        <v>5.3</v>
      </c>
      <c r="R31" s="4">
        <v>2.6</v>
      </c>
      <c r="S31" s="4" t="s">
        <v>230</v>
      </c>
      <c r="T31" s="10"/>
      <c r="V31" s="17">
        <f>G31*'IAA digestibility'!G31</f>
        <v>0.67500000000000004</v>
      </c>
      <c r="W31" s="17">
        <f>H31*'IAA digestibility'!H31</f>
        <v>2.1120000000000001</v>
      </c>
      <c r="X31" s="17">
        <f>I31*'IAA digestibility'!I31</f>
        <v>2.7359999999999998</v>
      </c>
      <c r="Y31" s="17">
        <f>J31*'IAA digestibility'!J31</f>
        <v>4.9580000000000002</v>
      </c>
      <c r="Z31" s="17">
        <f>K31*'IAA digestibility'!K31</f>
        <v>2.7469999999999999</v>
      </c>
      <c r="AA31" s="17">
        <f>L31*'IAA digestibility'!L31</f>
        <v>1.36</v>
      </c>
      <c r="AB31" s="17">
        <f>M31*'IAA digestibility'!M31</f>
        <v>1.6720000000000002</v>
      </c>
      <c r="AC31" s="17">
        <f>N31*'IAA digestibility'!N31</f>
        <v>3.8710000000000004</v>
      </c>
      <c r="AD31" s="17">
        <f>O31*'IAA digestibility'!O31</f>
        <v>1.4520000000000002</v>
      </c>
      <c r="AE31" s="17">
        <f>P31*'IAA digestibility'!P31</f>
        <v>3.6209999999999996</v>
      </c>
      <c r="AF31" s="17">
        <f>R31*'IAA digestibility'!R31</f>
        <v>2.0020000000000002</v>
      </c>
      <c r="AG31" s="25"/>
      <c r="AH31" s="17">
        <f t="shared" si="1"/>
        <v>5.5785123966942152</v>
      </c>
      <c r="AI31" s="17">
        <f t="shared" si="2"/>
        <v>17.454545454545457</v>
      </c>
      <c r="AJ31" s="17">
        <f t="shared" si="3"/>
        <v>22.611570247933884</v>
      </c>
      <c r="AK31" s="17">
        <f t="shared" si="4"/>
        <v>40.97520661157025</v>
      </c>
      <c r="AL31" s="17">
        <f t="shared" si="5"/>
        <v>22.702479338842977</v>
      </c>
      <c r="AM31" s="17">
        <f t="shared" si="6"/>
        <v>25.057851239669422</v>
      </c>
      <c r="AN31" s="18">
        <f t="shared" si="7"/>
        <v>43.991735537190088</v>
      </c>
      <c r="AO31" s="17">
        <f t="shared" si="8"/>
        <v>29.925619834710737</v>
      </c>
      <c r="AP31" s="17">
        <f t="shared" si="9"/>
        <v>16.545454545454547</v>
      </c>
    </row>
    <row r="32" spans="1:42" s="4" customFormat="1" x14ac:dyDescent="0.25">
      <c r="A32" s="4" t="s">
        <v>243</v>
      </c>
      <c r="B32" s="4" t="s">
        <v>10</v>
      </c>
      <c r="C32" s="4">
        <v>8</v>
      </c>
      <c r="E32" s="4" t="s">
        <v>12</v>
      </c>
      <c r="F32" s="4">
        <v>209.3</v>
      </c>
      <c r="G32" s="4">
        <v>5.7</v>
      </c>
      <c r="H32" s="4">
        <v>4.5999999999999996</v>
      </c>
      <c r="I32" s="4">
        <v>7.6</v>
      </c>
      <c r="J32" s="4">
        <v>14.2</v>
      </c>
      <c r="K32" s="4">
        <v>2.9</v>
      </c>
      <c r="L32" s="4">
        <v>3.9</v>
      </c>
      <c r="M32" s="4">
        <v>4</v>
      </c>
      <c r="N32" s="4">
        <v>10.3</v>
      </c>
      <c r="O32" s="4">
        <v>4.9000000000000004</v>
      </c>
      <c r="P32" s="4">
        <v>7.8</v>
      </c>
      <c r="Q32" s="4">
        <v>2.6</v>
      </c>
      <c r="R32" s="4">
        <v>4.7</v>
      </c>
      <c r="S32" s="4" t="s">
        <v>241</v>
      </c>
      <c r="T32" s="10"/>
      <c r="V32" s="17">
        <f>G32*'IAA digestibility'!G32</f>
        <v>5.2554000000000007</v>
      </c>
      <c r="W32" s="17">
        <f>H32*'IAA digestibility'!H32</f>
        <v>4.3285999999999998</v>
      </c>
      <c r="X32" s="17">
        <f>I32*'IAA digestibility'!I32</f>
        <v>7.3035999999999994</v>
      </c>
      <c r="Y32" s="17">
        <f>J32*'IAA digestibility'!J32</f>
        <v>13.688799999999999</v>
      </c>
      <c r="Z32" s="17">
        <f>K32*'IAA digestibility'!K32</f>
        <v>2.8361999999999998</v>
      </c>
      <c r="AA32" s="17">
        <f>L32*'IAA digestibility'!L32</f>
        <v>3.8142</v>
      </c>
      <c r="AB32" s="17">
        <f>M32*'IAA digestibility'!M32</f>
        <v>3.96</v>
      </c>
      <c r="AC32" s="17">
        <f>N32*'IAA digestibility'!N32</f>
        <v>10.2897</v>
      </c>
      <c r="AD32" s="17">
        <f>O32*'IAA digestibility'!O32</f>
        <v>4.6256000000000004</v>
      </c>
      <c r="AE32" s="17">
        <f>P32*'IAA digestibility'!P32</f>
        <v>7.5503999999999998</v>
      </c>
      <c r="AF32" s="17">
        <f>R32*'IAA digestibility'!R32</f>
        <v>4.4931999999999999</v>
      </c>
      <c r="AG32" s="25"/>
      <c r="AH32" s="17">
        <f t="shared" si="1"/>
        <v>25.109412326803636</v>
      </c>
      <c r="AI32" s="17">
        <f t="shared" si="2"/>
        <v>20.681318681318679</v>
      </c>
      <c r="AJ32" s="17">
        <f t="shared" si="3"/>
        <v>34.895365504061154</v>
      </c>
      <c r="AK32" s="17">
        <f t="shared" si="4"/>
        <v>65.402771141901567</v>
      </c>
      <c r="AL32" s="17">
        <f t="shared" si="5"/>
        <v>13.550883898709985</v>
      </c>
      <c r="AM32" s="17">
        <f t="shared" si="6"/>
        <v>37.143812709030101</v>
      </c>
      <c r="AN32" s="18">
        <f t="shared" si="7"/>
        <v>71.262780697563301</v>
      </c>
      <c r="AO32" s="17">
        <f t="shared" si="8"/>
        <v>36.074534161490682</v>
      </c>
      <c r="AP32" s="17">
        <f t="shared" si="9"/>
        <v>21.467749641662682</v>
      </c>
    </row>
    <row r="33" spans="1:42" s="7" customFormat="1" x14ac:dyDescent="0.25">
      <c r="A33" s="4" t="s">
        <v>471</v>
      </c>
      <c r="B33" s="4" t="s">
        <v>10</v>
      </c>
      <c r="C33" s="4">
        <v>2</v>
      </c>
      <c r="D33" s="4"/>
      <c r="E33" s="4" t="s">
        <v>12</v>
      </c>
      <c r="F33" s="4">
        <v>106</v>
      </c>
      <c r="G33" s="4">
        <v>1.1000000000000001</v>
      </c>
      <c r="H33" s="4">
        <v>3.5</v>
      </c>
      <c r="I33" s="4">
        <v>4.5</v>
      </c>
      <c r="J33" s="4">
        <v>14.4</v>
      </c>
      <c r="K33" s="4">
        <v>2.5</v>
      </c>
      <c r="L33" s="4">
        <v>1.8</v>
      </c>
      <c r="M33" s="4">
        <v>2</v>
      </c>
      <c r="N33" s="4">
        <v>5.7</v>
      </c>
      <c r="O33" s="4">
        <v>4.3</v>
      </c>
      <c r="P33" s="4">
        <v>5.8</v>
      </c>
      <c r="Q33" s="4">
        <v>4.3</v>
      </c>
      <c r="R33" s="4">
        <v>2.4</v>
      </c>
      <c r="S33" s="4"/>
      <c r="T33" s="3"/>
      <c r="V33" s="17">
        <f>G33*'IAA digestibility'!G33</f>
        <v>0.86900000000000011</v>
      </c>
      <c r="W33" s="17">
        <f>H33*'IAA digestibility'!H33</f>
        <v>2.66</v>
      </c>
      <c r="X33" s="17">
        <f>I33*'IAA digestibility'!I33</f>
        <v>3.7349999999999999</v>
      </c>
      <c r="Y33" s="17">
        <f>J33*'IAA digestibility'!J33</f>
        <v>12.384</v>
      </c>
      <c r="Z33" s="17">
        <f>K33*'IAA digestibility'!K33</f>
        <v>1.85</v>
      </c>
      <c r="AA33" s="17">
        <f>L33*'IAA digestibility'!L33</f>
        <v>1.53</v>
      </c>
      <c r="AB33" s="17">
        <f>M33*'IAA digestibility'!M33</f>
        <v>1.54</v>
      </c>
      <c r="AC33" s="17">
        <f>N33*'IAA digestibility'!N33</f>
        <v>4.8449999999999998</v>
      </c>
      <c r="AD33" s="17">
        <f>O33*'IAA digestibility'!O33</f>
        <v>3.6549999999999998</v>
      </c>
      <c r="AE33" s="17">
        <f>P33*'IAA digestibility'!P33</f>
        <v>4.6980000000000004</v>
      </c>
      <c r="AF33" s="17">
        <f>R33*'IAA digestibility'!R33</f>
        <v>1.8719999999999999</v>
      </c>
      <c r="AG33" s="26"/>
      <c r="AH33" s="17">
        <f t="shared" si="1"/>
        <v>8.1981132075471699</v>
      </c>
      <c r="AI33" s="17">
        <f t="shared" si="2"/>
        <v>25.094339622641513</v>
      </c>
      <c r="AJ33" s="17">
        <f t="shared" si="3"/>
        <v>35.235849056603769</v>
      </c>
      <c r="AK33" s="17">
        <f t="shared" si="4"/>
        <v>116.83018867924528</v>
      </c>
      <c r="AL33" s="17">
        <f t="shared" si="5"/>
        <v>17.452830188679243</v>
      </c>
      <c r="AM33" s="17">
        <f t="shared" si="6"/>
        <v>28.962264150943398</v>
      </c>
      <c r="AN33" s="18">
        <f t="shared" si="7"/>
        <v>80.188679245283012</v>
      </c>
      <c r="AO33" s="17">
        <f t="shared" si="8"/>
        <v>44.320754716981135</v>
      </c>
      <c r="AP33" s="17">
        <f t="shared" si="9"/>
        <v>17.660377358490564</v>
      </c>
    </row>
    <row r="34" spans="1:42" s="4" customFormat="1" x14ac:dyDescent="0.25">
      <c r="A34" s="4" t="s">
        <v>471</v>
      </c>
      <c r="B34" s="4" t="s">
        <v>10</v>
      </c>
      <c r="C34" s="4" t="s">
        <v>373</v>
      </c>
      <c r="E34" s="4" t="s">
        <v>12</v>
      </c>
      <c r="F34" s="4">
        <v>87</v>
      </c>
      <c r="G34" s="4">
        <v>1</v>
      </c>
      <c r="H34" s="4">
        <v>2.9</v>
      </c>
      <c r="I34" s="4">
        <v>3.5</v>
      </c>
      <c r="J34" s="4">
        <v>11.3</v>
      </c>
      <c r="K34" s="4">
        <v>2.1</v>
      </c>
      <c r="L34" s="4">
        <v>1.6</v>
      </c>
      <c r="M34" s="4">
        <v>1.6</v>
      </c>
      <c r="N34" s="4">
        <v>4.5999999999999996</v>
      </c>
      <c r="O34" s="4">
        <v>3.4</v>
      </c>
      <c r="P34" s="4">
        <v>4.3</v>
      </c>
      <c r="Q34" s="4">
        <v>3.5</v>
      </c>
      <c r="R34" s="4">
        <v>2.1</v>
      </c>
      <c r="T34" s="10"/>
      <c r="V34" s="17">
        <f>G34*'IAA digestibility'!G34</f>
        <v>0.87</v>
      </c>
      <c r="W34" s="17">
        <f>H34*'IAA digestibility'!H34</f>
        <v>2.4359999999999999</v>
      </c>
      <c r="X34" s="17">
        <f>I34*'IAA digestibility'!I34</f>
        <v>3.0449999999999999</v>
      </c>
      <c r="Y34" s="17">
        <f>J34*'IAA digestibility'!J34</f>
        <v>9.9440000000000008</v>
      </c>
      <c r="Z34" s="17">
        <f>K34*'IAA digestibility'!K34</f>
        <v>1.6590000000000003</v>
      </c>
      <c r="AA34" s="17">
        <f>L34*'IAA digestibility'!L34</f>
        <v>1.3920000000000001</v>
      </c>
      <c r="AB34" s="17">
        <f>M34*'IAA digestibility'!M34</f>
        <v>1.2480000000000002</v>
      </c>
      <c r="AC34" s="17">
        <f>N34*'IAA digestibility'!N34</f>
        <v>4.0939999999999994</v>
      </c>
      <c r="AD34" s="17">
        <f>O34*'IAA digestibility'!O34</f>
        <v>2.8899999999999997</v>
      </c>
      <c r="AE34" s="17">
        <f>P34*'IAA digestibility'!P34</f>
        <v>3.698</v>
      </c>
      <c r="AF34" s="17">
        <f>R34*'IAA digestibility'!R34</f>
        <v>1.7010000000000003</v>
      </c>
      <c r="AG34" s="25"/>
      <c r="AH34" s="17">
        <f t="shared" si="1"/>
        <v>10</v>
      </c>
      <c r="AI34" s="17">
        <f t="shared" si="2"/>
        <v>28</v>
      </c>
      <c r="AJ34" s="17">
        <f t="shared" si="3"/>
        <v>34.999999999999993</v>
      </c>
      <c r="AK34" s="17">
        <f t="shared" si="4"/>
        <v>114.29885057471266</v>
      </c>
      <c r="AL34" s="17">
        <f t="shared" si="5"/>
        <v>19.068965517241381</v>
      </c>
      <c r="AM34" s="17">
        <f t="shared" si="6"/>
        <v>30.344827586206904</v>
      </c>
      <c r="AN34" s="18">
        <f t="shared" si="7"/>
        <v>80.275862068965509</v>
      </c>
      <c r="AO34" s="17">
        <f t="shared" si="8"/>
        <v>42.505747126436781</v>
      </c>
      <c r="AP34" s="17">
        <f t="shared" si="9"/>
        <v>19.551724137931039</v>
      </c>
    </row>
    <row r="35" spans="1:42" s="4" customFormat="1" x14ac:dyDescent="0.25">
      <c r="A35" s="4" t="s">
        <v>226</v>
      </c>
      <c r="B35" s="4" t="s">
        <v>10</v>
      </c>
      <c r="C35" s="4">
        <v>7</v>
      </c>
      <c r="E35" s="4" t="s">
        <v>12</v>
      </c>
      <c r="F35" s="4">
        <v>98</v>
      </c>
      <c r="G35" s="4">
        <v>0.5</v>
      </c>
      <c r="H35" s="4">
        <v>2.9</v>
      </c>
      <c r="I35" s="4">
        <v>3.7</v>
      </c>
      <c r="J35" s="4">
        <v>12.4</v>
      </c>
      <c r="K35" s="4">
        <v>2</v>
      </c>
      <c r="L35" s="4">
        <v>1.5</v>
      </c>
      <c r="M35" s="4">
        <v>1.5</v>
      </c>
      <c r="N35" s="4">
        <v>4.7</v>
      </c>
      <c r="O35" s="4">
        <v>3</v>
      </c>
      <c r="P35" s="4">
        <v>4.5999999999999996</v>
      </c>
      <c r="Q35" s="4">
        <v>3.3</v>
      </c>
      <c r="R35" s="4">
        <v>2.2000000000000002</v>
      </c>
      <c r="S35" s="4" t="s">
        <v>230</v>
      </c>
      <c r="T35" s="10"/>
      <c r="V35" s="17">
        <f>G35*'IAA digestibility'!G35</f>
        <v>0.36499999999999999</v>
      </c>
      <c r="W35" s="17">
        <f>H35*'IAA digestibility'!H35</f>
        <v>1.972</v>
      </c>
      <c r="X35" s="17">
        <f>I35*'IAA digestibility'!I35</f>
        <v>2.738</v>
      </c>
      <c r="Y35" s="17">
        <f>J35*'IAA digestibility'!J35</f>
        <v>9.4240000000000013</v>
      </c>
      <c r="Z35" s="17">
        <f>K35*'IAA digestibility'!K35</f>
        <v>1.38</v>
      </c>
      <c r="AA35" s="17">
        <f>L35*'IAA digestibility'!L35</f>
        <v>1.155</v>
      </c>
      <c r="AB35" s="17">
        <f>M35*'IAA digestibility'!M35</f>
        <v>1.02</v>
      </c>
      <c r="AC35" s="17">
        <f>N35*'IAA digestibility'!N35</f>
        <v>3.5720000000000001</v>
      </c>
      <c r="AD35" s="17">
        <f>O35*'IAA digestibility'!O35</f>
        <v>2.13</v>
      </c>
      <c r="AE35" s="17">
        <f>P35*'IAA digestibility'!P35</f>
        <v>3.3579999999999997</v>
      </c>
      <c r="AF35" s="17">
        <f>R35*'IAA digestibility'!R35</f>
        <v>1.6280000000000001</v>
      </c>
      <c r="AG35" s="25"/>
      <c r="AH35" s="17">
        <f t="shared" si="1"/>
        <v>3.7244897959183674</v>
      </c>
      <c r="AI35" s="17">
        <f t="shared" si="2"/>
        <v>20.122448979591837</v>
      </c>
      <c r="AJ35" s="17">
        <f t="shared" si="3"/>
        <v>27.938775510204081</v>
      </c>
      <c r="AK35" s="17">
        <f t="shared" si="4"/>
        <v>96.163265306122454</v>
      </c>
      <c r="AL35" s="17">
        <f t="shared" si="5"/>
        <v>14.081632653061224</v>
      </c>
      <c r="AM35" s="17">
        <f t="shared" si="6"/>
        <v>22.193877551020407</v>
      </c>
      <c r="AN35" s="18">
        <f t="shared" si="7"/>
        <v>58.183673469387756</v>
      </c>
      <c r="AO35" s="17">
        <f t="shared" si="8"/>
        <v>34.265306122448976</v>
      </c>
      <c r="AP35" s="17">
        <f t="shared" si="9"/>
        <v>16.612244897959183</v>
      </c>
    </row>
    <row r="36" spans="1:42" s="7" customFormat="1" x14ac:dyDescent="0.25">
      <c r="A36" s="4" t="s">
        <v>472</v>
      </c>
      <c r="B36" s="4" t="s">
        <v>10</v>
      </c>
      <c r="C36" s="4">
        <v>2</v>
      </c>
      <c r="D36" s="4"/>
      <c r="E36" s="4" t="s">
        <v>12</v>
      </c>
      <c r="F36" s="4">
        <v>115</v>
      </c>
      <c r="G36" s="4">
        <v>1.4</v>
      </c>
      <c r="H36" s="4">
        <v>3.8</v>
      </c>
      <c r="I36" s="4">
        <v>4.4000000000000004</v>
      </c>
      <c r="J36" s="4">
        <v>7.3</v>
      </c>
      <c r="K36" s="4">
        <v>4.5</v>
      </c>
      <c r="L36" s="4">
        <v>2</v>
      </c>
      <c r="M36" s="4">
        <v>3</v>
      </c>
      <c r="N36" s="4">
        <v>5</v>
      </c>
      <c r="O36" s="4">
        <v>3.5</v>
      </c>
      <c r="P36" s="4">
        <v>5.5</v>
      </c>
      <c r="Q36" s="4">
        <v>6.1</v>
      </c>
      <c r="R36" s="4">
        <v>2.7</v>
      </c>
      <c r="S36" s="4"/>
      <c r="T36" s="3"/>
      <c r="V36" s="17">
        <f>G36*'IAA digestibility'!G36</f>
        <v>1.232</v>
      </c>
      <c r="W36" s="17">
        <f>H36*'IAA digestibility'!H36</f>
        <v>3.1159999999999997</v>
      </c>
      <c r="X36" s="17">
        <f>I36*'IAA digestibility'!I36</f>
        <v>3.8280000000000003</v>
      </c>
      <c r="Y36" s="17">
        <f>J36*'IAA digestibility'!J36</f>
        <v>6.4239999999999995</v>
      </c>
      <c r="Z36" s="17">
        <f>K36*'IAA digestibility'!K36</f>
        <v>3.7349999999999999</v>
      </c>
      <c r="AA36" s="17">
        <f>L36*'IAA digestibility'!L36</f>
        <v>1.8</v>
      </c>
      <c r="AB36" s="17">
        <f>M36*'IAA digestibility'!M36</f>
        <v>2.73</v>
      </c>
      <c r="AC36" s="17">
        <f>N36*'IAA digestibility'!N36</f>
        <v>4.5</v>
      </c>
      <c r="AD36" s="17">
        <f>O36*'IAA digestibility'!O36</f>
        <v>3.15</v>
      </c>
      <c r="AE36" s="17">
        <f>P36*'IAA digestibility'!P36</f>
        <v>4.7299999999999995</v>
      </c>
      <c r="AF36" s="17">
        <f>R36*'IAA digestibility'!R36</f>
        <v>2.403</v>
      </c>
      <c r="AG36" s="26"/>
      <c r="AH36" s="17">
        <f t="shared" si="1"/>
        <v>10.713043478260868</v>
      </c>
      <c r="AI36" s="17">
        <f t="shared" si="2"/>
        <v>27.095652173913042</v>
      </c>
      <c r="AJ36" s="17">
        <f t="shared" si="3"/>
        <v>33.286956521739128</v>
      </c>
      <c r="AK36" s="17">
        <f t="shared" si="4"/>
        <v>55.860869565217385</v>
      </c>
      <c r="AL36" s="17">
        <f t="shared" si="5"/>
        <v>32.478260869565212</v>
      </c>
      <c r="AM36" s="17">
        <f t="shared" si="6"/>
        <v>39.391304347826086</v>
      </c>
      <c r="AN36" s="18">
        <f t="shared" si="7"/>
        <v>66.521739130434781</v>
      </c>
      <c r="AO36" s="17">
        <f t="shared" si="8"/>
        <v>41.130434782608695</v>
      </c>
      <c r="AP36" s="17">
        <f t="shared" si="9"/>
        <v>20.895652173913046</v>
      </c>
    </row>
    <row r="37" spans="1:42" s="7" customFormat="1" x14ac:dyDescent="0.25">
      <c r="A37" s="4" t="s">
        <v>49</v>
      </c>
      <c r="B37" s="4" t="s">
        <v>10</v>
      </c>
      <c r="C37" s="4">
        <v>2</v>
      </c>
      <c r="D37" s="4"/>
      <c r="E37" s="4" t="s">
        <v>12</v>
      </c>
      <c r="F37" s="4">
        <v>164</v>
      </c>
      <c r="G37" s="4">
        <v>1.8</v>
      </c>
      <c r="H37" s="4">
        <v>4.8</v>
      </c>
      <c r="I37" s="4">
        <v>5.9</v>
      </c>
      <c r="J37" s="4">
        <v>11.1</v>
      </c>
      <c r="K37" s="4">
        <v>4.3</v>
      </c>
      <c r="L37" s="4">
        <v>2.6</v>
      </c>
      <c r="M37" s="4">
        <v>3.6</v>
      </c>
      <c r="N37" s="4">
        <v>8</v>
      </c>
      <c r="O37" s="4">
        <v>5.2</v>
      </c>
      <c r="P37" s="4">
        <v>7.1</v>
      </c>
      <c r="Q37" s="4">
        <v>7.9</v>
      </c>
      <c r="R37" s="4">
        <v>3.7</v>
      </c>
      <c r="S37" s="4"/>
      <c r="T37" s="3"/>
      <c r="V37" s="17">
        <f>G37*'IAA digestibility'!G37</f>
        <v>1.5840000000000001</v>
      </c>
      <c r="W37" s="17">
        <f>H37*'IAA digestibility'!H37</f>
        <v>3.9839999999999995</v>
      </c>
      <c r="X37" s="17">
        <f>I37*'IAA digestibility'!I37</f>
        <v>5.2510000000000003</v>
      </c>
      <c r="Y37" s="17">
        <f>J37*'IAA digestibility'!J37</f>
        <v>9.99</v>
      </c>
      <c r="Z37" s="17">
        <f>K37*'IAA digestibility'!K37</f>
        <v>3.4830000000000001</v>
      </c>
      <c r="AA37" s="17">
        <f>L37*'IAA digestibility'!L37</f>
        <v>2.3140000000000001</v>
      </c>
      <c r="AB37" s="17">
        <f>M37*'IAA digestibility'!M37</f>
        <v>3.2760000000000002</v>
      </c>
      <c r="AC37" s="17">
        <f>N37*'IAA digestibility'!N37</f>
        <v>7.28</v>
      </c>
      <c r="AD37" s="17">
        <f>O37*'IAA digestibility'!O37</f>
        <v>4.6800000000000006</v>
      </c>
      <c r="AE37" s="17">
        <f>P37*'IAA digestibility'!P37</f>
        <v>6.1059999999999999</v>
      </c>
      <c r="AF37" s="17">
        <f>R37*'IAA digestibility'!R37</f>
        <v>3.33</v>
      </c>
      <c r="AG37" s="26"/>
      <c r="AH37" s="17">
        <f t="shared" si="1"/>
        <v>9.6585365853658534</v>
      </c>
      <c r="AI37" s="17">
        <f t="shared" si="2"/>
        <v>24.292682926829265</v>
      </c>
      <c r="AJ37" s="17">
        <f t="shared" si="3"/>
        <v>32.018292682926827</v>
      </c>
      <c r="AK37" s="17">
        <f t="shared" si="4"/>
        <v>60.914634146341463</v>
      </c>
      <c r="AL37" s="17">
        <f t="shared" si="5"/>
        <v>21.237804878048781</v>
      </c>
      <c r="AM37" s="17">
        <f t="shared" si="6"/>
        <v>34.085365853658537</v>
      </c>
      <c r="AN37" s="18">
        <f t="shared" si="7"/>
        <v>72.926829268292693</v>
      </c>
      <c r="AO37" s="17">
        <f t="shared" si="8"/>
        <v>37.231707317073166</v>
      </c>
      <c r="AP37" s="17">
        <f t="shared" si="9"/>
        <v>20.304878048780488</v>
      </c>
    </row>
    <row r="38" spans="1:42" s="7" customFormat="1" x14ac:dyDescent="0.25">
      <c r="A38" s="4" t="s">
        <v>50</v>
      </c>
      <c r="B38" s="4" t="s">
        <v>10</v>
      </c>
      <c r="C38" s="4">
        <v>2</v>
      </c>
      <c r="D38" s="4"/>
      <c r="E38" s="4" t="s">
        <v>12</v>
      </c>
      <c r="F38" s="4">
        <v>126</v>
      </c>
      <c r="G38" s="4">
        <v>1.5</v>
      </c>
      <c r="H38" s="4">
        <v>3.8</v>
      </c>
      <c r="I38" s="4">
        <v>4.5</v>
      </c>
      <c r="J38" s="4">
        <v>8.5</v>
      </c>
      <c r="K38" s="4">
        <v>3.6</v>
      </c>
      <c r="L38" s="4">
        <v>2</v>
      </c>
      <c r="M38" s="4">
        <v>3.1</v>
      </c>
      <c r="N38" s="4">
        <v>5.9</v>
      </c>
      <c r="O38" s="4">
        <v>3.9</v>
      </c>
      <c r="P38" s="4">
        <v>5.6</v>
      </c>
      <c r="Q38" s="4">
        <v>6.3</v>
      </c>
      <c r="R38" s="4">
        <v>2.9</v>
      </c>
      <c r="S38" s="4"/>
      <c r="T38" s="3"/>
      <c r="V38" s="17">
        <f>G38*'IAA digestibility'!G38</f>
        <v>1.32</v>
      </c>
      <c r="W38" s="17">
        <f>H38*'IAA digestibility'!H38</f>
        <v>3.1539999999999999</v>
      </c>
      <c r="X38" s="17">
        <f>I38*'IAA digestibility'!I38</f>
        <v>4.0049999999999999</v>
      </c>
      <c r="Y38" s="17">
        <f>J38*'IAA digestibility'!J38</f>
        <v>7.65</v>
      </c>
      <c r="Z38" s="17">
        <f>K38*'IAA digestibility'!K38</f>
        <v>2.9160000000000004</v>
      </c>
      <c r="AA38" s="17">
        <f>L38*'IAA digestibility'!L38</f>
        <v>1.78</v>
      </c>
      <c r="AB38" s="17">
        <f>M38*'IAA digestibility'!M38</f>
        <v>2.8210000000000002</v>
      </c>
      <c r="AC38" s="17">
        <f>N38*'IAA digestibility'!N38</f>
        <v>5.3690000000000007</v>
      </c>
      <c r="AD38" s="17">
        <f>O38*'IAA digestibility'!O38</f>
        <v>3.51</v>
      </c>
      <c r="AE38" s="17">
        <f>P38*'IAA digestibility'!P38</f>
        <v>4.8159999999999998</v>
      </c>
      <c r="AF38" s="17">
        <f>R38*'IAA digestibility'!R38</f>
        <v>2.61</v>
      </c>
      <c r="AG38" s="26"/>
      <c r="AH38" s="17">
        <f t="shared" si="1"/>
        <v>10.476190476190478</v>
      </c>
      <c r="AI38" s="17">
        <f t="shared" si="2"/>
        <v>25.031746031746032</v>
      </c>
      <c r="AJ38" s="17">
        <f t="shared" si="3"/>
        <v>31.785714285714285</v>
      </c>
      <c r="AK38" s="17">
        <f t="shared" si="4"/>
        <v>60.714285714285715</v>
      </c>
      <c r="AL38" s="17">
        <f t="shared" si="5"/>
        <v>23.142857142857146</v>
      </c>
      <c r="AM38" s="17">
        <f t="shared" si="6"/>
        <v>36.515873015873012</v>
      </c>
      <c r="AN38" s="18">
        <f t="shared" si="7"/>
        <v>70.46825396825399</v>
      </c>
      <c r="AO38" s="17">
        <f t="shared" si="8"/>
        <v>38.222222222222221</v>
      </c>
      <c r="AP38" s="17">
        <f t="shared" si="9"/>
        <v>20.714285714285712</v>
      </c>
    </row>
    <row r="39" spans="1:42" s="4" customFormat="1" x14ac:dyDescent="0.25">
      <c r="A39" s="4" t="s">
        <v>18</v>
      </c>
      <c r="B39" s="4" t="s">
        <v>10</v>
      </c>
      <c r="C39" s="4" t="s">
        <v>373</v>
      </c>
      <c r="E39" s="4" t="s">
        <v>12</v>
      </c>
      <c r="F39" s="4">
        <v>154</v>
      </c>
      <c r="G39" s="4">
        <v>2.2000000000000002</v>
      </c>
      <c r="H39" s="4">
        <v>5.0999999999999996</v>
      </c>
      <c r="I39" s="4">
        <v>4.9000000000000004</v>
      </c>
      <c r="J39" s="4">
        <v>9.5</v>
      </c>
      <c r="K39" s="4">
        <v>6.1</v>
      </c>
      <c r="L39" s="4">
        <v>2.5</v>
      </c>
      <c r="M39" s="4">
        <v>3.2</v>
      </c>
      <c r="N39" s="4">
        <v>6.1</v>
      </c>
      <c r="O39" s="4">
        <v>4.5</v>
      </c>
      <c r="P39" s="4">
        <v>7.2</v>
      </c>
      <c r="Q39" s="4">
        <v>10.3</v>
      </c>
      <c r="R39" s="4">
        <v>4.2</v>
      </c>
      <c r="T39" s="10"/>
      <c r="V39" s="17">
        <f>G39*'IAA digestibility'!G39</f>
        <v>1.9580000000000002</v>
      </c>
      <c r="W39" s="17">
        <f>H39*'IAA digestibility'!H39</f>
        <v>4.3859999999999992</v>
      </c>
      <c r="X39" s="17">
        <f>I39*'IAA digestibility'!I39</f>
        <v>4.41</v>
      </c>
      <c r="Y39" s="17">
        <f>J39*'IAA digestibility'!J39</f>
        <v>8.6449999999999996</v>
      </c>
      <c r="Z39" s="17">
        <f>K39*'IAA digestibility'!K39</f>
        <v>5.3069999999999995</v>
      </c>
      <c r="AA39" s="17">
        <f>L39*'IAA digestibility'!L39</f>
        <v>2.25</v>
      </c>
      <c r="AB39" s="17">
        <f>M39*'IAA digestibility'!M39</f>
        <v>2.7520000000000002</v>
      </c>
      <c r="AC39" s="17">
        <f>N39*'IAA digestibility'!N39</f>
        <v>5.4289999999999994</v>
      </c>
      <c r="AD39" s="17">
        <f>O39*'IAA digestibility'!O39</f>
        <v>4.1400000000000006</v>
      </c>
      <c r="AE39" s="17">
        <f>P39*'IAA digestibility'!P39</f>
        <v>6.48</v>
      </c>
      <c r="AF39" s="17">
        <f>R39*'IAA digestibility'!R39</f>
        <v>3.8220000000000005</v>
      </c>
      <c r="AG39" s="25"/>
      <c r="AH39" s="17">
        <f t="shared" si="1"/>
        <v>12.714285714285715</v>
      </c>
      <c r="AI39" s="17">
        <f t="shared" si="2"/>
        <v>28.480519480519476</v>
      </c>
      <c r="AJ39" s="17">
        <f t="shared" si="3"/>
        <v>28.636363636363637</v>
      </c>
      <c r="AK39" s="17">
        <f t="shared" si="4"/>
        <v>56.13636363636364</v>
      </c>
      <c r="AL39" s="17">
        <f t="shared" si="5"/>
        <v>34.461038961038959</v>
      </c>
      <c r="AM39" s="17">
        <f t="shared" si="6"/>
        <v>32.480519480519483</v>
      </c>
      <c r="AN39" s="18">
        <f t="shared" si="7"/>
        <v>62.136363636363626</v>
      </c>
      <c r="AO39" s="17">
        <f t="shared" si="8"/>
        <v>42.077922077922082</v>
      </c>
      <c r="AP39" s="17">
        <f t="shared" si="9"/>
        <v>24.818181818181824</v>
      </c>
    </row>
    <row r="40" spans="1:42" s="4" customFormat="1" x14ac:dyDescent="0.25">
      <c r="A40" s="4" t="s">
        <v>227</v>
      </c>
      <c r="B40" s="4" t="s">
        <v>10</v>
      </c>
      <c r="C40" s="4">
        <v>7</v>
      </c>
      <c r="E40" s="4" t="s">
        <v>12</v>
      </c>
      <c r="F40" s="4">
        <v>119</v>
      </c>
      <c r="G40" s="4">
        <v>1.3</v>
      </c>
      <c r="H40" s="4">
        <v>3.2</v>
      </c>
      <c r="I40" s="4">
        <v>3.9</v>
      </c>
      <c r="J40" s="4">
        <v>7.3</v>
      </c>
      <c r="K40" s="4">
        <v>3.4</v>
      </c>
      <c r="L40" s="4">
        <v>1.9</v>
      </c>
      <c r="M40" s="4">
        <v>2.5</v>
      </c>
      <c r="N40" s="4">
        <v>4.9000000000000004</v>
      </c>
      <c r="O40" s="4">
        <v>2.7</v>
      </c>
      <c r="P40" s="4">
        <v>4.9000000000000004</v>
      </c>
      <c r="Q40" s="4">
        <v>5.4</v>
      </c>
      <c r="R40" s="4">
        <v>2.5</v>
      </c>
      <c r="S40" s="4" t="s">
        <v>230</v>
      </c>
      <c r="T40" s="10"/>
      <c r="V40" s="17">
        <f>G40*'IAA digestibility'!G40</f>
        <v>1.0920000000000001</v>
      </c>
      <c r="W40" s="17">
        <f>H40*'IAA digestibility'!H40</f>
        <v>2.08</v>
      </c>
      <c r="X40" s="17">
        <f>I40*'IAA digestibility'!I40</f>
        <v>3.081</v>
      </c>
      <c r="Y40" s="17">
        <f>J40*'IAA digestibility'!J40</f>
        <v>5.9130000000000003</v>
      </c>
      <c r="Z40" s="17">
        <f>K40*'IAA digestibility'!K40</f>
        <v>2.4819999999999998</v>
      </c>
      <c r="AA40" s="17">
        <f>L40*'IAA digestibility'!L40</f>
        <v>1.615</v>
      </c>
      <c r="AB40" s="17">
        <f>M40*'IAA digestibility'!M40</f>
        <v>2.0749999999999997</v>
      </c>
      <c r="AC40" s="17">
        <f>N40*'IAA digestibility'!N40</f>
        <v>4.1160000000000005</v>
      </c>
      <c r="AD40" s="17">
        <f>O40*'IAA digestibility'!O40</f>
        <v>1.998</v>
      </c>
      <c r="AE40" s="17">
        <f>P40*'IAA digestibility'!P40</f>
        <v>3.6750000000000003</v>
      </c>
      <c r="AF40" s="17">
        <f>R40*'IAA digestibility'!R40</f>
        <v>2.1</v>
      </c>
      <c r="AG40" s="25"/>
      <c r="AH40" s="17">
        <f t="shared" si="1"/>
        <v>9.1764705882352953</v>
      </c>
      <c r="AI40" s="17">
        <f t="shared" si="2"/>
        <v>17.478991596638654</v>
      </c>
      <c r="AJ40" s="17">
        <f t="shared" si="3"/>
        <v>25.890756302521009</v>
      </c>
      <c r="AK40" s="17">
        <f t="shared" si="4"/>
        <v>49.689075630252098</v>
      </c>
      <c r="AL40" s="17">
        <f t="shared" si="5"/>
        <v>20.857142857142854</v>
      </c>
      <c r="AM40" s="17">
        <f t="shared" si="6"/>
        <v>31.008403361344534</v>
      </c>
      <c r="AN40" s="18">
        <f t="shared" si="7"/>
        <v>51.378151260504204</v>
      </c>
      <c r="AO40" s="17">
        <f t="shared" si="8"/>
        <v>30.882352941176471</v>
      </c>
      <c r="AP40" s="17">
        <f t="shared" si="9"/>
        <v>17.647058823529413</v>
      </c>
    </row>
    <row r="41" spans="1:42" s="4" customFormat="1" x14ac:dyDescent="0.25">
      <c r="A41" s="4" t="s">
        <v>257</v>
      </c>
      <c r="B41" s="4" t="s">
        <v>10</v>
      </c>
      <c r="C41" s="4">
        <v>10</v>
      </c>
      <c r="E41" s="4" t="s">
        <v>240</v>
      </c>
      <c r="F41" s="4">
        <v>890</v>
      </c>
      <c r="G41" s="4">
        <v>1.246</v>
      </c>
      <c r="H41" s="4">
        <v>29.993000000000002</v>
      </c>
      <c r="I41" s="4">
        <v>46.902999999999999</v>
      </c>
      <c r="J41" s="4">
        <v>214.49</v>
      </c>
      <c r="K41" s="4">
        <v>0.35599999999999998</v>
      </c>
      <c r="L41" s="4">
        <v>17.443999999999999</v>
      </c>
      <c r="M41" s="4">
        <v>11.391999999999999</v>
      </c>
      <c r="N41" s="4">
        <v>71.378</v>
      </c>
      <c r="O41" s="4">
        <v>54.823999999999998</v>
      </c>
      <c r="P41" s="4">
        <v>40.228000000000002</v>
      </c>
      <c r="Q41" s="4">
        <v>17.622</v>
      </c>
      <c r="R41" s="4">
        <v>12.548999999999999</v>
      </c>
      <c r="S41" s="4" t="s">
        <v>256</v>
      </c>
      <c r="T41" s="10"/>
      <c r="V41" s="17">
        <f>G41*'IAA digestibility'!G41</f>
        <v>0.78360940000000001</v>
      </c>
      <c r="W41" s="17">
        <f>H41*'IAA digestibility'!H41</f>
        <v>18.805611000000003</v>
      </c>
      <c r="X41" s="17">
        <f>I41*'IAA digestibility'!I41</f>
        <v>29.07986</v>
      </c>
      <c r="Y41" s="17">
        <f>J41*'IAA digestibility'!J41</f>
        <v>132.34032999999999</v>
      </c>
      <c r="Z41" s="17">
        <f>K41*'IAA digestibility'!K41</f>
        <v>0.22388839999999999</v>
      </c>
      <c r="AA41" s="17">
        <f>L41*'IAA digestibility'!L41</f>
        <v>10.344291999999999</v>
      </c>
      <c r="AB41" s="17">
        <f>M41*'IAA digestibility'!M41</f>
        <v>7.1086079999999994</v>
      </c>
      <c r="AC41" s="17">
        <f>N41*'IAA digestibility'!N41</f>
        <v>43.326445999999997</v>
      </c>
      <c r="AD41" s="17">
        <f>O41*'IAA digestibility'!O41</f>
        <v>33.058872000000001</v>
      </c>
      <c r="AE41" s="17">
        <f>P41*'IAA digestibility'!P41</f>
        <v>25.826376000000003</v>
      </c>
      <c r="AF41" s="17">
        <f>R41*'IAA digestibility'!R41</f>
        <v>8.3576340000000009</v>
      </c>
      <c r="AG41" s="25"/>
      <c r="AH41" s="17">
        <f t="shared" si="1"/>
        <v>0.88046000000000002</v>
      </c>
      <c r="AI41" s="17">
        <f t="shared" si="2"/>
        <v>21.129900000000003</v>
      </c>
      <c r="AJ41" s="17">
        <f t="shared" si="3"/>
        <v>32.673999999999999</v>
      </c>
      <c r="AK41" s="17">
        <f t="shared" si="4"/>
        <v>148.697</v>
      </c>
      <c r="AL41" s="17">
        <f t="shared" si="5"/>
        <v>0.25156000000000001</v>
      </c>
      <c r="AM41" s="17">
        <f t="shared" si="6"/>
        <v>19.61</v>
      </c>
      <c r="AN41" s="18">
        <f t="shared" si="7"/>
        <v>85.826199999999986</v>
      </c>
      <c r="AO41" s="17">
        <f t="shared" si="8"/>
        <v>29.018400000000003</v>
      </c>
      <c r="AP41" s="17">
        <f t="shared" si="9"/>
        <v>9.3906000000000009</v>
      </c>
    </row>
    <row r="42" spans="1:42" s="6" customFormat="1" x14ac:dyDescent="0.25">
      <c r="V42" s="31"/>
      <c r="W42" s="31"/>
      <c r="X42" s="31"/>
      <c r="Y42" s="31"/>
      <c r="Z42" s="31"/>
      <c r="AA42" s="31"/>
      <c r="AB42" s="31"/>
      <c r="AC42" s="31"/>
      <c r="AD42" s="31"/>
      <c r="AE42" s="31"/>
      <c r="AF42" s="31"/>
      <c r="AG42" s="31"/>
      <c r="AH42" s="31"/>
      <c r="AI42" s="31"/>
      <c r="AJ42" s="31"/>
      <c r="AK42" s="31"/>
      <c r="AL42" s="31"/>
      <c r="AM42" s="31"/>
      <c r="AN42" s="30"/>
      <c r="AO42" s="31"/>
      <c r="AP42" s="31"/>
    </row>
    <row r="43" spans="1:42" s="4" customFormat="1" x14ac:dyDescent="0.25">
      <c r="A43" s="4" t="s">
        <v>139</v>
      </c>
      <c r="B43" s="4" t="s">
        <v>296</v>
      </c>
      <c r="C43" s="4">
        <v>2</v>
      </c>
      <c r="E43" s="4" t="s">
        <v>12</v>
      </c>
      <c r="F43" s="4">
        <v>89</v>
      </c>
      <c r="G43" s="4">
        <v>1.1000000000000001</v>
      </c>
      <c r="H43" s="4">
        <v>4</v>
      </c>
      <c r="I43" s="4">
        <v>3.9</v>
      </c>
      <c r="J43" s="4">
        <v>6.3</v>
      </c>
      <c r="K43" s="4">
        <v>5.0999999999999996</v>
      </c>
      <c r="L43" s="4">
        <v>1.5</v>
      </c>
      <c r="M43" s="4">
        <v>1</v>
      </c>
      <c r="N43" s="4">
        <v>4</v>
      </c>
      <c r="O43" s="4">
        <v>4.0999999999999996</v>
      </c>
      <c r="P43" s="4">
        <v>6.1</v>
      </c>
      <c r="Q43" s="4">
        <v>3.7</v>
      </c>
      <c r="R43" s="4">
        <v>3.4</v>
      </c>
      <c r="S43" s="4" t="s">
        <v>140</v>
      </c>
      <c r="T43" s="10"/>
      <c r="V43" s="17">
        <f>G43*'IAA digestibility'!G43</f>
        <v>0.45100000000000001</v>
      </c>
      <c r="W43" s="17">
        <f>H43*'IAA digestibility'!H43</f>
        <v>1.24</v>
      </c>
      <c r="X43" s="17">
        <f>I43*'IAA digestibility'!I43</f>
        <v>2.3009999999999997</v>
      </c>
      <c r="Y43" s="17">
        <f>J43*'IAA digestibility'!J43</f>
        <v>3.7169999999999996</v>
      </c>
      <c r="Z43" s="17">
        <f>K43*'IAA digestibility'!K43</f>
        <v>2.5499999999999998</v>
      </c>
      <c r="AA43" s="17">
        <f>L43*'IAA digestibility'!L43</f>
        <v>0.91500000000000004</v>
      </c>
      <c r="AB43" s="17">
        <f>M43*'IAA digestibility'!M43</f>
        <v>0.22</v>
      </c>
      <c r="AC43" s="17">
        <f>N43*'IAA digestibility'!N43</f>
        <v>2.08</v>
      </c>
      <c r="AD43" s="17">
        <f>O43*'IAA digestibility'!O43</f>
        <v>2.173</v>
      </c>
      <c r="AE43" s="17">
        <f>P43*'IAA digestibility'!P43</f>
        <v>2.5619999999999998</v>
      </c>
      <c r="AF43" s="17">
        <f>R43*'IAA digestibility'!R43</f>
        <v>2.0739999999999998</v>
      </c>
      <c r="AG43" s="25"/>
      <c r="AH43" s="17">
        <f t="shared" si="1"/>
        <v>5.0674157303370784</v>
      </c>
      <c r="AI43" s="17">
        <f t="shared" si="2"/>
        <v>13.932584269662922</v>
      </c>
      <c r="AJ43" s="17">
        <f t="shared" si="3"/>
        <v>25.853932584269661</v>
      </c>
      <c r="AK43" s="17">
        <f t="shared" si="4"/>
        <v>41.764044943820224</v>
      </c>
      <c r="AL43" s="17">
        <f t="shared" si="5"/>
        <v>28.651685393258425</v>
      </c>
      <c r="AM43" s="17">
        <f t="shared" si="6"/>
        <v>12.752808988764045</v>
      </c>
      <c r="AN43" s="18">
        <f t="shared" si="7"/>
        <v>47.786516853932582</v>
      </c>
      <c r="AO43" s="17">
        <f t="shared" si="8"/>
        <v>28.786516853932582</v>
      </c>
      <c r="AP43" s="17">
        <f t="shared" si="9"/>
        <v>23.303370786516851</v>
      </c>
    </row>
    <row r="44" spans="1:42" s="4" customFormat="1" x14ac:dyDescent="0.25">
      <c r="A44" s="4" t="s">
        <v>141</v>
      </c>
      <c r="B44" s="4" t="s">
        <v>296</v>
      </c>
      <c r="C44" s="4">
        <v>2</v>
      </c>
      <c r="E44" s="4" t="s">
        <v>12</v>
      </c>
      <c r="F44" s="4">
        <v>87</v>
      </c>
      <c r="G44" s="4">
        <v>0.9</v>
      </c>
      <c r="H44" s="4">
        <v>3.9</v>
      </c>
      <c r="I44" s="4">
        <v>3.8</v>
      </c>
      <c r="J44" s="4">
        <v>6.1</v>
      </c>
      <c r="K44" s="4">
        <v>5</v>
      </c>
      <c r="L44" s="4">
        <v>1.4</v>
      </c>
      <c r="M44" s="4">
        <v>1</v>
      </c>
      <c r="N44" s="4">
        <v>3.9</v>
      </c>
      <c r="O44" s="4">
        <v>4.7</v>
      </c>
      <c r="P44" s="4">
        <v>6</v>
      </c>
      <c r="Q44" s="4">
        <v>3.6</v>
      </c>
      <c r="R44" s="4">
        <v>3.3</v>
      </c>
      <c r="S44" s="4" t="s">
        <v>142</v>
      </c>
      <c r="T44" s="10"/>
      <c r="V44" s="17">
        <f>G44*'IAA digestibility'!G44</f>
        <v>0.36899999999999999</v>
      </c>
      <c r="W44" s="17">
        <f>H44*'IAA digestibility'!H44</f>
        <v>1.2090000000000001</v>
      </c>
      <c r="X44" s="17">
        <f>I44*'IAA digestibility'!I44</f>
        <v>2.242</v>
      </c>
      <c r="Y44" s="17">
        <f>J44*'IAA digestibility'!J44</f>
        <v>3.5989999999999998</v>
      </c>
      <c r="Z44" s="17">
        <f>K44*'IAA digestibility'!K44</f>
        <v>2.5</v>
      </c>
      <c r="AA44" s="17">
        <f>L44*'IAA digestibility'!L44</f>
        <v>0.85399999999999998</v>
      </c>
      <c r="AB44" s="17">
        <f>M44*'IAA digestibility'!M44</f>
        <v>0.22</v>
      </c>
      <c r="AC44" s="17">
        <f>N44*'IAA digestibility'!N44</f>
        <v>2.028</v>
      </c>
      <c r="AD44" s="17">
        <f>O44*'IAA digestibility'!O44</f>
        <v>2.4910000000000001</v>
      </c>
      <c r="AE44" s="17">
        <f>P44*'IAA digestibility'!P44</f>
        <v>2.52</v>
      </c>
      <c r="AF44" s="17">
        <f>R44*'IAA digestibility'!R44</f>
        <v>2.0129999999999999</v>
      </c>
      <c r="AG44" s="25"/>
      <c r="AH44" s="17">
        <f t="shared" si="1"/>
        <v>4.2413793103448283</v>
      </c>
      <c r="AI44" s="17">
        <f t="shared" si="2"/>
        <v>13.896551724137932</v>
      </c>
      <c r="AJ44" s="17">
        <f t="shared" si="3"/>
        <v>25.770114942528735</v>
      </c>
      <c r="AK44" s="17">
        <f t="shared" si="4"/>
        <v>41.367816091954019</v>
      </c>
      <c r="AL44" s="17">
        <f t="shared" si="5"/>
        <v>28.735632183908045</v>
      </c>
      <c r="AM44" s="17">
        <f t="shared" si="6"/>
        <v>12.344827586206897</v>
      </c>
      <c r="AN44" s="18">
        <f t="shared" si="7"/>
        <v>51.942528735632187</v>
      </c>
      <c r="AO44" s="17">
        <f t="shared" si="8"/>
        <v>28.965517241379313</v>
      </c>
      <c r="AP44" s="17">
        <f t="shared" si="9"/>
        <v>23.137931034482758</v>
      </c>
    </row>
    <row r="45" spans="1:42" s="4" customFormat="1" x14ac:dyDescent="0.25">
      <c r="A45" s="4" t="s">
        <v>143</v>
      </c>
      <c r="B45" s="4" t="s">
        <v>296</v>
      </c>
      <c r="C45" s="4">
        <v>2</v>
      </c>
      <c r="E45" s="4" t="s">
        <v>12</v>
      </c>
      <c r="F45" s="4">
        <v>23</v>
      </c>
      <c r="G45" s="4">
        <v>0.2</v>
      </c>
      <c r="H45" s="4">
        <v>0.7</v>
      </c>
      <c r="I45" s="4">
        <v>0.7</v>
      </c>
      <c r="J45" s="4">
        <v>1.2</v>
      </c>
      <c r="K45" s="4">
        <v>0.9</v>
      </c>
      <c r="L45" s="4">
        <v>0.4</v>
      </c>
      <c r="M45" s="4">
        <v>0.4</v>
      </c>
      <c r="N45" s="4">
        <v>0.8</v>
      </c>
      <c r="O45" s="4">
        <v>0.6</v>
      </c>
      <c r="P45" s="4">
        <v>1</v>
      </c>
      <c r="Q45" s="4">
        <v>0.8</v>
      </c>
      <c r="R45" s="4">
        <v>0.7</v>
      </c>
      <c r="S45" s="4" t="s">
        <v>144</v>
      </c>
      <c r="T45" s="10"/>
      <c r="V45" s="17">
        <f>G45*'IAA digestibility'!G45</f>
        <v>0.13999999999999999</v>
      </c>
      <c r="W45" s="17">
        <f>H45*'IAA digestibility'!H45</f>
        <v>0.48299999999999993</v>
      </c>
      <c r="X45" s="17">
        <f>I45*'IAA digestibility'!I45</f>
        <v>0.53199999999999992</v>
      </c>
      <c r="Y45" s="17">
        <f>J45*'IAA digestibility'!J45</f>
        <v>0.93599999999999994</v>
      </c>
      <c r="Z45" s="17">
        <f>K45*'IAA digestibility'!K45</f>
        <v>0.621</v>
      </c>
      <c r="AA45" s="17">
        <f>L45*'IAA digestibility'!L45</f>
        <v>0.32000000000000006</v>
      </c>
      <c r="AB45" s="17">
        <f>M45*'IAA digestibility'!M45</f>
        <v>0.26400000000000001</v>
      </c>
      <c r="AC45" s="17">
        <f>N45*'IAA digestibility'!N45</f>
        <v>0.64000000000000012</v>
      </c>
      <c r="AD45" s="17">
        <f>O45*'IAA digestibility'!O45</f>
        <v>0.46199999999999997</v>
      </c>
      <c r="AE45" s="17">
        <f>P45*'IAA digestibility'!P45</f>
        <v>0.74</v>
      </c>
      <c r="AF45" s="17">
        <f>R45*'IAA digestibility'!R45</f>
        <v>0.53199999999999992</v>
      </c>
      <c r="AG45" s="25"/>
      <c r="AH45" s="17">
        <f t="shared" si="1"/>
        <v>6.086956521739129</v>
      </c>
      <c r="AI45" s="17">
        <f t="shared" si="2"/>
        <v>20.999999999999996</v>
      </c>
      <c r="AJ45" s="17">
        <f t="shared" si="3"/>
        <v>23.130434782608692</v>
      </c>
      <c r="AK45" s="17">
        <f t="shared" si="4"/>
        <v>40.695652173913039</v>
      </c>
      <c r="AL45" s="17">
        <f t="shared" si="5"/>
        <v>27</v>
      </c>
      <c r="AM45" s="17">
        <f t="shared" si="6"/>
        <v>25.39130434782609</v>
      </c>
      <c r="AN45" s="18">
        <f t="shared" si="7"/>
        <v>47.913043478260867</v>
      </c>
      <c r="AO45" s="17">
        <f t="shared" si="8"/>
        <v>32.173913043478258</v>
      </c>
      <c r="AP45" s="17">
        <f t="shared" si="9"/>
        <v>23.130434782608692</v>
      </c>
    </row>
    <row r="46" spans="1:42" s="4" customFormat="1" x14ac:dyDescent="0.25">
      <c r="A46" s="4" t="s">
        <v>21</v>
      </c>
      <c r="B46" s="4" t="s">
        <v>296</v>
      </c>
      <c r="C46" s="4">
        <v>2</v>
      </c>
      <c r="E46" s="4" t="s">
        <v>12</v>
      </c>
      <c r="F46" s="4">
        <v>29</v>
      </c>
      <c r="G46" s="4">
        <v>0.2</v>
      </c>
      <c r="H46" s="4">
        <v>0.9</v>
      </c>
      <c r="I46" s="4">
        <v>0.9</v>
      </c>
      <c r="J46" s="4">
        <v>1.5</v>
      </c>
      <c r="K46" s="4">
        <v>1.1000000000000001</v>
      </c>
      <c r="L46" s="4">
        <v>0.5</v>
      </c>
      <c r="M46" s="4">
        <v>0.5</v>
      </c>
      <c r="N46" s="4">
        <v>1</v>
      </c>
      <c r="O46" s="4">
        <v>0.7</v>
      </c>
      <c r="P46" s="4">
        <v>1.3</v>
      </c>
      <c r="Q46" s="4">
        <v>1.1000000000000001</v>
      </c>
      <c r="R46" s="4">
        <v>1.2</v>
      </c>
      <c r="T46" s="10"/>
      <c r="V46" s="17">
        <f>G46*'IAA digestibility'!G46</f>
        <v>0.16800000000000001</v>
      </c>
      <c r="W46" s="17">
        <f>H46*'IAA digestibility'!H46</f>
        <v>0.621</v>
      </c>
      <c r="X46" s="17">
        <f>I46*'IAA digestibility'!I46</f>
        <v>0.26100000000000001</v>
      </c>
      <c r="Y46" s="17">
        <f>J46*'IAA digestibility'!J46</f>
        <v>1.125</v>
      </c>
      <c r="Z46" s="17">
        <f>K46*'IAA digestibility'!K46</f>
        <v>0.70400000000000007</v>
      </c>
      <c r="AA46" s="17">
        <f>L46*'IAA digestibility'!L46</f>
        <v>0.41</v>
      </c>
      <c r="AB46" s="17">
        <f>M46*'IAA digestibility'!M46</f>
        <v>0.38</v>
      </c>
      <c r="AC46" s="17">
        <f>N46*'IAA digestibility'!N46</f>
        <v>0.62</v>
      </c>
      <c r="AD46" s="17">
        <f>O46*'IAA digestibility'!O46</f>
        <v>0.46199999999999997</v>
      </c>
      <c r="AE46" s="17">
        <f>P46*'IAA digestibility'!P46</f>
        <v>0.96199999999999997</v>
      </c>
      <c r="AF46" s="17">
        <f>R46*'IAA digestibility'!R46</f>
        <v>0.91199999999999992</v>
      </c>
      <c r="AG46" s="25"/>
      <c r="AH46" s="17">
        <f t="shared" si="1"/>
        <v>5.793103448275863</v>
      </c>
      <c r="AI46" s="17">
        <f t="shared" si="2"/>
        <v>21.413793103448274</v>
      </c>
      <c r="AJ46" s="17">
        <f t="shared" si="3"/>
        <v>9.0000000000000018</v>
      </c>
      <c r="AK46" s="17">
        <f t="shared" si="4"/>
        <v>38.793103448275865</v>
      </c>
      <c r="AL46" s="17">
        <f t="shared" si="5"/>
        <v>24.27586206896552</v>
      </c>
      <c r="AM46" s="17">
        <f t="shared" si="6"/>
        <v>27.241379310344829</v>
      </c>
      <c r="AN46" s="18">
        <f t="shared" si="7"/>
        <v>37.310344827586206</v>
      </c>
      <c r="AO46" s="17">
        <f t="shared" si="8"/>
        <v>33.172413793103452</v>
      </c>
      <c r="AP46" s="17">
        <f t="shared" si="9"/>
        <v>31.448275862068961</v>
      </c>
    </row>
    <row r="47" spans="1:42" s="4" customFormat="1" x14ac:dyDescent="0.25">
      <c r="A47" s="4" t="s">
        <v>145</v>
      </c>
      <c r="B47" s="4" t="s">
        <v>296</v>
      </c>
      <c r="C47" s="4">
        <v>2</v>
      </c>
      <c r="E47" s="4" t="s">
        <v>12</v>
      </c>
      <c r="F47" s="4">
        <v>28</v>
      </c>
      <c r="G47" s="4">
        <v>0.2</v>
      </c>
      <c r="H47" s="4">
        <v>0.8</v>
      </c>
      <c r="I47" s="4">
        <v>0.8</v>
      </c>
      <c r="J47" s="4">
        <v>1.5</v>
      </c>
      <c r="K47" s="4">
        <v>1.1000000000000001</v>
      </c>
      <c r="L47" s="4">
        <v>0.5</v>
      </c>
      <c r="M47" s="4">
        <v>0.5</v>
      </c>
      <c r="N47" s="4">
        <v>1</v>
      </c>
      <c r="O47" s="4">
        <v>0.7</v>
      </c>
      <c r="P47" s="4">
        <v>1.2</v>
      </c>
      <c r="Q47" s="4">
        <v>1.1000000000000001</v>
      </c>
      <c r="R47" s="4">
        <v>1.2</v>
      </c>
      <c r="S47" s="4" t="s">
        <v>146</v>
      </c>
      <c r="T47" s="10"/>
      <c r="V47" s="17">
        <f>G47*'IAA digestibility'!G47</f>
        <v>0.17</v>
      </c>
      <c r="W47" s="17">
        <f>H47*'IAA digestibility'!H47</f>
        <v>0.55199999999999994</v>
      </c>
      <c r="X47" s="17">
        <f>I47*'IAA digestibility'!I47</f>
        <v>0.23199999999999998</v>
      </c>
      <c r="Y47" s="17">
        <f>J47*'IAA digestibility'!J47</f>
        <v>1.125</v>
      </c>
      <c r="Z47" s="17">
        <f>K47*'IAA digestibility'!K47</f>
        <v>0.70400000000000007</v>
      </c>
      <c r="AA47" s="17">
        <f>L47*'IAA digestibility'!L47</f>
        <v>0.41</v>
      </c>
      <c r="AB47" s="17">
        <f>M47*'IAA digestibility'!M47</f>
        <v>0.38</v>
      </c>
      <c r="AC47" s="17">
        <f>N47*'IAA digestibility'!N47</f>
        <v>0.62</v>
      </c>
      <c r="AD47" s="17">
        <f>O47*'IAA digestibility'!O47</f>
        <v>0.46199999999999997</v>
      </c>
      <c r="AE47" s="17">
        <f>P47*'IAA digestibility'!P47</f>
        <v>0.88800000000000001</v>
      </c>
      <c r="AF47" s="17">
        <f>R47*'IAA digestibility'!R47</f>
        <v>0.91199999999999992</v>
      </c>
      <c r="AG47" s="25"/>
      <c r="AH47" s="17">
        <f t="shared" si="1"/>
        <v>6.0714285714285721</v>
      </c>
      <c r="AI47" s="17">
        <f t="shared" si="2"/>
        <v>19.714285714285712</v>
      </c>
      <c r="AJ47" s="17">
        <f t="shared" si="3"/>
        <v>8.2857142857142847</v>
      </c>
      <c r="AK47" s="17">
        <f t="shared" si="4"/>
        <v>40.178571428571431</v>
      </c>
      <c r="AL47" s="17">
        <f t="shared" si="5"/>
        <v>25.142857142857142</v>
      </c>
      <c r="AM47" s="17">
        <f t="shared" si="6"/>
        <v>28.214285714285715</v>
      </c>
      <c r="AN47" s="18">
        <f t="shared" si="7"/>
        <v>38.642857142857139</v>
      </c>
      <c r="AO47" s="17">
        <f t="shared" si="8"/>
        <v>31.714285714285715</v>
      </c>
      <c r="AP47" s="17">
        <f t="shared" si="9"/>
        <v>32.571428571428569</v>
      </c>
    </row>
    <row r="48" spans="1:42" s="4" customFormat="1" x14ac:dyDescent="0.25">
      <c r="A48" s="4" t="s">
        <v>147</v>
      </c>
      <c r="B48" s="4" t="s">
        <v>296</v>
      </c>
      <c r="C48" s="4">
        <v>2</v>
      </c>
      <c r="E48" s="4" t="s">
        <v>12</v>
      </c>
      <c r="F48" s="4">
        <v>87</v>
      </c>
      <c r="G48" s="4">
        <v>1.4</v>
      </c>
      <c r="H48" s="4">
        <v>3.4</v>
      </c>
      <c r="I48" s="4">
        <v>3.5</v>
      </c>
      <c r="J48" s="4">
        <v>5.9</v>
      </c>
      <c r="K48" s="4">
        <v>3.7</v>
      </c>
      <c r="L48" s="4">
        <v>1</v>
      </c>
      <c r="M48" s="4">
        <v>0.6</v>
      </c>
      <c r="N48" s="4">
        <v>3.7</v>
      </c>
      <c r="O48" s="4">
        <v>2.6</v>
      </c>
      <c r="P48" s="4">
        <v>3.9</v>
      </c>
      <c r="Q48" s="4">
        <v>3.6</v>
      </c>
      <c r="R48" s="4">
        <v>1.5</v>
      </c>
      <c r="S48" s="4" t="s">
        <v>148</v>
      </c>
      <c r="T48" s="10"/>
      <c r="V48" s="17">
        <f>G48*'IAA digestibility'!G48</f>
        <v>0.99399999999999988</v>
      </c>
      <c r="W48" s="17">
        <f>H48*'IAA digestibility'!H48</f>
        <v>2.38</v>
      </c>
      <c r="X48" s="17">
        <f>I48*'IAA digestibility'!I48</f>
        <v>2.66</v>
      </c>
      <c r="Y48" s="17">
        <f>J48*'IAA digestibility'!J48</f>
        <v>4.6020000000000003</v>
      </c>
      <c r="Z48" s="17">
        <f>K48*'IAA digestibility'!K48</f>
        <v>2.5529999999999999</v>
      </c>
      <c r="AA48" s="17">
        <f>L48*'IAA digestibility'!L48</f>
        <v>0.8</v>
      </c>
      <c r="AB48" s="17">
        <f>M48*'IAA digestibility'!M48</f>
        <v>0.40200000000000002</v>
      </c>
      <c r="AC48" s="17">
        <f>N48*'IAA digestibility'!N48</f>
        <v>2.9600000000000004</v>
      </c>
      <c r="AD48" s="17">
        <f>O48*'IAA digestibility'!O48</f>
        <v>2.0020000000000002</v>
      </c>
      <c r="AE48" s="17">
        <f>P48*'IAA digestibility'!P48</f>
        <v>2.8860000000000001</v>
      </c>
      <c r="AF48" s="17">
        <f>R48*'IAA digestibility'!R48</f>
        <v>1.1400000000000001</v>
      </c>
      <c r="AG48" s="25"/>
      <c r="AH48" s="17">
        <f t="shared" si="1"/>
        <v>11.425287356321837</v>
      </c>
      <c r="AI48" s="17">
        <f t="shared" si="2"/>
        <v>27.356321839080458</v>
      </c>
      <c r="AJ48" s="17">
        <f t="shared" si="3"/>
        <v>30.574712643678165</v>
      </c>
      <c r="AK48" s="17">
        <f t="shared" si="4"/>
        <v>52.896551724137936</v>
      </c>
      <c r="AL48" s="17">
        <f t="shared" si="5"/>
        <v>29.344827586206897</v>
      </c>
      <c r="AM48" s="17">
        <f t="shared" si="6"/>
        <v>13.816091954022989</v>
      </c>
      <c r="AN48" s="18">
        <f t="shared" si="7"/>
        <v>57.034482758620697</v>
      </c>
      <c r="AO48" s="17">
        <f t="shared" si="8"/>
        <v>33.172413793103452</v>
      </c>
      <c r="AP48" s="17">
        <f t="shared" si="9"/>
        <v>13.103448275862071</v>
      </c>
    </row>
    <row r="49" spans="1:42" s="4" customFormat="1" x14ac:dyDescent="0.25">
      <c r="A49" s="4" t="s">
        <v>149</v>
      </c>
      <c r="B49" s="4" t="s">
        <v>296</v>
      </c>
      <c r="C49" s="4">
        <v>2</v>
      </c>
      <c r="E49" s="4" t="s">
        <v>12</v>
      </c>
      <c r="F49" s="4">
        <v>841</v>
      </c>
      <c r="G49" s="4">
        <v>11.7</v>
      </c>
      <c r="H49" s="4">
        <v>47.2</v>
      </c>
      <c r="I49" s="4">
        <v>47</v>
      </c>
      <c r="J49" s="4">
        <v>84.3</v>
      </c>
      <c r="K49" s="4">
        <v>64.2</v>
      </c>
      <c r="L49" s="4">
        <v>18.5</v>
      </c>
      <c r="M49" s="4">
        <v>11.4</v>
      </c>
      <c r="N49" s="4">
        <v>52.6</v>
      </c>
      <c r="O49" s="4">
        <v>44.6</v>
      </c>
      <c r="P49" s="4">
        <v>55.1</v>
      </c>
      <c r="Q49" s="4">
        <v>42.3</v>
      </c>
      <c r="R49" s="4">
        <v>17.899999999999999</v>
      </c>
      <c r="S49" s="4" t="s">
        <v>150</v>
      </c>
      <c r="T49" s="10"/>
      <c r="V49" s="17">
        <f>G49*'IAA digestibility'!G49</f>
        <v>8.7749999999999986</v>
      </c>
      <c r="W49" s="17">
        <f>H49*'IAA digestibility'!H49</f>
        <v>42.480000000000004</v>
      </c>
      <c r="X49" s="17">
        <f>I49*'IAA digestibility'!I49</f>
        <v>41.83</v>
      </c>
      <c r="Y49" s="17">
        <f>J49*'IAA digestibility'!J49</f>
        <v>76.712999999999994</v>
      </c>
      <c r="Z49" s="17">
        <f>K49*'IAA digestibility'!K49</f>
        <v>57.138000000000005</v>
      </c>
      <c r="AA49" s="17">
        <f>L49*'IAA digestibility'!L49</f>
        <v>16.835000000000001</v>
      </c>
      <c r="AB49" s="17">
        <f>M49*'IAA digestibility'!M49</f>
        <v>8.8920000000000012</v>
      </c>
      <c r="AC49" s="17">
        <f>N49*'IAA digestibility'!N49</f>
        <v>47.866</v>
      </c>
      <c r="AD49" s="17">
        <f>O49*'IAA digestibility'!O49</f>
        <v>39.694000000000003</v>
      </c>
      <c r="AE49" s="17">
        <f>P49*'IAA digestibility'!P49</f>
        <v>49.039000000000001</v>
      </c>
      <c r="AF49" s="17">
        <f>R49*'IAA digestibility'!R49</f>
        <v>15.930999999999999</v>
      </c>
      <c r="AG49" s="25"/>
      <c r="AH49" s="17">
        <f t="shared" si="1"/>
        <v>10.434007134363851</v>
      </c>
      <c r="AI49" s="17">
        <f t="shared" si="2"/>
        <v>50.511296076099889</v>
      </c>
      <c r="AJ49" s="17">
        <f t="shared" si="3"/>
        <v>49.738406658739599</v>
      </c>
      <c r="AK49" s="17">
        <f t="shared" si="4"/>
        <v>91.216409036860867</v>
      </c>
      <c r="AL49" s="17">
        <f t="shared" si="5"/>
        <v>67.940546967895372</v>
      </c>
      <c r="AM49" s="17">
        <f t="shared" si="6"/>
        <v>30.590963139120099</v>
      </c>
      <c r="AN49" s="18">
        <f t="shared" si="7"/>
        <v>104.11414982164091</v>
      </c>
      <c r="AO49" s="17">
        <f t="shared" si="8"/>
        <v>58.310344827586206</v>
      </c>
      <c r="AP49" s="17">
        <f t="shared" si="9"/>
        <v>18.94292508917955</v>
      </c>
    </row>
    <row r="50" spans="1:42" s="4" customFormat="1" x14ac:dyDescent="0.25">
      <c r="A50" s="4" t="s">
        <v>151</v>
      </c>
      <c r="B50" s="4" t="s">
        <v>296</v>
      </c>
      <c r="C50" s="4">
        <v>2</v>
      </c>
      <c r="E50" s="4" t="s">
        <v>12</v>
      </c>
      <c r="F50" s="4">
        <v>54</v>
      </c>
      <c r="G50" s="4">
        <v>0.2</v>
      </c>
      <c r="H50" s="4">
        <v>0.7</v>
      </c>
      <c r="I50" s="4">
        <v>0.2</v>
      </c>
      <c r="J50" s="4">
        <v>2.2999999999999998</v>
      </c>
      <c r="K50" s="4">
        <v>0.7</v>
      </c>
      <c r="L50" s="4">
        <v>0.3</v>
      </c>
      <c r="M50" s="4">
        <v>0.7</v>
      </c>
      <c r="N50" s="4">
        <v>0.5</v>
      </c>
      <c r="O50" s="4">
        <v>1.2</v>
      </c>
      <c r="P50" s="4">
        <v>1.4</v>
      </c>
      <c r="Q50" s="4">
        <v>1</v>
      </c>
      <c r="R50" s="4">
        <v>0.5</v>
      </c>
      <c r="S50" s="4" t="s">
        <v>152</v>
      </c>
      <c r="T50" s="10"/>
      <c r="V50" s="17">
        <f>G50*'IAA digestibility'!G50</f>
        <v>0.15000000000000002</v>
      </c>
      <c r="W50" s="17">
        <f>H50*'IAA digestibility'!H50</f>
        <v>0.51800000000000002</v>
      </c>
      <c r="X50" s="17">
        <f>I50*'IAA digestibility'!I50</f>
        <v>0.15800000000000003</v>
      </c>
      <c r="Y50" s="17">
        <f>J50*'IAA digestibility'!J50</f>
        <v>1.863</v>
      </c>
      <c r="Z50" s="17">
        <f>K50*'IAA digestibility'!K50</f>
        <v>0.51800000000000002</v>
      </c>
      <c r="AA50" s="17">
        <f>L50*'IAA digestibility'!L50</f>
        <v>0.24599999999999997</v>
      </c>
      <c r="AB50" s="17">
        <f>M50*'IAA digestibility'!M50</f>
        <v>0.49699999999999994</v>
      </c>
      <c r="AC50" s="17">
        <f>N50*'IAA digestibility'!N50</f>
        <v>0.41</v>
      </c>
      <c r="AD50" s="17">
        <f>O50*'IAA digestibility'!O50</f>
        <v>0.96</v>
      </c>
      <c r="AE50" s="17">
        <f>P50*'IAA digestibility'!P50</f>
        <v>1.0779999999999998</v>
      </c>
      <c r="AF50" s="17">
        <f>R50*'IAA digestibility'!R50</f>
        <v>0.4</v>
      </c>
      <c r="AG50" s="25"/>
      <c r="AH50" s="17">
        <f t="shared" si="1"/>
        <v>2.7777777777777781</v>
      </c>
      <c r="AI50" s="17">
        <f t="shared" si="2"/>
        <v>9.5925925925925934</v>
      </c>
      <c r="AJ50" s="17">
        <f t="shared" si="3"/>
        <v>2.9259259259259265</v>
      </c>
      <c r="AK50" s="17">
        <f t="shared" si="4"/>
        <v>34.5</v>
      </c>
      <c r="AL50" s="17">
        <f t="shared" si="5"/>
        <v>9.5925925925925934</v>
      </c>
      <c r="AM50" s="17">
        <f t="shared" si="6"/>
        <v>13.759259259259258</v>
      </c>
      <c r="AN50" s="18">
        <f t="shared" si="7"/>
        <v>25.37037037037037</v>
      </c>
      <c r="AO50" s="17">
        <f t="shared" si="8"/>
        <v>19.962962962962962</v>
      </c>
      <c r="AP50" s="17">
        <f t="shared" si="9"/>
        <v>7.4074074074074074</v>
      </c>
    </row>
    <row r="51" spans="1:42" s="4" customFormat="1" x14ac:dyDescent="0.25">
      <c r="A51" s="4" t="s">
        <v>153</v>
      </c>
      <c r="B51" s="4" t="s">
        <v>296</v>
      </c>
      <c r="C51" s="4">
        <v>2</v>
      </c>
      <c r="E51" s="4" t="s">
        <v>12</v>
      </c>
      <c r="F51" s="4">
        <v>103</v>
      </c>
      <c r="G51" s="4">
        <v>0.9</v>
      </c>
      <c r="H51" s="4">
        <v>3.6</v>
      </c>
      <c r="I51" s="4">
        <v>3.2</v>
      </c>
      <c r="J51" s="4">
        <v>5.0999999999999996</v>
      </c>
      <c r="K51" s="4">
        <v>4.5999999999999996</v>
      </c>
      <c r="L51" s="4">
        <v>1.4</v>
      </c>
      <c r="M51" s="4">
        <v>1.4</v>
      </c>
      <c r="N51" s="4">
        <v>3.7</v>
      </c>
      <c r="O51" s="4">
        <v>3.9</v>
      </c>
      <c r="P51" s="4">
        <v>4.8</v>
      </c>
      <c r="Q51" s="4">
        <v>3.5</v>
      </c>
      <c r="R51" s="4">
        <v>1.6</v>
      </c>
      <c r="S51" s="4" t="s">
        <v>154</v>
      </c>
      <c r="T51" s="10"/>
      <c r="V51" s="17">
        <f>G51*'IAA digestibility'!G51</f>
        <v>0.76500000000000001</v>
      </c>
      <c r="W51" s="17">
        <f>H51*'IAA digestibility'!H51</f>
        <v>3.024</v>
      </c>
      <c r="X51" s="17">
        <f>I51*'IAA digestibility'!I51</f>
        <v>2.7520000000000002</v>
      </c>
      <c r="Y51" s="17">
        <f>J51*'IAA digestibility'!J51</f>
        <v>4.4879999999999995</v>
      </c>
      <c r="Z51" s="17">
        <f>K51*'IAA digestibility'!K51</f>
        <v>3.9559999999999995</v>
      </c>
      <c r="AA51" s="17">
        <f>L51*'IAA digestibility'!L51</f>
        <v>1.232</v>
      </c>
      <c r="AB51" s="17">
        <f>M51*'IAA digestibility'!M51</f>
        <v>1.1759999999999999</v>
      </c>
      <c r="AC51" s="17">
        <f>N51*'IAA digestibility'!N51</f>
        <v>3.2560000000000002</v>
      </c>
      <c r="AD51" s="17">
        <f>O51*'IAA digestibility'!O51</f>
        <v>3.4319999999999999</v>
      </c>
      <c r="AE51" s="17">
        <f>P51*'IAA digestibility'!P51</f>
        <v>4.08</v>
      </c>
      <c r="AF51" s="17">
        <f>R51*'IAA digestibility'!R51</f>
        <v>1.4080000000000001</v>
      </c>
      <c r="AG51" s="25"/>
      <c r="AH51" s="17">
        <f t="shared" si="1"/>
        <v>7.4271844660194173</v>
      </c>
      <c r="AI51" s="17">
        <f t="shared" si="2"/>
        <v>29.359223300970875</v>
      </c>
      <c r="AJ51" s="17">
        <f t="shared" si="3"/>
        <v>26.71844660194175</v>
      </c>
      <c r="AK51" s="17">
        <f t="shared" si="4"/>
        <v>43.572815533980574</v>
      </c>
      <c r="AL51" s="17">
        <f t="shared" si="5"/>
        <v>38.407766990291258</v>
      </c>
      <c r="AM51" s="17">
        <f t="shared" si="6"/>
        <v>23.378640776699026</v>
      </c>
      <c r="AN51" s="18">
        <f t="shared" si="7"/>
        <v>64.93203883495147</v>
      </c>
      <c r="AO51" s="17">
        <f t="shared" si="8"/>
        <v>39.611650485436897</v>
      </c>
      <c r="AP51" s="17">
        <f t="shared" si="9"/>
        <v>13.66990291262136</v>
      </c>
    </row>
    <row r="52" spans="1:42" s="4" customFormat="1" x14ac:dyDescent="0.25">
      <c r="A52" s="4" t="s">
        <v>158</v>
      </c>
      <c r="B52" s="4" t="s">
        <v>296</v>
      </c>
      <c r="C52" s="4">
        <v>1</v>
      </c>
      <c r="E52" s="4" t="s">
        <v>12</v>
      </c>
      <c r="F52" s="4">
        <v>59</v>
      </c>
      <c r="G52" s="4">
        <v>0.5</v>
      </c>
      <c r="H52" s="4">
        <v>2.2999999999999998</v>
      </c>
      <c r="I52" s="4">
        <v>2.2000000000000002</v>
      </c>
      <c r="J52" s="4">
        <v>3.6</v>
      </c>
      <c r="K52" s="4">
        <v>3.2</v>
      </c>
      <c r="L52" s="4">
        <v>0.8</v>
      </c>
      <c r="M52" s="4">
        <v>0.8</v>
      </c>
      <c r="N52" s="4">
        <v>2.2999999999999998</v>
      </c>
      <c r="O52" s="4">
        <v>1.9</v>
      </c>
      <c r="P52" s="4">
        <v>3.1</v>
      </c>
      <c r="Q52" s="4">
        <v>1.8</v>
      </c>
      <c r="R52" s="4">
        <v>1</v>
      </c>
      <c r="T52" s="10"/>
      <c r="V52" s="17">
        <f>G52*'IAA digestibility'!G52</f>
        <v>0.23499999999999999</v>
      </c>
      <c r="W52" s="17">
        <f>H52*'IAA digestibility'!H52</f>
        <v>1.081</v>
      </c>
      <c r="X52" s="17">
        <f>I52*'IAA digestibility'!I52</f>
        <v>0.96800000000000008</v>
      </c>
      <c r="Y52" s="17">
        <f>J52*'IAA digestibility'!J52</f>
        <v>1.6919999999999999</v>
      </c>
      <c r="Z52" s="17">
        <f>K52*'IAA digestibility'!K52</f>
        <v>1.536</v>
      </c>
      <c r="AA52" s="17">
        <f>L52*'IAA digestibility'!L52</f>
        <v>0.32800000000000001</v>
      </c>
      <c r="AB52" s="17">
        <f>M52*'IAA digestibility'!M52</f>
        <v>0.376</v>
      </c>
      <c r="AC52" s="17">
        <f>N52*'IAA digestibility'!N52</f>
        <v>1.081</v>
      </c>
      <c r="AD52" s="17">
        <f>O52*'IAA digestibility'!O52</f>
        <v>0.8929999999999999</v>
      </c>
      <c r="AE52" s="17">
        <f>P52*'IAA digestibility'!P52</f>
        <v>1.4569999999999999</v>
      </c>
      <c r="AF52" s="17">
        <f>R52*'IAA digestibility'!R52</f>
        <v>0.42</v>
      </c>
      <c r="AG52" s="25"/>
      <c r="AH52" s="17">
        <f t="shared" si="1"/>
        <v>3.9830508474576267</v>
      </c>
      <c r="AI52" s="17">
        <f t="shared" si="2"/>
        <v>18.322033898305083</v>
      </c>
      <c r="AJ52" s="17">
        <f t="shared" si="3"/>
        <v>16.406779661016948</v>
      </c>
      <c r="AK52" s="17">
        <f t="shared" si="4"/>
        <v>28.677966101694917</v>
      </c>
      <c r="AL52" s="17">
        <f t="shared" si="5"/>
        <v>26.033898305084744</v>
      </c>
      <c r="AM52" s="17">
        <f t="shared" si="6"/>
        <v>11.932203389830507</v>
      </c>
      <c r="AN52" s="18">
        <f t="shared" si="7"/>
        <v>33.457627118644062</v>
      </c>
      <c r="AO52" s="17">
        <f t="shared" si="8"/>
        <v>24.694915254237284</v>
      </c>
      <c r="AP52" s="17">
        <f t="shared" si="9"/>
        <v>7.1186440677966099</v>
      </c>
    </row>
    <row r="53" spans="1:42" s="4" customFormat="1" x14ac:dyDescent="0.25">
      <c r="A53" s="4" t="s">
        <v>22</v>
      </c>
      <c r="B53" s="4" t="s">
        <v>296</v>
      </c>
      <c r="C53" s="4" t="s">
        <v>373</v>
      </c>
      <c r="E53" s="4" t="s">
        <v>12</v>
      </c>
      <c r="F53" s="4">
        <v>70</v>
      </c>
      <c r="G53" s="4">
        <v>0.6</v>
      </c>
      <c r="H53" s="4">
        <v>2.7</v>
      </c>
      <c r="I53" s="4">
        <v>2.6</v>
      </c>
      <c r="J53" s="4">
        <v>4.3</v>
      </c>
      <c r="K53" s="4">
        <v>3.8</v>
      </c>
      <c r="L53" s="4">
        <v>1</v>
      </c>
      <c r="M53" s="4">
        <v>0.9</v>
      </c>
      <c r="N53" s="4">
        <v>2.7</v>
      </c>
      <c r="O53" s="4">
        <v>2.2999999999999998</v>
      </c>
      <c r="P53" s="4">
        <v>3.7</v>
      </c>
      <c r="Q53" s="4">
        <v>2.2000000000000002</v>
      </c>
      <c r="R53" s="4">
        <v>1.2</v>
      </c>
      <c r="T53" s="10"/>
      <c r="V53" s="17">
        <f>G53*'IAA digestibility'!G53</f>
        <v>0.28199999999999997</v>
      </c>
      <c r="W53" s="17">
        <f>H53*'IAA digestibility'!H53</f>
        <v>1.4040000000000001</v>
      </c>
      <c r="X53" s="17">
        <f>I53*'IAA digestibility'!I53</f>
        <v>1.3260000000000001</v>
      </c>
      <c r="Y53" s="17">
        <f>J53*'IAA digestibility'!J53</f>
        <v>2.2359999999999998</v>
      </c>
      <c r="Z53" s="17">
        <f>K53*'IAA digestibility'!K53</f>
        <v>1.9379999999999999</v>
      </c>
      <c r="AA53" s="17">
        <f>L53*'IAA digestibility'!L53</f>
        <v>0.47</v>
      </c>
      <c r="AB53" s="17">
        <f>M53*'IAA digestibility'!M53</f>
        <v>0.46800000000000003</v>
      </c>
      <c r="AC53" s="17">
        <f>N53*'IAA digestibility'!N53</f>
        <v>1.4040000000000001</v>
      </c>
      <c r="AD53" s="17">
        <f>O53*'IAA digestibility'!O53</f>
        <v>1.127</v>
      </c>
      <c r="AE53" s="17">
        <f>P53*'IAA digestibility'!P53</f>
        <v>1.9240000000000002</v>
      </c>
      <c r="AF53" s="17">
        <f>R53*'IAA digestibility'!R53</f>
        <v>0.56399999999999995</v>
      </c>
      <c r="AG53" s="25"/>
      <c r="AH53" s="17">
        <f t="shared" si="1"/>
        <v>4.0285714285714285</v>
      </c>
      <c r="AI53" s="17">
        <f t="shared" si="2"/>
        <v>20.05714285714286</v>
      </c>
      <c r="AJ53" s="17">
        <f t="shared" si="3"/>
        <v>18.942857142857143</v>
      </c>
      <c r="AK53" s="17">
        <f t="shared" si="4"/>
        <v>31.94285714285714</v>
      </c>
      <c r="AL53" s="17">
        <f t="shared" si="5"/>
        <v>27.685714285714287</v>
      </c>
      <c r="AM53" s="17">
        <f t="shared" si="6"/>
        <v>13.399999999999999</v>
      </c>
      <c r="AN53" s="18">
        <f t="shared" si="7"/>
        <v>36.157142857142858</v>
      </c>
      <c r="AO53" s="17">
        <f t="shared" si="8"/>
        <v>27.485714285714288</v>
      </c>
      <c r="AP53" s="17">
        <f t="shared" si="9"/>
        <v>8.0571428571428569</v>
      </c>
    </row>
    <row r="54" spans="1:42" s="4" customFormat="1" x14ac:dyDescent="0.25">
      <c r="A54" s="4" t="s">
        <v>288</v>
      </c>
      <c r="B54" s="4" t="s">
        <v>296</v>
      </c>
      <c r="C54" s="4" t="s">
        <v>373</v>
      </c>
      <c r="E54" s="4" t="s">
        <v>12</v>
      </c>
      <c r="F54" s="4">
        <v>72</v>
      </c>
      <c r="G54" s="4">
        <v>0.6</v>
      </c>
      <c r="H54" s="4">
        <v>2.8</v>
      </c>
      <c r="I54" s="4">
        <v>2.7</v>
      </c>
      <c r="J54" s="4">
        <v>4.4000000000000004</v>
      </c>
      <c r="K54" s="4">
        <v>3.9</v>
      </c>
      <c r="L54" s="4">
        <v>1</v>
      </c>
      <c r="M54" s="4">
        <v>0.9</v>
      </c>
      <c r="N54" s="4">
        <v>2.8</v>
      </c>
      <c r="O54" s="4">
        <v>2.4</v>
      </c>
      <c r="P54" s="4">
        <v>3.7</v>
      </c>
      <c r="Q54" s="4">
        <v>2.2000000000000002</v>
      </c>
      <c r="R54" s="4">
        <v>1.2</v>
      </c>
      <c r="T54" s="10"/>
      <c r="V54" s="17">
        <f>G54*'IAA digestibility'!G54</f>
        <v>0.28199999999999997</v>
      </c>
      <c r="W54" s="17">
        <f>H54*'IAA digestibility'!H54</f>
        <v>1.456</v>
      </c>
      <c r="X54" s="17">
        <f>I54*'IAA digestibility'!I54</f>
        <v>1.3770000000000002</v>
      </c>
      <c r="Y54" s="17">
        <f>J54*'IAA digestibility'!J54</f>
        <v>2.2000000000000002</v>
      </c>
      <c r="Z54" s="17">
        <f>K54*'IAA digestibility'!K54</f>
        <v>2.028</v>
      </c>
      <c r="AA54" s="17">
        <f>L54*'IAA digestibility'!L54</f>
        <v>0.47</v>
      </c>
      <c r="AB54" s="17">
        <f>M54*'IAA digestibility'!M54</f>
        <v>0.46800000000000003</v>
      </c>
      <c r="AC54" s="17">
        <f>N54*'IAA digestibility'!N54</f>
        <v>1.456</v>
      </c>
      <c r="AD54" s="17">
        <f>O54*'IAA digestibility'!O54</f>
        <v>1.272</v>
      </c>
      <c r="AE54" s="17">
        <f>P54*'IAA digestibility'!P54</f>
        <v>1.9240000000000002</v>
      </c>
      <c r="AF54" s="17">
        <f>R54*'IAA digestibility'!R54</f>
        <v>0.56399999999999995</v>
      </c>
      <c r="AG54" s="25"/>
      <c r="AH54" s="17">
        <f t="shared" si="1"/>
        <v>3.9166666666666665</v>
      </c>
      <c r="AI54" s="17">
        <f t="shared" si="2"/>
        <v>20.222222222222221</v>
      </c>
      <c r="AJ54" s="17">
        <f t="shared" si="3"/>
        <v>19.125000000000004</v>
      </c>
      <c r="AK54" s="17">
        <f t="shared" si="4"/>
        <v>30.555555555555557</v>
      </c>
      <c r="AL54" s="17">
        <f t="shared" si="5"/>
        <v>28.166666666666668</v>
      </c>
      <c r="AM54" s="17">
        <f t="shared" si="6"/>
        <v>13.027777777777777</v>
      </c>
      <c r="AN54" s="18">
        <f t="shared" si="7"/>
        <v>37.888888888888886</v>
      </c>
      <c r="AO54" s="17">
        <f t="shared" si="8"/>
        <v>26.722222222222225</v>
      </c>
      <c r="AP54" s="17">
        <f t="shared" si="9"/>
        <v>7.833333333333333</v>
      </c>
    </row>
    <row r="55" spans="1:42" s="4" customFormat="1" x14ac:dyDescent="0.25">
      <c r="A55" s="4" t="s">
        <v>289</v>
      </c>
      <c r="B55" s="4" t="s">
        <v>296</v>
      </c>
      <c r="C55" s="4">
        <v>1</v>
      </c>
      <c r="E55" s="4" t="s">
        <v>12</v>
      </c>
      <c r="F55" s="4">
        <v>64</v>
      </c>
      <c r="G55" s="4">
        <v>0.6</v>
      </c>
      <c r="H55" s="4">
        <v>2.5</v>
      </c>
      <c r="I55" s="4">
        <v>2.4</v>
      </c>
      <c r="J55" s="4">
        <v>3.9</v>
      </c>
      <c r="K55" s="4">
        <v>3.5</v>
      </c>
      <c r="L55" s="4">
        <v>0.9</v>
      </c>
      <c r="M55" s="4">
        <v>0.8</v>
      </c>
      <c r="N55" s="4">
        <v>2.5</v>
      </c>
      <c r="O55" s="4">
        <v>2.1</v>
      </c>
      <c r="P55" s="4">
        <v>3.3</v>
      </c>
      <c r="Q55" s="4">
        <v>2</v>
      </c>
      <c r="R55" s="4">
        <v>1.1000000000000001</v>
      </c>
      <c r="T55" s="10"/>
      <c r="V55" s="17">
        <f>G55*'IAA digestibility'!G55</f>
        <v>0.28199999999999997</v>
      </c>
      <c r="W55" s="17">
        <f>H55*'IAA digestibility'!H55</f>
        <v>1.2</v>
      </c>
      <c r="X55" s="17">
        <f>I55*'IAA digestibility'!I55</f>
        <v>1.272</v>
      </c>
      <c r="Y55" s="17">
        <f>J55*'IAA digestibility'!J55</f>
        <v>1.95</v>
      </c>
      <c r="Z55" s="17">
        <f>K55*'IAA digestibility'!K55</f>
        <v>1.82</v>
      </c>
      <c r="AA55" s="17">
        <f>L55*'IAA digestibility'!L55</f>
        <v>0.46800000000000003</v>
      </c>
      <c r="AB55" s="17">
        <f>M55*'IAA digestibility'!M55</f>
        <v>0.41600000000000004</v>
      </c>
      <c r="AC55" s="17">
        <f>N55*'IAA digestibility'!N55</f>
        <v>1.2749999999999999</v>
      </c>
      <c r="AD55" s="17">
        <f>O55*'IAA digestibility'!O55</f>
        <v>1.0710000000000002</v>
      </c>
      <c r="AE55" s="17">
        <f>P55*'IAA digestibility'!P55</f>
        <v>1.6829999999999998</v>
      </c>
      <c r="AF55" s="17">
        <f>R55*'IAA digestibility'!R55</f>
        <v>0.56100000000000005</v>
      </c>
      <c r="AG55" s="25"/>
      <c r="AH55" s="17">
        <f t="shared" si="1"/>
        <v>4.40625</v>
      </c>
      <c r="AI55" s="17">
        <f t="shared" si="2"/>
        <v>18.75</v>
      </c>
      <c r="AJ55" s="17">
        <f t="shared" si="3"/>
        <v>19.875</v>
      </c>
      <c r="AK55" s="17">
        <f t="shared" si="4"/>
        <v>30.46875</v>
      </c>
      <c r="AL55" s="17">
        <f t="shared" si="5"/>
        <v>28.4375</v>
      </c>
      <c r="AM55" s="17">
        <f t="shared" si="6"/>
        <v>13.812500000000002</v>
      </c>
      <c r="AN55" s="18">
        <f t="shared" si="7"/>
        <v>36.65625</v>
      </c>
      <c r="AO55" s="17">
        <f t="shared" si="8"/>
        <v>26.296874999999996</v>
      </c>
      <c r="AP55" s="17">
        <f t="shared" si="9"/>
        <v>8.765625</v>
      </c>
    </row>
    <row r="56" spans="1:42" s="4" customFormat="1" x14ac:dyDescent="0.25">
      <c r="A56" s="4" t="s">
        <v>23</v>
      </c>
      <c r="B56" s="4" t="s">
        <v>296</v>
      </c>
      <c r="C56" s="4" t="s">
        <v>373</v>
      </c>
      <c r="E56" s="4" t="s">
        <v>12</v>
      </c>
      <c r="F56" s="4">
        <v>93</v>
      </c>
      <c r="G56" s="4">
        <v>1.4</v>
      </c>
      <c r="H56" s="4">
        <v>3.7</v>
      </c>
      <c r="I56" s="4">
        <v>4.4000000000000004</v>
      </c>
      <c r="J56" s="4">
        <v>6.4</v>
      </c>
      <c r="K56" s="4">
        <v>4.8</v>
      </c>
      <c r="L56" s="4">
        <v>1.6</v>
      </c>
      <c r="M56" s="4">
        <v>1.4</v>
      </c>
      <c r="N56" s="4">
        <v>4</v>
      </c>
      <c r="O56" s="4">
        <v>3.6</v>
      </c>
      <c r="P56" s="4">
        <v>4.7</v>
      </c>
      <c r="Q56" s="4">
        <v>4.8</v>
      </c>
      <c r="R56" s="4">
        <v>1.6</v>
      </c>
      <c r="T56" s="10"/>
      <c r="V56" s="17">
        <f>G56*'IAA digestibility'!G56</f>
        <v>0.65799999999999992</v>
      </c>
      <c r="W56" s="17">
        <f>H56*'IAA digestibility'!H56</f>
        <v>2.294</v>
      </c>
      <c r="X56" s="17">
        <f>I56*'IAA digestibility'!I56</f>
        <v>2.4640000000000004</v>
      </c>
      <c r="Y56" s="17">
        <f>J56*'IAA digestibility'!J56</f>
        <v>3.5840000000000005</v>
      </c>
      <c r="Z56" s="17">
        <f>K56*'IAA digestibility'!K56</f>
        <v>2.976</v>
      </c>
      <c r="AA56" s="17">
        <f>L56*'IAA digestibility'!L56</f>
        <v>1.056</v>
      </c>
      <c r="AB56" s="17">
        <f>M56*'IAA digestibility'!M56</f>
        <v>0.75600000000000001</v>
      </c>
      <c r="AC56" s="17">
        <f>N56*'IAA digestibility'!N56</f>
        <v>2.2799999999999998</v>
      </c>
      <c r="AD56" s="17">
        <f>O56*'IAA digestibility'!O56</f>
        <v>2.0880000000000001</v>
      </c>
      <c r="AE56" s="17">
        <f>P56*'IAA digestibility'!P56</f>
        <v>2.726</v>
      </c>
      <c r="AF56" s="17">
        <f>R56*'IAA digestibility'!R56</f>
        <v>0.84800000000000009</v>
      </c>
      <c r="AG56" s="25"/>
      <c r="AH56" s="17">
        <f t="shared" si="1"/>
        <v>7.0752688172043001</v>
      </c>
      <c r="AI56" s="17">
        <f t="shared" si="2"/>
        <v>24.666666666666668</v>
      </c>
      <c r="AJ56" s="17">
        <f t="shared" si="3"/>
        <v>26.49462365591398</v>
      </c>
      <c r="AK56" s="17">
        <f t="shared" si="4"/>
        <v>38.537634408602152</v>
      </c>
      <c r="AL56" s="17">
        <f t="shared" si="5"/>
        <v>32</v>
      </c>
      <c r="AM56" s="17">
        <f t="shared" si="6"/>
        <v>19.483870967741936</v>
      </c>
      <c r="AN56" s="18">
        <f t="shared" si="7"/>
        <v>46.967741935483872</v>
      </c>
      <c r="AO56" s="17">
        <f t="shared" si="8"/>
        <v>29.311827956989248</v>
      </c>
      <c r="AP56" s="17">
        <f t="shared" si="9"/>
        <v>9.1182795698924739</v>
      </c>
    </row>
    <row r="57" spans="1:42" s="4" customFormat="1" x14ac:dyDescent="0.25">
      <c r="A57" s="4" t="s">
        <v>290</v>
      </c>
      <c r="B57" s="4" t="s">
        <v>296</v>
      </c>
      <c r="C57" s="4" t="s">
        <v>373</v>
      </c>
      <c r="E57" s="4" t="s">
        <v>12</v>
      </c>
      <c r="F57" s="4">
        <v>156</v>
      </c>
      <c r="G57" s="4">
        <v>1.6</v>
      </c>
      <c r="H57" s="4">
        <v>5.9</v>
      </c>
      <c r="I57" s="4">
        <v>5.6</v>
      </c>
      <c r="J57" s="4">
        <v>9.6999999999999993</v>
      </c>
      <c r="K57" s="4">
        <v>8.6</v>
      </c>
      <c r="L57" s="4">
        <v>2.2000000000000002</v>
      </c>
      <c r="M57" s="4">
        <v>1.9</v>
      </c>
      <c r="N57" s="4">
        <v>6.2</v>
      </c>
      <c r="O57" s="4">
        <v>5.6</v>
      </c>
      <c r="P57" s="4">
        <v>7.5</v>
      </c>
      <c r="Q57" s="4">
        <v>5.3</v>
      </c>
      <c r="R57" s="4">
        <v>2.6</v>
      </c>
      <c r="T57" s="10"/>
      <c r="V57" s="17">
        <f>G57*'IAA digestibility'!G57</f>
        <v>0.81600000000000006</v>
      </c>
      <c r="W57" s="17">
        <f>H57*'IAA digestibility'!H57</f>
        <v>3.6580000000000004</v>
      </c>
      <c r="X57" s="17">
        <f>I57*'IAA digestibility'!I57</f>
        <v>3.2479999999999998</v>
      </c>
      <c r="Y57" s="17">
        <f>J57*'IAA digestibility'!J57</f>
        <v>5.6259999999999994</v>
      </c>
      <c r="Z57" s="17">
        <f>K57*'IAA digestibility'!K57</f>
        <v>5.4180000000000001</v>
      </c>
      <c r="AA57" s="17">
        <f>L57*'IAA digestibility'!L57</f>
        <v>1.4960000000000002</v>
      </c>
      <c r="AB57" s="17">
        <f>M57*'IAA digestibility'!M57</f>
        <v>0.93099999999999994</v>
      </c>
      <c r="AC57" s="17">
        <f>N57*'IAA digestibility'!N57</f>
        <v>3.5339999999999998</v>
      </c>
      <c r="AD57" s="17">
        <f>O57*'IAA digestibility'!O57</f>
        <v>3.1919999999999997</v>
      </c>
      <c r="AE57" s="17">
        <f>P57*'IAA digestibility'!P57</f>
        <v>4.3499999999999996</v>
      </c>
      <c r="AF57" s="17">
        <f>R57*'IAA digestibility'!R57</f>
        <v>1.482</v>
      </c>
      <c r="AG57" s="25"/>
      <c r="AH57" s="17">
        <f t="shared" si="1"/>
        <v>5.2307692307692317</v>
      </c>
      <c r="AI57" s="17">
        <f t="shared" si="2"/>
        <v>23.448717948717952</v>
      </c>
      <c r="AJ57" s="17">
        <f t="shared" si="3"/>
        <v>20.820512820512821</v>
      </c>
      <c r="AK57" s="17">
        <f t="shared" si="4"/>
        <v>36.064102564102562</v>
      </c>
      <c r="AL57" s="17">
        <f t="shared" si="5"/>
        <v>34.730769230769234</v>
      </c>
      <c r="AM57" s="17">
        <f t="shared" si="6"/>
        <v>15.557692307692308</v>
      </c>
      <c r="AN57" s="18">
        <f t="shared" si="7"/>
        <v>43.115384615384613</v>
      </c>
      <c r="AO57" s="17">
        <f t="shared" si="8"/>
        <v>27.884615384615383</v>
      </c>
      <c r="AP57" s="17">
        <f t="shared" si="9"/>
        <v>9.5</v>
      </c>
    </row>
    <row r="58" spans="1:42" s="4" customFormat="1" x14ac:dyDescent="0.25">
      <c r="A58" s="4" t="s">
        <v>292</v>
      </c>
      <c r="B58" s="4" t="s">
        <v>296</v>
      </c>
      <c r="C58" s="4" t="s">
        <v>373</v>
      </c>
      <c r="E58" s="4" t="s">
        <v>12</v>
      </c>
      <c r="F58" s="4">
        <v>135</v>
      </c>
      <c r="G58" s="4">
        <v>1.4</v>
      </c>
      <c r="H58" s="4">
        <v>5.0999999999999996</v>
      </c>
      <c r="I58" s="4">
        <v>4.9000000000000004</v>
      </c>
      <c r="J58" s="4">
        <v>8.4</v>
      </c>
      <c r="K58" s="4">
        <v>7.4</v>
      </c>
      <c r="L58" s="4">
        <v>1.9</v>
      </c>
      <c r="M58" s="4">
        <v>1.6</v>
      </c>
      <c r="N58" s="4">
        <v>5.4</v>
      </c>
      <c r="O58" s="4">
        <v>4.9000000000000004</v>
      </c>
      <c r="P58" s="4">
        <v>6.5</v>
      </c>
      <c r="Q58" s="4">
        <v>4.5999999999999996</v>
      </c>
      <c r="R58" s="4">
        <v>2.2999999999999998</v>
      </c>
      <c r="T58" s="10"/>
      <c r="V58" s="17">
        <f>G58*'IAA digestibility'!G58</f>
        <v>0.65799999999999992</v>
      </c>
      <c r="W58" s="17">
        <f>H58*'IAA digestibility'!H58</f>
        <v>3.1619999999999999</v>
      </c>
      <c r="X58" s="17">
        <f>I58*'IAA digestibility'!I58</f>
        <v>2.8420000000000001</v>
      </c>
      <c r="Y58" s="17">
        <f>J58*'IAA digestibility'!J58</f>
        <v>4.8719999999999999</v>
      </c>
      <c r="Z58" s="17">
        <f>K58*'IAA digestibility'!K58</f>
        <v>4.7360000000000007</v>
      </c>
      <c r="AA58" s="17">
        <f>L58*'IAA digestibility'!L58</f>
        <v>1.3299999999999998</v>
      </c>
      <c r="AB58" s="17">
        <f>M58*'IAA digestibility'!M58</f>
        <v>0.8</v>
      </c>
      <c r="AC58" s="17">
        <f>N58*'IAA digestibility'!N58</f>
        <v>3.1320000000000001</v>
      </c>
      <c r="AD58" s="17">
        <f>O58*'IAA digestibility'!O58</f>
        <v>2.7440000000000007</v>
      </c>
      <c r="AE58" s="17">
        <f>P58*'IAA digestibility'!P58</f>
        <v>3.7699999999999996</v>
      </c>
      <c r="AF58" s="17">
        <f>R58*'IAA digestibility'!R58</f>
        <v>1.4029999999999998</v>
      </c>
      <c r="AG58" s="25"/>
      <c r="AH58" s="17">
        <f t="shared" si="1"/>
        <v>4.8740740740740733</v>
      </c>
      <c r="AI58" s="17">
        <f t="shared" si="2"/>
        <v>23.422222222222224</v>
      </c>
      <c r="AJ58" s="17">
        <f t="shared" si="3"/>
        <v>21.051851851851854</v>
      </c>
      <c r="AK58" s="17">
        <f t="shared" si="4"/>
        <v>36.088888888888889</v>
      </c>
      <c r="AL58" s="17">
        <f t="shared" si="5"/>
        <v>35.081481481481482</v>
      </c>
      <c r="AM58" s="17">
        <f t="shared" si="6"/>
        <v>15.777777777777777</v>
      </c>
      <c r="AN58" s="18">
        <f t="shared" si="7"/>
        <v>43.525925925925932</v>
      </c>
      <c r="AO58" s="17">
        <f t="shared" si="8"/>
        <v>27.925925925925924</v>
      </c>
      <c r="AP58" s="17">
        <f t="shared" si="9"/>
        <v>10.392592592592591</v>
      </c>
    </row>
    <row r="59" spans="1:42" s="4" customFormat="1" x14ac:dyDescent="0.25">
      <c r="A59" s="4" t="s">
        <v>291</v>
      </c>
      <c r="B59" s="4" t="s">
        <v>296</v>
      </c>
      <c r="C59" s="4" t="s">
        <v>373</v>
      </c>
      <c r="E59" s="4" t="s">
        <v>12</v>
      </c>
      <c r="F59" s="4">
        <v>115</v>
      </c>
      <c r="G59" s="4">
        <v>1.1000000000000001</v>
      </c>
      <c r="H59" s="4">
        <v>4.4000000000000004</v>
      </c>
      <c r="I59" s="4">
        <v>4.0999999999999996</v>
      </c>
      <c r="J59" s="4">
        <v>7.1</v>
      </c>
      <c r="K59" s="4">
        <v>6.3</v>
      </c>
      <c r="L59" s="4">
        <v>1.6</v>
      </c>
      <c r="M59" s="4">
        <v>1.4</v>
      </c>
      <c r="N59" s="4">
        <v>4.5999999999999996</v>
      </c>
      <c r="O59" s="4">
        <v>4.0999999999999996</v>
      </c>
      <c r="P59" s="4">
        <v>5.5</v>
      </c>
      <c r="Q59" s="4">
        <v>3.9</v>
      </c>
      <c r="R59" s="4">
        <v>1.9</v>
      </c>
      <c r="T59" s="10"/>
      <c r="V59" s="17">
        <f>G59*'IAA digestibility'!G59</f>
        <v>0.51700000000000002</v>
      </c>
      <c r="W59" s="17">
        <f>H59*'IAA digestibility'!H59</f>
        <v>2.7720000000000002</v>
      </c>
      <c r="X59" s="17">
        <f>I59*'IAA digestibility'!I59</f>
        <v>2.4189999999999996</v>
      </c>
      <c r="Y59" s="17">
        <f>J59*'IAA digestibility'!J59</f>
        <v>4.0469999999999997</v>
      </c>
      <c r="Z59" s="17">
        <f>K59*'IAA digestibility'!K59</f>
        <v>3.9059999999999997</v>
      </c>
      <c r="AA59" s="17">
        <f>L59*'IAA digestibility'!L59</f>
        <v>1.024</v>
      </c>
      <c r="AB59" s="17">
        <f>M59*'IAA digestibility'!M59</f>
        <v>0.65799999999999992</v>
      </c>
      <c r="AC59" s="17">
        <f>N59*'IAA digestibility'!N59</f>
        <v>2.6679999999999997</v>
      </c>
      <c r="AD59" s="17">
        <f>O59*'IAA digestibility'!O59</f>
        <v>2.3369999999999997</v>
      </c>
      <c r="AE59" s="17">
        <f>P59*'IAA digestibility'!P59</f>
        <v>3.1349999999999998</v>
      </c>
      <c r="AF59" s="17">
        <f>R59*'IAA digestibility'!R59</f>
        <v>1.1019999999999999</v>
      </c>
      <c r="AG59" s="25"/>
      <c r="AH59" s="17">
        <f t="shared" si="1"/>
        <v>4.4956521739130437</v>
      </c>
      <c r="AI59" s="17">
        <f t="shared" si="2"/>
        <v>24.104347826086958</v>
      </c>
      <c r="AJ59" s="17">
        <f t="shared" si="3"/>
        <v>21.034782608695647</v>
      </c>
      <c r="AK59" s="17">
        <f t="shared" si="4"/>
        <v>35.19130434782609</v>
      </c>
      <c r="AL59" s="17">
        <f t="shared" si="5"/>
        <v>33.965217391304343</v>
      </c>
      <c r="AM59" s="17">
        <f t="shared" si="6"/>
        <v>14.626086956521739</v>
      </c>
      <c r="AN59" s="18">
        <f t="shared" si="7"/>
        <v>43.521739130434774</v>
      </c>
      <c r="AO59" s="17">
        <f t="shared" si="8"/>
        <v>27.260869565217391</v>
      </c>
      <c r="AP59" s="17">
        <f t="shared" si="9"/>
        <v>9.5826086956521728</v>
      </c>
    </row>
    <row r="60" spans="1:42" s="4" customFormat="1" x14ac:dyDescent="0.25">
      <c r="A60" s="4" t="s">
        <v>293</v>
      </c>
      <c r="B60" s="4" t="s">
        <v>296</v>
      </c>
      <c r="C60" s="4" t="s">
        <v>373</v>
      </c>
      <c r="E60" s="4" t="s">
        <v>12</v>
      </c>
      <c r="F60" s="4">
        <v>102</v>
      </c>
      <c r="G60" s="4">
        <v>1</v>
      </c>
      <c r="H60" s="4">
        <v>3.9</v>
      </c>
      <c r="I60" s="4">
        <v>3.7</v>
      </c>
      <c r="J60" s="4">
        <v>6.3</v>
      </c>
      <c r="K60" s="4">
        <v>5.6</v>
      </c>
      <c r="L60" s="4">
        <v>1.4</v>
      </c>
      <c r="M60" s="4">
        <v>1.2</v>
      </c>
      <c r="N60" s="4">
        <v>4.0999999999999996</v>
      </c>
      <c r="O60" s="4">
        <v>3.7</v>
      </c>
      <c r="P60" s="4">
        <v>4.9000000000000004</v>
      </c>
      <c r="Q60" s="4">
        <v>3.5</v>
      </c>
      <c r="R60" s="4">
        <v>1.7</v>
      </c>
      <c r="T60" s="10"/>
      <c r="V60" s="17">
        <f>G60*'IAA digestibility'!G60</f>
        <v>0.52</v>
      </c>
      <c r="W60" s="17">
        <f>H60*'IAA digestibility'!H60</f>
        <v>2.379</v>
      </c>
      <c r="X60" s="17">
        <f>I60*'IAA digestibility'!I60</f>
        <v>2.0720000000000005</v>
      </c>
      <c r="Y60" s="17">
        <f>J60*'IAA digestibility'!J60</f>
        <v>3.7169999999999996</v>
      </c>
      <c r="Z60" s="17">
        <f>K60*'IAA digestibility'!K60</f>
        <v>3.5279999999999996</v>
      </c>
      <c r="AA60" s="17">
        <f>L60*'IAA digestibility'!L60</f>
        <v>0.86799999999999999</v>
      </c>
      <c r="AB60" s="17">
        <f>M60*'IAA digestibility'!M60</f>
        <v>0.61199999999999999</v>
      </c>
      <c r="AC60" s="17">
        <f>N60*'IAA digestibility'!N60</f>
        <v>2.2959999999999998</v>
      </c>
      <c r="AD60" s="17">
        <f>O60*'IAA digestibility'!O60</f>
        <v>2.1459999999999999</v>
      </c>
      <c r="AE60" s="17">
        <f>P60*'IAA digestibility'!P60</f>
        <v>2.8420000000000001</v>
      </c>
      <c r="AF60" s="17">
        <f>R60*'IAA digestibility'!R60</f>
        <v>0.95200000000000007</v>
      </c>
      <c r="AG60" s="25"/>
      <c r="AH60" s="17">
        <f t="shared" si="1"/>
        <v>5.098039215686275</v>
      </c>
      <c r="AI60" s="17">
        <f t="shared" si="2"/>
        <v>23.323529411764707</v>
      </c>
      <c r="AJ60" s="17">
        <f t="shared" si="3"/>
        <v>20.313725490196084</v>
      </c>
      <c r="AK60" s="17">
        <f t="shared" si="4"/>
        <v>36.441176470588232</v>
      </c>
      <c r="AL60" s="17">
        <f t="shared" si="5"/>
        <v>34.588235294117645</v>
      </c>
      <c r="AM60" s="17">
        <f t="shared" si="6"/>
        <v>14.509803921568627</v>
      </c>
      <c r="AN60" s="18">
        <f t="shared" si="7"/>
        <v>43.549019607843135</v>
      </c>
      <c r="AO60" s="17">
        <f t="shared" si="8"/>
        <v>27.862745098039216</v>
      </c>
      <c r="AP60" s="17">
        <f t="shared" si="9"/>
        <v>9.3333333333333339</v>
      </c>
    </row>
    <row r="61" spans="1:42" s="4" customFormat="1" x14ac:dyDescent="0.25">
      <c r="A61" s="4" t="s">
        <v>157</v>
      </c>
      <c r="B61" s="4" t="s">
        <v>296</v>
      </c>
      <c r="C61" s="4" t="s">
        <v>373</v>
      </c>
      <c r="E61" s="4" t="s">
        <v>12</v>
      </c>
      <c r="F61" s="4">
        <v>40</v>
      </c>
      <c r="G61" s="4">
        <v>0.4</v>
      </c>
      <c r="H61" s="4">
        <v>1.3</v>
      </c>
      <c r="I61" s="4">
        <v>1.2</v>
      </c>
      <c r="J61" s="4">
        <v>2.2000000000000002</v>
      </c>
      <c r="K61" s="4">
        <v>1.6</v>
      </c>
      <c r="L61" s="4">
        <v>0.6</v>
      </c>
      <c r="M61" s="4">
        <v>0.6</v>
      </c>
      <c r="N61" s="4">
        <v>1.6</v>
      </c>
      <c r="O61" s="4">
        <v>1.1000000000000001</v>
      </c>
      <c r="P61" s="4">
        <v>1.6</v>
      </c>
      <c r="Q61" s="4">
        <v>1.6</v>
      </c>
      <c r="R61" s="4">
        <v>0.6</v>
      </c>
      <c r="T61" s="10"/>
      <c r="V61" s="17">
        <f>G61*'IAA digestibility'!G61</f>
        <v>0.188</v>
      </c>
      <c r="W61" s="17">
        <f>H61*'IAA digestibility'!H61</f>
        <v>0.66300000000000003</v>
      </c>
      <c r="X61" s="17">
        <f>I61*'IAA digestibility'!I61</f>
        <v>0.66</v>
      </c>
      <c r="Y61" s="17">
        <f>J61*'IAA digestibility'!J61</f>
        <v>1.1220000000000001</v>
      </c>
      <c r="Z61" s="17">
        <f>K61*'IAA digestibility'!K61</f>
        <v>0.84800000000000009</v>
      </c>
      <c r="AA61" s="17">
        <f>L61*'IAA digestibility'!L61</f>
        <v>0.38400000000000001</v>
      </c>
      <c r="AB61" s="17">
        <f>M61*'IAA digestibility'!M61</f>
        <v>0.28199999999999997</v>
      </c>
      <c r="AC61" s="17">
        <f>N61*'IAA digestibility'!N61</f>
        <v>0.84800000000000009</v>
      </c>
      <c r="AD61" s="17">
        <f>O61*'IAA digestibility'!O61</f>
        <v>0.56100000000000005</v>
      </c>
      <c r="AE61" s="17">
        <f>P61*'IAA digestibility'!P61</f>
        <v>0.752</v>
      </c>
      <c r="AF61" s="17">
        <f>R61*'IAA digestibility'!R61</f>
        <v>0.28199999999999997</v>
      </c>
      <c r="AG61" s="25"/>
      <c r="AH61" s="17">
        <f t="shared" si="1"/>
        <v>4.7</v>
      </c>
      <c r="AI61" s="17">
        <f t="shared" si="2"/>
        <v>16.574999999999999</v>
      </c>
      <c r="AJ61" s="17">
        <f t="shared" si="3"/>
        <v>16.5</v>
      </c>
      <c r="AK61" s="17">
        <f t="shared" si="4"/>
        <v>28.05</v>
      </c>
      <c r="AL61" s="17">
        <f t="shared" si="5"/>
        <v>21.200000000000003</v>
      </c>
      <c r="AM61" s="17">
        <f t="shared" si="6"/>
        <v>16.649999999999999</v>
      </c>
      <c r="AN61" s="18">
        <f t="shared" si="7"/>
        <v>35.225000000000009</v>
      </c>
      <c r="AO61" s="17">
        <f t="shared" si="8"/>
        <v>18.8</v>
      </c>
      <c r="AP61" s="17">
        <f t="shared" si="9"/>
        <v>7.0499999999999989</v>
      </c>
    </row>
    <row r="62" spans="1:42" s="4" customFormat="1" x14ac:dyDescent="0.25">
      <c r="A62" s="4" t="s">
        <v>155</v>
      </c>
      <c r="B62" s="4" t="s">
        <v>296</v>
      </c>
      <c r="C62" s="4">
        <v>2</v>
      </c>
      <c r="E62" s="4" t="s">
        <v>12</v>
      </c>
      <c r="F62" s="4">
        <v>51</v>
      </c>
      <c r="G62" s="4">
        <v>0.9</v>
      </c>
      <c r="H62" s="4">
        <v>2.4</v>
      </c>
      <c r="I62" s="4">
        <v>2.1</v>
      </c>
      <c r="J62" s="4">
        <v>2.7</v>
      </c>
      <c r="K62" s="4">
        <v>1.9</v>
      </c>
      <c r="L62" s="4">
        <v>0.6</v>
      </c>
      <c r="M62" s="4">
        <v>0.8</v>
      </c>
      <c r="N62" s="4">
        <v>3.1</v>
      </c>
      <c r="O62" s="4">
        <v>2</v>
      </c>
      <c r="P62" s="4">
        <v>2.7</v>
      </c>
      <c r="Q62" s="4">
        <v>1.7</v>
      </c>
      <c r="R62" s="4">
        <v>1.3</v>
      </c>
      <c r="S62" s="4" t="s">
        <v>156</v>
      </c>
      <c r="T62" s="10"/>
      <c r="V62" s="17">
        <f>G62*'IAA digestibility'!G62</f>
        <v>0.75600000000000001</v>
      </c>
      <c r="W62" s="17">
        <f>H62*'IAA digestibility'!H62</f>
        <v>1.9919999999999998</v>
      </c>
      <c r="X62" s="17">
        <f>I62*'IAA digestibility'!I62</f>
        <v>1.7849999999999999</v>
      </c>
      <c r="Y62" s="17">
        <f>J62*'IAA digestibility'!J62</f>
        <v>2.3490000000000002</v>
      </c>
      <c r="Z62" s="17">
        <f>K62*'IAA digestibility'!K62</f>
        <v>1.615</v>
      </c>
      <c r="AA62" s="17">
        <f>L62*'IAA digestibility'!L62</f>
        <v>0.52800000000000002</v>
      </c>
      <c r="AB62" s="17">
        <f>M62*'IAA digestibility'!M62</f>
        <v>0.66400000000000003</v>
      </c>
      <c r="AC62" s="17">
        <f>N62*'IAA digestibility'!N62</f>
        <v>2.7280000000000002</v>
      </c>
      <c r="AD62" s="17">
        <f>O62*'IAA digestibility'!O62</f>
        <v>1.74</v>
      </c>
      <c r="AE62" s="17">
        <f>P62*'IAA digestibility'!P62</f>
        <v>2.2949999999999999</v>
      </c>
      <c r="AF62" s="17">
        <f>R62*'IAA digestibility'!R62</f>
        <v>1.131</v>
      </c>
      <c r="AG62" s="25"/>
      <c r="AH62" s="17">
        <f t="shared" si="1"/>
        <v>14.823529411764707</v>
      </c>
      <c r="AI62" s="17">
        <f t="shared" si="2"/>
        <v>39.058823529411754</v>
      </c>
      <c r="AJ62" s="17">
        <f t="shared" si="3"/>
        <v>34.999999999999993</v>
      </c>
      <c r="AK62" s="17">
        <f t="shared" si="4"/>
        <v>46.058823529411768</v>
      </c>
      <c r="AL62" s="17">
        <f t="shared" si="5"/>
        <v>31.666666666666668</v>
      </c>
      <c r="AM62" s="17">
        <f t="shared" si="6"/>
        <v>23.372549019607845</v>
      </c>
      <c r="AN62" s="18">
        <f t="shared" si="7"/>
        <v>87.607843137254903</v>
      </c>
      <c r="AO62" s="17">
        <f t="shared" si="8"/>
        <v>45</v>
      </c>
      <c r="AP62" s="17">
        <f t="shared" si="9"/>
        <v>22.176470588235293</v>
      </c>
    </row>
    <row r="63" spans="1:42" s="6" customFormat="1" x14ac:dyDescent="0.25">
      <c r="V63" s="31"/>
      <c r="W63" s="31"/>
      <c r="X63" s="31"/>
      <c r="Y63" s="31"/>
      <c r="Z63" s="31"/>
      <c r="AA63" s="31"/>
      <c r="AB63" s="31"/>
      <c r="AC63" s="31"/>
      <c r="AD63" s="31"/>
      <c r="AE63" s="31"/>
      <c r="AF63" s="31"/>
      <c r="AG63" s="31"/>
      <c r="AH63" s="31"/>
      <c r="AI63" s="31"/>
      <c r="AJ63" s="31"/>
      <c r="AK63" s="31"/>
      <c r="AL63" s="31"/>
      <c r="AM63" s="31"/>
      <c r="AN63" s="30"/>
      <c r="AO63" s="31"/>
      <c r="AP63" s="31"/>
    </row>
    <row r="64" spans="1:42" s="4" customFormat="1" x14ac:dyDescent="0.25">
      <c r="A64" s="4" t="s">
        <v>250</v>
      </c>
      <c r="B64" s="4" t="s">
        <v>298</v>
      </c>
      <c r="C64" s="4">
        <v>9</v>
      </c>
      <c r="E64" s="4" t="s">
        <v>240</v>
      </c>
      <c r="F64" s="4">
        <v>255</v>
      </c>
      <c r="G64" s="4">
        <v>2.2000000000000002</v>
      </c>
      <c r="H64" s="4">
        <v>6.6</v>
      </c>
      <c r="I64" s="4">
        <v>7.7</v>
      </c>
      <c r="J64" s="4">
        <v>21.8</v>
      </c>
      <c r="K64" s="4">
        <v>13.2</v>
      </c>
      <c r="L64" s="4">
        <v>3.1</v>
      </c>
      <c r="M64" s="4">
        <v>3.8</v>
      </c>
      <c r="N64" s="4">
        <v>7.8</v>
      </c>
      <c r="O64" s="4">
        <v>4</v>
      </c>
      <c r="P64" s="4">
        <v>9.1999999999999993</v>
      </c>
      <c r="Q64" s="4">
        <v>12.8</v>
      </c>
      <c r="R64" s="4">
        <v>7.3</v>
      </c>
      <c r="T64" s="10"/>
      <c r="V64" s="17">
        <f>G64*'IAA digestibility'!G64</f>
        <v>1.6940000000000002</v>
      </c>
      <c r="W64" s="17">
        <f>H64*'IAA digestibility'!H64</f>
        <v>5.7155999999999993</v>
      </c>
      <c r="X64" s="17">
        <f>I64*'IAA digestibility'!I64</f>
        <v>6.8222000000000005</v>
      </c>
      <c r="Y64" s="17">
        <f>J64*'IAA digestibility'!J64</f>
        <v>20.470199999999998</v>
      </c>
      <c r="Z64" s="17">
        <f>K64*'IAA digestibility'!K64</f>
        <v>11.8668</v>
      </c>
      <c r="AA64" s="17">
        <f>L64*'IAA digestibility'!L64</f>
        <v>2.5853999999999999</v>
      </c>
      <c r="AB64" s="17">
        <f>M64*'IAA digestibility'!M64</f>
        <v>2.0102000000000002</v>
      </c>
      <c r="AC64" s="17">
        <f>N64*'IAA digestibility'!N64</f>
        <v>6.9732000000000003</v>
      </c>
      <c r="AD64" s="17">
        <f>O64*'IAA digestibility'!O64</f>
        <v>3.4039999999999999</v>
      </c>
      <c r="AE64" s="17">
        <f>P64*'IAA digestibility'!P64</f>
        <v>8.2064000000000004</v>
      </c>
      <c r="AF64" s="17">
        <f>R64*'IAA digestibility'!R64</f>
        <v>6.4897</v>
      </c>
      <c r="AG64" s="25"/>
      <c r="AH64" s="17">
        <f t="shared" si="1"/>
        <v>6.6431372549019621</v>
      </c>
      <c r="AI64" s="17">
        <f t="shared" si="2"/>
        <v>22.41411764705882</v>
      </c>
      <c r="AJ64" s="17">
        <f t="shared" si="3"/>
        <v>26.753725490196082</v>
      </c>
      <c r="AK64" s="17">
        <f t="shared" si="4"/>
        <v>80.27529411764705</v>
      </c>
      <c r="AL64" s="17">
        <f t="shared" si="5"/>
        <v>46.536470588235289</v>
      </c>
      <c r="AM64" s="17">
        <f t="shared" si="6"/>
        <v>18.021960784313727</v>
      </c>
      <c r="AN64" s="18">
        <f t="shared" si="7"/>
        <v>40.694901960784314</v>
      </c>
      <c r="AO64" s="17">
        <f t="shared" si="8"/>
        <v>32.181960784313731</v>
      </c>
      <c r="AP64" s="17">
        <f t="shared" si="9"/>
        <v>25.449803921568627</v>
      </c>
    </row>
    <row r="65" spans="1:43" s="4" customFormat="1" x14ac:dyDescent="0.25">
      <c r="A65" s="4" t="s">
        <v>175</v>
      </c>
      <c r="B65" s="4" t="s">
        <v>298</v>
      </c>
      <c r="C65" s="4">
        <v>2</v>
      </c>
      <c r="E65" s="4" t="s">
        <v>12</v>
      </c>
      <c r="F65" s="4">
        <v>566</v>
      </c>
      <c r="G65" s="4">
        <v>8.6999999999999993</v>
      </c>
      <c r="H65" s="4">
        <v>27.2</v>
      </c>
      <c r="I65" s="4">
        <v>28.6</v>
      </c>
      <c r="J65" s="4">
        <v>50.1</v>
      </c>
      <c r="K65" s="4">
        <v>34.200000000000003</v>
      </c>
      <c r="L65" s="4">
        <v>11.6</v>
      </c>
      <c r="M65" s="4">
        <v>5.4</v>
      </c>
      <c r="N65" s="4">
        <v>33.700000000000003</v>
      </c>
      <c r="O65" s="4">
        <v>24.2</v>
      </c>
      <c r="P65" s="4">
        <v>33.9</v>
      </c>
      <c r="Q65" s="4">
        <v>34</v>
      </c>
      <c r="R65" s="4">
        <v>14.3</v>
      </c>
      <c r="S65" s="4" t="s">
        <v>176</v>
      </c>
      <c r="T65" s="10"/>
      <c r="V65" s="17">
        <f>G65*'IAA digestibility'!G65</f>
        <v>6.8729999999999993</v>
      </c>
      <c r="W65" s="17">
        <f>H65*'IAA digestibility'!H65</f>
        <v>21.488</v>
      </c>
      <c r="X65" s="17">
        <f>I65*'IAA digestibility'!I65</f>
        <v>23.451999999999998</v>
      </c>
      <c r="Y65" s="17">
        <f>J65*'IAA digestibility'!J65</f>
        <v>42.084000000000003</v>
      </c>
      <c r="Z65" s="17">
        <f>K65*'IAA digestibility'!K65</f>
        <v>27.360000000000003</v>
      </c>
      <c r="AA65" s="17">
        <f>L65*'IAA digestibility'!L65</f>
        <v>9.86</v>
      </c>
      <c r="AB65" s="17">
        <f>M65*'IAA digestibility'!M65</f>
        <v>4.2120000000000006</v>
      </c>
      <c r="AC65" s="17">
        <f>N65*'IAA digestibility'!N65</f>
        <v>28.645000000000003</v>
      </c>
      <c r="AD65" s="17">
        <f>O65*'IAA digestibility'!O65</f>
        <v>20.327999999999999</v>
      </c>
      <c r="AE65" s="17">
        <f>P65*'IAA digestibility'!P65</f>
        <v>27.459</v>
      </c>
      <c r="AF65" s="17">
        <f>R65*'IAA digestibility'!R65</f>
        <v>12.012</v>
      </c>
      <c r="AG65" s="25"/>
      <c r="AH65" s="17">
        <f t="shared" si="1"/>
        <v>12.143109540636042</v>
      </c>
      <c r="AI65" s="17">
        <f t="shared" si="2"/>
        <v>37.964664310954063</v>
      </c>
      <c r="AJ65" s="17">
        <f t="shared" si="3"/>
        <v>41.434628975265014</v>
      </c>
      <c r="AK65" s="17">
        <f t="shared" si="4"/>
        <v>74.353356890459366</v>
      </c>
      <c r="AL65" s="17">
        <f t="shared" si="5"/>
        <v>48.339222614840992</v>
      </c>
      <c r="AM65" s="17">
        <f t="shared" si="6"/>
        <v>24.862190812720847</v>
      </c>
      <c r="AN65" s="18">
        <f t="shared" si="7"/>
        <v>86.524734982332149</v>
      </c>
      <c r="AO65" s="17">
        <f t="shared" si="8"/>
        <v>48.514134275618375</v>
      </c>
      <c r="AP65" s="17">
        <f t="shared" si="9"/>
        <v>21.222614840989401</v>
      </c>
    </row>
    <row r="66" spans="1:43" s="4" customFormat="1" x14ac:dyDescent="0.25">
      <c r="A66" s="4" t="s">
        <v>177</v>
      </c>
      <c r="B66" s="4" t="s">
        <v>298</v>
      </c>
      <c r="C66" s="4">
        <v>2</v>
      </c>
      <c r="E66" s="4" t="s">
        <v>12</v>
      </c>
      <c r="F66" s="4">
        <v>170</v>
      </c>
      <c r="G66" s="4">
        <v>2.4</v>
      </c>
      <c r="H66" s="4">
        <v>6.1</v>
      </c>
      <c r="I66" s="4">
        <v>6.5</v>
      </c>
      <c r="J66" s="4">
        <v>11.5</v>
      </c>
      <c r="K66" s="4">
        <v>7.2</v>
      </c>
      <c r="L66" s="4">
        <v>1.7</v>
      </c>
      <c r="M66" s="4">
        <v>2.2000000000000002</v>
      </c>
      <c r="N66" s="4">
        <v>7.3</v>
      </c>
      <c r="O66" s="4">
        <v>4.8</v>
      </c>
      <c r="P66" s="4">
        <v>10.3</v>
      </c>
      <c r="Q66" s="4">
        <v>6.3</v>
      </c>
      <c r="R66" s="4">
        <v>2.2999999999999998</v>
      </c>
      <c r="S66" s="4" t="s">
        <v>178</v>
      </c>
      <c r="T66" s="10"/>
      <c r="V66" s="17">
        <f>G66*'IAA digestibility'!G66</f>
        <v>1.1040000000000001</v>
      </c>
      <c r="W66" s="17">
        <f>H66*'IAA digestibility'!H66</f>
        <v>3.843</v>
      </c>
      <c r="X66" s="17">
        <f>I66*'IAA digestibility'!I66</f>
        <v>4.42</v>
      </c>
      <c r="Y66" s="17">
        <f>J66*'IAA digestibility'!J66</f>
        <v>8.2799999999999994</v>
      </c>
      <c r="Z66" s="17">
        <f>K66*'IAA digestibility'!K66</f>
        <v>3.9600000000000004</v>
      </c>
      <c r="AA66" s="17">
        <f>L66*'IAA digestibility'!L66</f>
        <v>1.2749999999999999</v>
      </c>
      <c r="AB66" s="17">
        <f>M66*'IAA digestibility'!M66</f>
        <v>0.77</v>
      </c>
      <c r="AC66" s="17">
        <f>N66*'IAA digestibility'!N66</f>
        <v>5.2559999999999993</v>
      </c>
      <c r="AD66" s="17">
        <f>O66*'IAA digestibility'!O66</f>
        <v>3.1680000000000001</v>
      </c>
      <c r="AE66" s="17">
        <f>P66*'IAA digestibility'!P66</f>
        <v>6.9010000000000007</v>
      </c>
      <c r="AF66" s="17">
        <f>R66*'IAA digestibility'!R66</f>
        <v>1.3109999999999997</v>
      </c>
      <c r="AG66" s="25"/>
      <c r="AH66" s="17">
        <f t="shared" si="1"/>
        <v>6.4941176470588236</v>
      </c>
      <c r="AI66" s="17">
        <f t="shared" si="2"/>
        <v>22.605882352941176</v>
      </c>
      <c r="AJ66" s="17">
        <f t="shared" si="3"/>
        <v>26</v>
      </c>
      <c r="AK66" s="17">
        <f t="shared" si="4"/>
        <v>48.705882352941174</v>
      </c>
      <c r="AL66" s="17">
        <f t="shared" si="5"/>
        <v>23.294117647058826</v>
      </c>
      <c r="AM66" s="17">
        <f t="shared" si="6"/>
        <v>12.029411764705882</v>
      </c>
      <c r="AN66" s="18">
        <f t="shared" si="7"/>
        <v>49.552941176470583</v>
      </c>
      <c r="AO66" s="17">
        <f t="shared" si="8"/>
        <v>40.59411764705883</v>
      </c>
      <c r="AP66" s="17">
        <f t="shared" si="9"/>
        <v>7.7117647058823513</v>
      </c>
    </row>
    <row r="67" spans="1:43" s="4" customFormat="1" x14ac:dyDescent="0.25">
      <c r="A67" s="4" t="s">
        <v>179</v>
      </c>
      <c r="B67" s="4" t="s">
        <v>298</v>
      </c>
      <c r="C67" s="4">
        <v>2</v>
      </c>
      <c r="E67" s="4" t="s">
        <v>12</v>
      </c>
      <c r="F67" s="4">
        <v>264</v>
      </c>
      <c r="G67" s="4">
        <v>3.9</v>
      </c>
      <c r="H67" s="4">
        <v>11.1</v>
      </c>
      <c r="I67" s="4">
        <v>11.7</v>
      </c>
      <c r="J67" s="4">
        <v>20.7</v>
      </c>
      <c r="K67" s="4">
        <v>13.6</v>
      </c>
      <c r="L67" s="4">
        <v>4.0999999999999996</v>
      </c>
      <c r="M67" s="4">
        <v>3</v>
      </c>
      <c r="N67" s="4">
        <v>13.6</v>
      </c>
      <c r="O67" s="4">
        <v>9.4</v>
      </c>
      <c r="P67" s="4">
        <v>15.9</v>
      </c>
      <c r="Q67" s="4">
        <v>12.9</v>
      </c>
      <c r="R67" s="4">
        <v>5.0999999999999996</v>
      </c>
      <c r="S67" s="4" t="s">
        <v>180</v>
      </c>
      <c r="T67" s="10"/>
      <c r="V67" s="17">
        <f>G67*'IAA digestibility'!G67</f>
        <v>1.794</v>
      </c>
      <c r="W67" s="17">
        <f>H67*'IAA digestibility'!H67</f>
        <v>7.9919999999999991</v>
      </c>
      <c r="X67" s="17">
        <f>I67*'IAA digestibility'!I67</f>
        <v>8.7749999999999986</v>
      </c>
      <c r="Y67" s="17">
        <f>J67*'IAA digestibility'!J67</f>
        <v>15.939</v>
      </c>
      <c r="Z67" s="17">
        <f>K67*'IAA digestibility'!K67</f>
        <v>9.7919999999999998</v>
      </c>
      <c r="AA67" s="17">
        <f>L67*'IAA digestibility'!L67</f>
        <v>3.198</v>
      </c>
      <c r="AB67" s="17">
        <f>M67*'IAA digestibility'!M67</f>
        <v>1.0499999999999998</v>
      </c>
      <c r="AC67" s="17">
        <f>N67*'IAA digestibility'!N67</f>
        <v>10.199999999999999</v>
      </c>
      <c r="AD67" s="17">
        <f>O67*'IAA digestibility'!O67</f>
        <v>7.1440000000000001</v>
      </c>
      <c r="AE67" s="17">
        <f>P67*'IAA digestibility'!P67</f>
        <v>11.448</v>
      </c>
      <c r="AF67" s="17">
        <f>R67*'IAA digestibility'!R67</f>
        <v>3.468</v>
      </c>
      <c r="AG67" s="25"/>
      <c r="AH67" s="17">
        <f t="shared" si="1"/>
        <v>6.7954545454545459</v>
      </c>
      <c r="AI67" s="17">
        <f t="shared" si="2"/>
        <v>30.27272727272727</v>
      </c>
      <c r="AJ67" s="17">
        <f t="shared" si="3"/>
        <v>33.23863636363636</v>
      </c>
      <c r="AK67" s="17">
        <f t="shared" si="4"/>
        <v>60.375</v>
      </c>
      <c r="AL67" s="17">
        <f t="shared" si="5"/>
        <v>37.090909090909093</v>
      </c>
      <c r="AM67" s="17">
        <f t="shared" si="6"/>
        <v>16.09090909090909</v>
      </c>
      <c r="AN67" s="18">
        <f t="shared" si="7"/>
        <v>65.696969696969703</v>
      </c>
      <c r="AO67" s="17">
        <f t="shared" si="8"/>
        <v>43.363636363636367</v>
      </c>
      <c r="AP67" s="17">
        <f t="shared" si="9"/>
        <v>13.136363636363637</v>
      </c>
    </row>
    <row r="68" spans="1:43" s="4" customFormat="1" x14ac:dyDescent="0.25">
      <c r="A68" s="4" t="s">
        <v>251</v>
      </c>
      <c r="B68" s="4" t="s">
        <v>298</v>
      </c>
      <c r="C68" s="4">
        <v>9</v>
      </c>
      <c r="E68" s="4" t="s">
        <v>240</v>
      </c>
      <c r="F68" s="4">
        <v>297</v>
      </c>
      <c r="G68" s="4">
        <v>2.1</v>
      </c>
      <c r="H68" s="4">
        <v>9.3000000000000007</v>
      </c>
      <c r="I68" s="4">
        <v>10.5</v>
      </c>
      <c r="J68" s="4">
        <v>29</v>
      </c>
      <c r="K68" s="4">
        <v>16.8</v>
      </c>
      <c r="L68" s="4">
        <v>2.1</v>
      </c>
      <c r="M68" s="4">
        <v>6.7</v>
      </c>
      <c r="N68" s="4">
        <v>8.3000000000000007</v>
      </c>
      <c r="O68" s="4">
        <v>5.8</v>
      </c>
      <c r="P68" s="4">
        <v>11.4</v>
      </c>
      <c r="Q68" s="4">
        <v>27.5</v>
      </c>
      <c r="R68" s="4">
        <v>8.1</v>
      </c>
      <c r="T68" s="10"/>
      <c r="V68" s="17">
        <f>G68*'IAA digestibility'!G68</f>
        <v>1.7535000000000001</v>
      </c>
      <c r="W68" s="17">
        <f>H68*'IAA digestibility'!H68</f>
        <v>8.2956000000000003</v>
      </c>
      <c r="X68" s="17">
        <f>I68*'IAA digestibility'!I68</f>
        <v>9.66</v>
      </c>
      <c r="Y68" s="17">
        <f>J68*'IAA digestibility'!J68</f>
        <v>27.695</v>
      </c>
      <c r="Z68" s="17">
        <f>K68*'IAA digestibility'!K68</f>
        <v>15.607200000000001</v>
      </c>
      <c r="AA68" s="17">
        <f>L68*'IAA digestibility'!L68</f>
        <v>1.7493000000000001</v>
      </c>
      <c r="AB68" s="17">
        <f>M68*'IAA digestibility'!M68</f>
        <v>4.5426000000000002</v>
      </c>
      <c r="AC68" s="17">
        <f>N68*'IAA digestibility'!N68</f>
        <v>7.5862000000000007</v>
      </c>
      <c r="AD68" s="17">
        <f>O68*'IAA digestibility'!O68</f>
        <v>5.133</v>
      </c>
      <c r="AE68" s="17">
        <f>P68*'IAA digestibility'!P68</f>
        <v>10.385400000000001</v>
      </c>
      <c r="AF68" s="17">
        <f>R68*'IAA digestibility'!R68</f>
        <v>6.8768999999999991</v>
      </c>
      <c r="AG68" s="25"/>
      <c r="AH68" s="17">
        <f t="shared" ref="AH68:AH131" si="10">(V68/$F68)*1000</f>
        <v>5.9040404040404049</v>
      </c>
      <c r="AI68" s="17">
        <f t="shared" ref="AI68:AI131" si="11">(W68/$F68)*1000</f>
        <v>27.931313131313132</v>
      </c>
      <c r="AJ68" s="17">
        <f t="shared" ref="AJ68:AJ131" si="12">(X68/$F68)*1000</f>
        <v>32.525252525252526</v>
      </c>
      <c r="AK68" s="17">
        <f t="shared" ref="AK68:AK131" si="13">(Y68/$F68)*1000</f>
        <v>93.249158249158242</v>
      </c>
      <c r="AL68" s="17">
        <f t="shared" ref="AL68:AL131" si="14">(Z68/$F68)*1000</f>
        <v>52.549494949494949</v>
      </c>
      <c r="AM68" s="17">
        <f t="shared" ref="AM68:AM131" si="15">((AA68+AB68)/$F68)*1000</f>
        <v>21.184848484848484</v>
      </c>
      <c r="AN68" s="18">
        <f t="shared" ref="AN68:AN131" si="16">((AC68+AD68)/$F68)*1000</f>
        <v>42.825589225589226</v>
      </c>
      <c r="AO68" s="17">
        <f t="shared" ref="AO68:AO131" si="17">(AE68/$F68)*1000</f>
        <v>34.967676767676771</v>
      </c>
      <c r="AP68" s="17">
        <f t="shared" ref="AP68:AP131" si="18">(AF68/$F68)*1000</f>
        <v>23.154545454545453</v>
      </c>
    </row>
    <row r="69" spans="1:43" s="4" customFormat="1" ht="14.25" customHeight="1" x14ac:dyDescent="0.25">
      <c r="A69" s="4" t="s">
        <v>473</v>
      </c>
      <c r="B69" s="4" t="s">
        <v>298</v>
      </c>
      <c r="C69" s="4">
        <v>2</v>
      </c>
      <c r="E69" s="4" t="s">
        <v>12</v>
      </c>
      <c r="F69" s="4">
        <v>213</v>
      </c>
      <c r="G69" s="4">
        <v>2</v>
      </c>
      <c r="H69" s="4">
        <v>7.6</v>
      </c>
      <c r="I69" s="4">
        <v>8.3000000000000007</v>
      </c>
      <c r="J69" s="4">
        <v>15.6</v>
      </c>
      <c r="K69" s="4">
        <v>14.4</v>
      </c>
      <c r="L69" s="4">
        <v>2.6</v>
      </c>
      <c r="M69" s="4">
        <v>2.6</v>
      </c>
      <c r="N69" s="4">
        <v>11.7</v>
      </c>
      <c r="O69" s="4">
        <v>4.9000000000000004</v>
      </c>
      <c r="P69" s="4">
        <v>8.6</v>
      </c>
      <c r="Q69" s="4">
        <v>17.600000000000001</v>
      </c>
      <c r="R69" s="4">
        <v>5.4</v>
      </c>
      <c r="S69" s="4" t="s">
        <v>51</v>
      </c>
      <c r="T69" s="10"/>
      <c r="V69" s="17">
        <f>G69*'IAA digestibility'!G69</f>
        <v>1.66</v>
      </c>
      <c r="W69" s="17">
        <f>H69*'IAA digestibility'!H69</f>
        <v>5.8519999999999994</v>
      </c>
      <c r="X69" s="17">
        <f>I69*'IAA digestibility'!I69</f>
        <v>6.806</v>
      </c>
      <c r="Y69" s="17">
        <f>J69*'IAA digestibility'!J69</f>
        <v>13.416</v>
      </c>
      <c r="Z69" s="17">
        <f>K69*'IAA digestibility'!K69</f>
        <v>13.536</v>
      </c>
      <c r="AA69" s="17">
        <f>L69*'IAA digestibility'!L69</f>
        <v>2.3140000000000001</v>
      </c>
      <c r="AB69" s="17">
        <f>M69*'IAA digestibility'!M69</f>
        <v>2.3140000000000001</v>
      </c>
      <c r="AC69" s="17">
        <f>N69*'IAA digestibility'!N69</f>
        <v>10.413</v>
      </c>
      <c r="AD69" s="17">
        <f>O69*'IAA digestibility'!O69</f>
        <v>4.3610000000000007</v>
      </c>
      <c r="AE69" s="17">
        <f>P69*'IAA digestibility'!P69</f>
        <v>6.9660000000000002</v>
      </c>
      <c r="AF69" s="17">
        <f>R69*'IAA digestibility'!R69</f>
        <v>4.6980000000000004</v>
      </c>
      <c r="AG69" s="25"/>
      <c r="AH69" s="17">
        <f t="shared" si="10"/>
        <v>7.793427230046948</v>
      </c>
      <c r="AI69" s="17">
        <f t="shared" si="11"/>
        <v>27.474178403755868</v>
      </c>
      <c r="AJ69" s="17">
        <f t="shared" si="12"/>
        <v>31.953051643192488</v>
      </c>
      <c r="AK69" s="17">
        <f t="shared" si="13"/>
        <v>62.985915492957744</v>
      </c>
      <c r="AL69" s="17">
        <f t="shared" si="14"/>
        <v>63.549295774647881</v>
      </c>
      <c r="AM69" s="17">
        <f t="shared" si="15"/>
        <v>21.727699530516432</v>
      </c>
      <c r="AN69" s="18">
        <f t="shared" si="16"/>
        <v>69.361502347417854</v>
      </c>
      <c r="AO69" s="17">
        <f t="shared" si="17"/>
        <v>32.704225352112672</v>
      </c>
      <c r="AP69" s="17">
        <f t="shared" si="18"/>
        <v>22.056338028169016</v>
      </c>
    </row>
    <row r="70" spans="1:43" s="4" customFormat="1" x14ac:dyDescent="0.25">
      <c r="A70" s="4" t="s">
        <v>474</v>
      </c>
      <c r="B70" s="4" t="s">
        <v>298</v>
      </c>
      <c r="C70" s="4">
        <v>17</v>
      </c>
      <c r="E70" s="4" t="s">
        <v>240</v>
      </c>
      <c r="F70" s="4">
        <v>229.3</v>
      </c>
      <c r="H70" s="4">
        <v>15.2</v>
      </c>
      <c r="I70" s="4">
        <v>10.1</v>
      </c>
      <c r="J70" s="4">
        <v>15.5</v>
      </c>
      <c r="K70" s="4">
        <v>14.4</v>
      </c>
      <c r="L70" s="4">
        <v>2.4</v>
      </c>
      <c r="N70" s="4">
        <v>13.4</v>
      </c>
      <c r="P70" s="4">
        <v>9.9</v>
      </c>
      <c r="T70" s="10"/>
      <c r="V70" s="17"/>
      <c r="W70" s="17">
        <f>H70*'IAA digestibility'!H70</f>
        <v>11.02</v>
      </c>
      <c r="X70" s="17">
        <f>I70*'IAA digestibility'!I70</f>
        <v>8.2213999999999992</v>
      </c>
      <c r="Y70" s="17">
        <f>J70*'IAA digestibility'!J70</f>
        <v>12.3225</v>
      </c>
      <c r="Z70" s="17">
        <f>K70*'IAA digestibility'!K70</f>
        <v>8.64</v>
      </c>
      <c r="AA70" s="17">
        <f>L70*'IAA digestibility'!L70</f>
        <v>1.7231999999999998</v>
      </c>
      <c r="AB70" s="17"/>
      <c r="AC70" s="17">
        <f>N70*'IAA digestibility'!N70</f>
        <v>10.8406</v>
      </c>
      <c r="AD70" s="17"/>
      <c r="AE70" s="17">
        <f>P70*'IAA digestibility'!P70</f>
        <v>7.5141</v>
      </c>
      <c r="AF70" s="17"/>
      <c r="AG70" s="25"/>
      <c r="AH70" s="17"/>
      <c r="AI70" s="17">
        <f t="shared" si="11"/>
        <v>48.05931094635848</v>
      </c>
      <c r="AJ70" s="17">
        <f t="shared" si="12"/>
        <v>35.854339293501958</v>
      </c>
      <c r="AK70" s="17">
        <f t="shared" si="13"/>
        <v>53.739642389882249</v>
      </c>
      <c r="AL70" s="17">
        <f t="shared" si="14"/>
        <v>37.679895333624074</v>
      </c>
      <c r="AM70" s="17">
        <f t="shared" si="15"/>
        <v>7.5150457915394666</v>
      </c>
      <c r="AN70" s="18">
        <f t="shared" si="16"/>
        <v>47.276929786306148</v>
      </c>
      <c r="AO70" s="17">
        <f t="shared" si="17"/>
        <v>32.769733972961184</v>
      </c>
      <c r="AP70" s="17"/>
    </row>
    <row r="71" spans="1:43" s="4" customFormat="1" x14ac:dyDescent="0.25">
      <c r="A71" s="4" t="s">
        <v>253</v>
      </c>
      <c r="B71" s="4" t="s">
        <v>298</v>
      </c>
      <c r="C71" s="4">
        <v>9</v>
      </c>
      <c r="E71" s="4" t="s">
        <v>240</v>
      </c>
      <c r="F71" s="4">
        <v>253</v>
      </c>
      <c r="G71" s="4">
        <v>2.2000000000000002</v>
      </c>
      <c r="H71" s="4">
        <v>7.3</v>
      </c>
      <c r="I71" s="4">
        <v>8.4</v>
      </c>
      <c r="J71" s="4">
        <v>22.7</v>
      </c>
      <c r="K71" s="4">
        <v>13.1</v>
      </c>
      <c r="L71" s="4">
        <v>3.1</v>
      </c>
      <c r="M71" s="4">
        <v>6.8</v>
      </c>
      <c r="N71" s="4">
        <v>8.9</v>
      </c>
      <c r="O71" s="4">
        <v>3.8</v>
      </c>
      <c r="P71" s="4">
        <v>8.6</v>
      </c>
      <c r="Q71" s="4">
        <v>19.899999999999999</v>
      </c>
      <c r="R71" s="4">
        <v>6.5</v>
      </c>
      <c r="T71" s="10"/>
      <c r="V71" s="17">
        <f>G71*'IAA digestibility'!G71</f>
        <v>1.9118000000000002</v>
      </c>
      <c r="W71" s="17">
        <f>H71*'IAA digestibility'!H71</f>
        <v>5.7961999999999998</v>
      </c>
      <c r="X71" s="17">
        <f>I71*'IAA digestibility'!I71</f>
        <v>7.1231999999999998</v>
      </c>
      <c r="Y71" s="17">
        <f>J71*'IAA digestibility'!J71</f>
        <v>20.498100000000001</v>
      </c>
      <c r="Z71" s="17">
        <f>K71*'IAA digestibility'!K71</f>
        <v>11.4756</v>
      </c>
      <c r="AA71" s="17">
        <f>L71*'IAA digestibility'!L71</f>
        <v>2.6877</v>
      </c>
      <c r="AB71" s="17">
        <f>M71*'IAA digestibility'!M71</f>
        <v>5.2291999999999996</v>
      </c>
      <c r="AC71" s="17">
        <f>N71*'IAA digestibility'!N71</f>
        <v>7.5917000000000003</v>
      </c>
      <c r="AD71" s="17">
        <f>O71*'IAA digestibility'!O71</f>
        <v>2.8765999999999998</v>
      </c>
      <c r="AE71" s="17">
        <f>P71*'IAA digestibility'!P71</f>
        <v>7.1723999999999997</v>
      </c>
      <c r="AF71" s="17">
        <f>R71*'IAA digestibility'!R71</f>
        <v>4.7189999999999994</v>
      </c>
      <c r="AG71" s="25"/>
      <c r="AH71" s="17">
        <f t="shared" si="10"/>
        <v>7.556521739130436</v>
      </c>
      <c r="AI71" s="17">
        <f t="shared" si="11"/>
        <v>22.909881422924901</v>
      </c>
      <c r="AJ71" s="17">
        <f t="shared" si="12"/>
        <v>28.154940711462451</v>
      </c>
      <c r="AK71" s="17">
        <f t="shared" si="13"/>
        <v>81.0201581027668</v>
      </c>
      <c r="AL71" s="17">
        <f t="shared" si="14"/>
        <v>45.358102766798417</v>
      </c>
      <c r="AM71" s="17">
        <f t="shared" si="15"/>
        <v>31.292094861660075</v>
      </c>
      <c r="AN71" s="18">
        <f t="shared" si="16"/>
        <v>41.376679841897229</v>
      </c>
      <c r="AO71" s="17">
        <f t="shared" si="17"/>
        <v>28.349407114624505</v>
      </c>
      <c r="AP71" s="17">
        <f t="shared" si="18"/>
        <v>18.652173913043477</v>
      </c>
    </row>
    <row r="72" spans="1:43" s="4" customFormat="1" x14ac:dyDescent="0.25">
      <c r="A72" s="4" t="s">
        <v>285</v>
      </c>
      <c r="B72" s="4" t="s">
        <v>298</v>
      </c>
      <c r="C72" s="4">
        <v>1</v>
      </c>
      <c r="E72" s="4" t="s">
        <v>240</v>
      </c>
      <c r="T72" s="10"/>
      <c r="V72" s="17"/>
      <c r="W72" s="17"/>
      <c r="X72" s="17"/>
      <c r="Y72" s="17"/>
      <c r="Z72" s="17"/>
      <c r="AA72" s="17"/>
      <c r="AB72" s="17"/>
      <c r="AC72" s="17"/>
      <c r="AD72" s="17"/>
      <c r="AE72" s="17"/>
      <c r="AF72" s="17"/>
      <c r="AG72" s="25"/>
      <c r="AH72" s="17"/>
      <c r="AI72" s="17"/>
      <c r="AJ72" s="17"/>
      <c r="AK72" s="17"/>
      <c r="AL72" s="17"/>
      <c r="AM72" s="17"/>
      <c r="AN72" s="18"/>
      <c r="AO72" s="17"/>
      <c r="AP72" s="17"/>
      <c r="AQ72" s="4" t="s">
        <v>440</v>
      </c>
    </row>
    <row r="73" spans="1:43" s="4" customFormat="1" x14ac:dyDescent="0.25">
      <c r="A73" s="4" t="s">
        <v>475</v>
      </c>
      <c r="B73" s="4" t="s">
        <v>298</v>
      </c>
      <c r="C73" s="4">
        <v>2</v>
      </c>
      <c r="E73" s="4" t="s">
        <v>12</v>
      </c>
      <c r="F73" s="4">
        <v>249</v>
      </c>
      <c r="G73" s="4">
        <v>2.8</v>
      </c>
      <c r="H73" s="4">
        <v>10.7</v>
      </c>
      <c r="I73" s="4">
        <v>10.9</v>
      </c>
      <c r="J73" s="4">
        <v>19.899999999999999</v>
      </c>
      <c r="K73" s="4">
        <v>16.399999999999999</v>
      </c>
      <c r="L73" s="4">
        <v>3.3</v>
      </c>
      <c r="M73" s="4">
        <v>2.5</v>
      </c>
      <c r="N73" s="4">
        <v>13.5</v>
      </c>
      <c r="O73" s="4">
        <v>9.3000000000000007</v>
      </c>
      <c r="P73" s="4">
        <v>12.8</v>
      </c>
      <c r="Q73" s="4">
        <v>16.100000000000001</v>
      </c>
      <c r="R73" s="4">
        <v>6.5</v>
      </c>
      <c r="S73" s="4" t="s">
        <v>52</v>
      </c>
      <c r="T73" s="10"/>
      <c r="V73" s="17">
        <f>G73*'IAA digestibility'!G73</f>
        <v>2.2959999999999998</v>
      </c>
      <c r="W73" s="17">
        <f>H73*'IAA digestibility'!H73</f>
        <v>8.1319999999999997</v>
      </c>
      <c r="X73" s="17">
        <f>I73*'IAA digestibility'!I73</f>
        <v>7.8479999999999999</v>
      </c>
      <c r="Y73" s="17">
        <f>J73*'IAA digestibility'!J73</f>
        <v>14.128999999999998</v>
      </c>
      <c r="Z73" s="17">
        <f>K73*'IAA digestibility'!K73</f>
        <v>13.939999999999998</v>
      </c>
      <c r="AA73" s="17">
        <f>L73*'IAA digestibility'!L73</f>
        <v>2.871</v>
      </c>
      <c r="AB73" s="17">
        <f>M73*'IAA digestibility'!M73</f>
        <v>2.0250000000000004</v>
      </c>
      <c r="AC73" s="17">
        <f>N73*'IAA digestibility'!N73</f>
        <v>9.99</v>
      </c>
      <c r="AD73" s="17">
        <f>O73*'IAA digestibility'!O73</f>
        <v>6.2310000000000008</v>
      </c>
      <c r="AE73" s="17">
        <f>P73*'IAA digestibility'!P73</f>
        <v>8.32</v>
      </c>
      <c r="AF73" s="17">
        <f>R73*'IAA digestibility'!R73</f>
        <v>4.29</v>
      </c>
      <c r="AG73" s="25"/>
      <c r="AH73" s="17">
        <f t="shared" si="10"/>
        <v>9.2208835341365454</v>
      </c>
      <c r="AI73" s="17">
        <f t="shared" si="11"/>
        <v>32.658634538152612</v>
      </c>
      <c r="AJ73" s="17">
        <f t="shared" si="12"/>
        <v>31.518072289156624</v>
      </c>
      <c r="AK73" s="17">
        <f t="shared" si="13"/>
        <v>56.742971887550191</v>
      </c>
      <c r="AL73" s="17">
        <f t="shared" si="14"/>
        <v>55.98393574297188</v>
      </c>
      <c r="AM73" s="17">
        <f t="shared" si="15"/>
        <v>19.662650602409645</v>
      </c>
      <c r="AN73" s="18">
        <f t="shared" si="16"/>
        <v>65.144578313253021</v>
      </c>
      <c r="AO73" s="17">
        <f t="shared" si="17"/>
        <v>33.413654618473899</v>
      </c>
      <c r="AP73" s="17">
        <f t="shared" si="18"/>
        <v>17.228915662650603</v>
      </c>
    </row>
    <row r="74" spans="1:43" s="4" customFormat="1" x14ac:dyDescent="0.25">
      <c r="A74" s="4" t="s">
        <v>476</v>
      </c>
      <c r="B74" s="4" t="s">
        <v>298</v>
      </c>
      <c r="C74" s="4">
        <v>2</v>
      </c>
      <c r="E74" s="4" t="s">
        <v>12</v>
      </c>
      <c r="F74" s="4">
        <v>283</v>
      </c>
      <c r="G74" s="4">
        <v>2.5</v>
      </c>
      <c r="H74" s="4">
        <v>9.1999999999999993</v>
      </c>
      <c r="I74" s="4">
        <v>10.199999999999999</v>
      </c>
      <c r="J74" s="4">
        <v>17.7</v>
      </c>
      <c r="K74" s="4">
        <v>15.8</v>
      </c>
      <c r="L74" s="4">
        <v>3.1</v>
      </c>
      <c r="M74" s="4">
        <v>3.6</v>
      </c>
      <c r="N74" s="4">
        <v>11.5</v>
      </c>
      <c r="O74" s="4">
        <v>6.8</v>
      </c>
      <c r="P74" s="4">
        <v>14.9</v>
      </c>
      <c r="Q74" s="4">
        <v>19.3</v>
      </c>
      <c r="R74" s="4">
        <v>6.9</v>
      </c>
      <c r="S74" s="28"/>
      <c r="T74" s="10"/>
      <c r="V74" s="17">
        <f>G74*'IAA digestibility'!G74</f>
        <v>1.9500000000000002</v>
      </c>
      <c r="W74" s="17">
        <f>H74*'IAA digestibility'!H74</f>
        <v>7.0839999999999996</v>
      </c>
      <c r="X74" s="17">
        <f>I74*'IAA digestibility'!I74</f>
        <v>8.2620000000000005</v>
      </c>
      <c r="Y74" s="17">
        <f>J74*'IAA digestibility'!J74</f>
        <v>14.690999999999999</v>
      </c>
      <c r="Z74" s="17">
        <f>K74*'IAA digestibility'!K74</f>
        <v>12.324000000000002</v>
      </c>
      <c r="AA74" s="17">
        <f>L74*'IAA digestibility'!L74</f>
        <v>2.6040000000000001</v>
      </c>
      <c r="AB74" s="17">
        <f>M74*'IAA digestibility'!M74</f>
        <v>2.7360000000000002</v>
      </c>
      <c r="AC74" s="17">
        <f>N74*'IAA digestibility'!N74</f>
        <v>9.66</v>
      </c>
      <c r="AD74" s="17">
        <f>O74*'IAA digestibility'!O74</f>
        <v>5.6439999999999992</v>
      </c>
      <c r="AE74" s="17">
        <f>P74*'IAA digestibility'!P74</f>
        <v>11.920000000000002</v>
      </c>
      <c r="AF74" s="17">
        <f>R74*'IAA digestibility'!R74</f>
        <v>5.7270000000000003</v>
      </c>
      <c r="AG74" s="25"/>
      <c r="AH74" s="17">
        <f t="shared" si="10"/>
        <v>6.8904593639575973</v>
      </c>
      <c r="AI74" s="17">
        <f t="shared" si="11"/>
        <v>25.031802120141339</v>
      </c>
      <c r="AJ74" s="17">
        <f t="shared" si="12"/>
        <v>29.194346289752652</v>
      </c>
      <c r="AK74" s="17">
        <f t="shared" si="13"/>
        <v>51.911660777385151</v>
      </c>
      <c r="AL74" s="17">
        <f t="shared" si="14"/>
        <v>43.547703180212018</v>
      </c>
      <c r="AM74" s="17">
        <f t="shared" si="15"/>
        <v>18.869257950530034</v>
      </c>
      <c r="AN74" s="18">
        <f t="shared" si="16"/>
        <v>54.077738515901061</v>
      </c>
      <c r="AO74" s="17">
        <f t="shared" si="17"/>
        <v>42.120141342756192</v>
      </c>
      <c r="AP74" s="17">
        <f t="shared" si="18"/>
        <v>20.236749116607776</v>
      </c>
    </row>
    <row r="75" spans="1:43" s="4" customFormat="1" x14ac:dyDescent="0.25">
      <c r="A75" s="4" t="s">
        <v>477</v>
      </c>
      <c r="B75" s="4" t="s">
        <v>298</v>
      </c>
      <c r="C75" s="4">
        <v>2</v>
      </c>
      <c r="E75" s="4" t="s">
        <v>12</v>
      </c>
      <c r="F75" s="4">
        <v>220</v>
      </c>
      <c r="G75" s="4">
        <v>2.9</v>
      </c>
      <c r="H75" s="4">
        <v>8.3000000000000007</v>
      </c>
      <c r="I75" s="4">
        <v>7.4</v>
      </c>
      <c r="J75" s="4">
        <v>13.2</v>
      </c>
      <c r="K75" s="4">
        <v>10.4</v>
      </c>
      <c r="L75" s="4">
        <v>3.9</v>
      </c>
      <c r="M75" s="4">
        <v>3.1</v>
      </c>
      <c r="N75" s="4">
        <v>11.7</v>
      </c>
      <c r="O75" s="4">
        <v>7</v>
      </c>
      <c r="P75" s="4">
        <v>8.9</v>
      </c>
      <c r="Q75" s="4">
        <v>24.2</v>
      </c>
      <c r="R75" s="4">
        <v>8.1999999999999993</v>
      </c>
      <c r="T75" s="10"/>
      <c r="V75" s="17">
        <f>G75*'IAA digestibility'!G75</f>
        <v>1.9139999999999999</v>
      </c>
      <c r="W75" s="17">
        <f>H75*'IAA digestibility'!H75</f>
        <v>5.3950000000000005</v>
      </c>
      <c r="X75" s="17">
        <f>I75*'IAA digestibility'!I75</f>
        <v>5.4020000000000001</v>
      </c>
      <c r="Y75" s="17">
        <f>J75*'IAA digestibility'!J75</f>
        <v>9.8999999999999986</v>
      </c>
      <c r="Z75" s="17">
        <f>K75*'IAA digestibility'!K75</f>
        <v>6.6560000000000006</v>
      </c>
      <c r="AA75" s="17">
        <f>L75*'IAA digestibility'!L75</f>
        <v>3.0030000000000001</v>
      </c>
      <c r="AB75" s="17">
        <f>M75*'IAA digestibility'!M75</f>
        <v>1.891</v>
      </c>
      <c r="AC75" s="17">
        <f>N75*'IAA digestibility'!N75</f>
        <v>9.0090000000000003</v>
      </c>
      <c r="AD75" s="17">
        <f>O75*'IAA digestibility'!O75</f>
        <v>5.18</v>
      </c>
      <c r="AE75" s="17">
        <f>P75*'IAA digestibility'!P75</f>
        <v>6.2299999999999995</v>
      </c>
      <c r="AF75" s="17">
        <f>R75*'IAA digestibility'!R75</f>
        <v>5.903999999999999</v>
      </c>
      <c r="AG75" s="25"/>
      <c r="AH75" s="17">
        <f t="shared" si="10"/>
        <v>8.6999999999999993</v>
      </c>
      <c r="AI75" s="17">
        <f t="shared" si="11"/>
        <v>24.522727272727277</v>
      </c>
      <c r="AJ75" s="17">
        <f t="shared" si="12"/>
        <v>24.554545454545455</v>
      </c>
      <c r="AK75" s="17">
        <f t="shared" si="13"/>
        <v>44.999999999999993</v>
      </c>
      <c r="AL75" s="17">
        <f t="shared" si="14"/>
        <v>30.254545454545458</v>
      </c>
      <c r="AM75" s="17">
        <f t="shared" si="15"/>
        <v>22.245454545454546</v>
      </c>
      <c r="AN75" s="18">
        <f t="shared" si="16"/>
        <v>64.49545454545455</v>
      </c>
      <c r="AO75" s="17">
        <f t="shared" si="17"/>
        <v>28.318181818181817</v>
      </c>
      <c r="AP75" s="17">
        <f t="shared" si="18"/>
        <v>26.836363636363629</v>
      </c>
    </row>
    <row r="76" spans="1:43" s="4" customFormat="1" x14ac:dyDescent="0.25">
      <c r="A76" s="4" t="s">
        <v>478</v>
      </c>
      <c r="B76" s="4" t="s">
        <v>298</v>
      </c>
      <c r="C76" s="4">
        <v>2</v>
      </c>
      <c r="E76" s="4" t="s">
        <v>12</v>
      </c>
      <c r="F76" s="4">
        <v>220</v>
      </c>
      <c r="G76" s="4">
        <v>2.9</v>
      </c>
      <c r="H76" s="4">
        <v>8.3000000000000007</v>
      </c>
      <c r="I76" s="4">
        <v>7.4</v>
      </c>
      <c r="J76" s="4">
        <v>13.2</v>
      </c>
      <c r="K76" s="4">
        <v>10.4</v>
      </c>
      <c r="L76" s="4">
        <v>3.9</v>
      </c>
      <c r="M76" s="4">
        <v>3.1</v>
      </c>
      <c r="N76" s="4">
        <v>11.7</v>
      </c>
      <c r="O76" s="4">
        <v>7</v>
      </c>
      <c r="P76" s="4">
        <v>8.9</v>
      </c>
      <c r="Q76" s="4">
        <v>24.2</v>
      </c>
      <c r="R76" s="4">
        <v>8.1999999999999993</v>
      </c>
      <c r="T76" s="10"/>
      <c r="V76" s="17">
        <f>G76*'IAA digestibility'!G76</f>
        <v>1.9139999999999999</v>
      </c>
      <c r="W76" s="17">
        <f>H76*'IAA digestibility'!H76</f>
        <v>5.3950000000000005</v>
      </c>
      <c r="X76" s="17">
        <f>I76*'IAA digestibility'!I76</f>
        <v>5.4020000000000001</v>
      </c>
      <c r="Y76" s="17">
        <f>J76*'IAA digestibility'!J76</f>
        <v>9.8999999999999986</v>
      </c>
      <c r="Z76" s="17">
        <f>K76*'IAA digestibility'!K76</f>
        <v>6.6560000000000006</v>
      </c>
      <c r="AA76" s="17">
        <f>L76*'IAA digestibility'!L76</f>
        <v>3.0030000000000001</v>
      </c>
      <c r="AB76" s="17">
        <f>M76*'IAA digestibility'!M76</f>
        <v>1.891</v>
      </c>
      <c r="AC76" s="17">
        <f>N76*'IAA digestibility'!N76</f>
        <v>9.0090000000000003</v>
      </c>
      <c r="AD76" s="17">
        <f>O76*'IAA digestibility'!O76</f>
        <v>5.18</v>
      </c>
      <c r="AE76" s="17">
        <f>P76*'IAA digestibility'!P76</f>
        <v>6.2299999999999995</v>
      </c>
      <c r="AF76" s="17">
        <f>R76*'IAA digestibility'!R76</f>
        <v>5.903999999999999</v>
      </c>
      <c r="AG76" s="25"/>
      <c r="AH76" s="17">
        <f t="shared" si="10"/>
        <v>8.6999999999999993</v>
      </c>
      <c r="AI76" s="17">
        <f t="shared" si="11"/>
        <v>24.522727272727277</v>
      </c>
      <c r="AJ76" s="17">
        <f t="shared" si="12"/>
        <v>24.554545454545455</v>
      </c>
      <c r="AK76" s="17">
        <f t="shared" si="13"/>
        <v>44.999999999999993</v>
      </c>
      <c r="AL76" s="17">
        <f t="shared" si="14"/>
        <v>30.254545454545458</v>
      </c>
      <c r="AM76" s="17">
        <f t="shared" si="15"/>
        <v>22.245454545454546</v>
      </c>
      <c r="AN76" s="18">
        <f t="shared" si="16"/>
        <v>64.49545454545455</v>
      </c>
      <c r="AO76" s="17">
        <f t="shared" si="17"/>
        <v>28.318181818181817</v>
      </c>
      <c r="AP76" s="17">
        <f t="shared" si="18"/>
        <v>26.836363636363629</v>
      </c>
    </row>
    <row r="77" spans="1:43" s="4" customFormat="1" x14ac:dyDescent="0.25">
      <c r="A77" s="4" t="s">
        <v>479</v>
      </c>
      <c r="B77" s="4" t="s">
        <v>298</v>
      </c>
      <c r="C77" s="4">
        <v>2</v>
      </c>
      <c r="E77" s="4" t="s">
        <v>12</v>
      </c>
      <c r="F77" s="4">
        <v>250</v>
      </c>
      <c r="G77" s="4">
        <v>2.8</v>
      </c>
      <c r="H77" s="4">
        <v>9.5</v>
      </c>
      <c r="I77" s="4">
        <v>10</v>
      </c>
      <c r="J77" s="4">
        <v>18.600000000000001</v>
      </c>
      <c r="K77" s="4">
        <v>16.3</v>
      </c>
      <c r="L77" s="4">
        <v>3.7</v>
      </c>
      <c r="M77" s="4">
        <v>2.8</v>
      </c>
      <c r="N77" s="4">
        <v>13.7</v>
      </c>
      <c r="O77" s="4">
        <v>7.5</v>
      </c>
      <c r="P77" s="4">
        <v>11.7</v>
      </c>
      <c r="Q77" s="4">
        <v>16.8</v>
      </c>
      <c r="R77" s="4">
        <v>8.1999999999999993</v>
      </c>
      <c r="S77" s="4" t="s">
        <v>53</v>
      </c>
      <c r="T77" s="10"/>
      <c r="V77" s="17">
        <f>G77*'IAA digestibility'!G77</f>
        <v>2.2959999999999998</v>
      </c>
      <c r="W77" s="17">
        <f>H77*'IAA digestibility'!H77</f>
        <v>7.6950000000000003</v>
      </c>
      <c r="X77" s="17">
        <f>I77*'IAA digestibility'!I77</f>
        <v>8.4</v>
      </c>
      <c r="Y77" s="17">
        <f>J77*'IAA digestibility'!J77</f>
        <v>15.996</v>
      </c>
      <c r="Z77" s="17">
        <f>K77*'IAA digestibility'!K77</f>
        <v>13.366</v>
      </c>
      <c r="AA77" s="17">
        <f>L77*'IAA digestibility'!L77</f>
        <v>3.1819999999999999</v>
      </c>
      <c r="AB77" s="17">
        <f>M77*'IAA digestibility'!M77</f>
        <v>2.2399999999999998</v>
      </c>
      <c r="AC77" s="17">
        <f>N77*'IAA digestibility'!N77</f>
        <v>11.782</v>
      </c>
      <c r="AD77" s="17">
        <f>O77*'IAA digestibility'!O77</f>
        <v>6.375</v>
      </c>
      <c r="AE77" s="17">
        <f>P77*'IAA digestibility'!P77</f>
        <v>9.7109999999999985</v>
      </c>
      <c r="AF77" s="17">
        <f>R77*'IAA digestibility'!R77</f>
        <v>6.9699999999999989</v>
      </c>
      <c r="AG77" s="25"/>
      <c r="AH77" s="17">
        <f t="shared" si="10"/>
        <v>9.1839999999999993</v>
      </c>
      <c r="AI77" s="17">
        <f t="shared" si="11"/>
        <v>30.78</v>
      </c>
      <c r="AJ77" s="17">
        <f t="shared" si="12"/>
        <v>33.6</v>
      </c>
      <c r="AK77" s="17">
        <f t="shared" si="13"/>
        <v>63.984000000000002</v>
      </c>
      <c r="AL77" s="17">
        <f t="shared" si="14"/>
        <v>53.463999999999999</v>
      </c>
      <c r="AM77" s="17">
        <f t="shared" si="15"/>
        <v>21.687999999999999</v>
      </c>
      <c r="AN77" s="18">
        <f t="shared" si="16"/>
        <v>72.628</v>
      </c>
      <c r="AO77" s="17">
        <f t="shared" si="17"/>
        <v>38.843999999999994</v>
      </c>
      <c r="AP77" s="17">
        <f t="shared" si="18"/>
        <v>27.879999999999995</v>
      </c>
    </row>
    <row r="78" spans="1:43" s="4" customFormat="1" x14ac:dyDescent="0.25">
      <c r="A78" s="4" t="s">
        <v>339</v>
      </c>
      <c r="B78" s="4" t="s">
        <v>298</v>
      </c>
      <c r="C78" s="4">
        <v>2</v>
      </c>
      <c r="E78" s="4" t="s">
        <v>12</v>
      </c>
      <c r="F78" s="4">
        <v>295</v>
      </c>
      <c r="G78" s="4">
        <v>2.4</v>
      </c>
      <c r="H78" s="4">
        <v>10.5</v>
      </c>
      <c r="I78" s="4">
        <v>12</v>
      </c>
      <c r="J78" s="4">
        <v>22.4</v>
      </c>
      <c r="K78" s="4">
        <v>19.2</v>
      </c>
      <c r="L78" s="4">
        <v>2.1</v>
      </c>
      <c r="M78" s="4">
        <v>3.7</v>
      </c>
      <c r="N78" s="4">
        <v>12.4</v>
      </c>
      <c r="O78" s="4">
        <v>9.4</v>
      </c>
      <c r="P78" s="4">
        <v>13.3</v>
      </c>
      <c r="Q78" s="4">
        <v>27.9</v>
      </c>
      <c r="R78" s="4">
        <v>7.5</v>
      </c>
      <c r="T78" s="10"/>
      <c r="V78" s="17">
        <f>G78*'IAA digestibility'!G78</f>
        <v>1.68</v>
      </c>
      <c r="W78" s="17">
        <f>H78*'IAA digestibility'!H78</f>
        <v>8.4</v>
      </c>
      <c r="X78" s="17">
        <f>I78*'IAA digestibility'!I78</f>
        <v>9.84</v>
      </c>
      <c r="Y78" s="17">
        <f>J78*'IAA digestibility'!J78</f>
        <v>18.815999999999999</v>
      </c>
      <c r="Z78" s="17">
        <f>K78*'IAA digestibility'!K78</f>
        <v>16.32</v>
      </c>
      <c r="AA78" s="17">
        <f>L78*'IAA digestibility'!L78</f>
        <v>1.6800000000000002</v>
      </c>
      <c r="AB78" s="17">
        <f>M78*'IAA digestibility'!M78</f>
        <v>2.7010000000000001</v>
      </c>
      <c r="AC78" s="17">
        <f>N78*'IAA digestibility'!N78</f>
        <v>10.292</v>
      </c>
      <c r="AD78" s="17">
        <f>O78*'IAA digestibility'!O78</f>
        <v>7.6140000000000008</v>
      </c>
      <c r="AE78" s="17">
        <f>P78*'IAA digestibility'!P78</f>
        <v>10.507000000000001</v>
      </c>
      <c r="AF78" s="17">
        <f>R78*'IAA digestibility'!R78</f>
        <v>6.375</v>
      </c>
      <c r="AG78" s="25"/>
      <c r="AH78" s="17">
        <f t="shared" si="10"/>
        <v>5.6949152542372872</v>
      </c>
      <c r="AI78" s="17">
        <f t="shared" si="11"/>
        <v>28.474576271186443</v>
      </c>
      <c r="AJ78" s="17">
        <f t="shared" si="12"/>
        <v>33.355932203389834</v>
      </c>
      <c r="AK78" s="17">
        <f t="shared" si="13"/>
        <v>63.783050847457623</v>
      </c>
      <c r="AL78" s="17">
        <f t="shared" si="14"/>
        <v>55.322033898305079</v>
      </c>
      <c r="AM78" s="17">
        <f t="shared" si="15"/>
        <v>14.850847457627118</v>
      </c>
      <c r="AN78" s="18">
        <f t="shared" si="16"/>
        <v>60.698305084745762</v>
      </c>
      <c r="AO78" s="17">
        <f t="shared" si="17"/>
        <v>35.616949152542375</v>
      </c>
      <c r="AP78" s="17">
        <f t="shared" si="18"/>
        <v>21.610169491525422</v>
      </c>
    </row>
    <row r="79" spans="1:43" s="4" customFormat="1" x14ac:dyDescent="0.25">
      <c r="A79" s="4" t="s">
        <v>340</v>
      </c>
      <c r="B79" s="4" t="s">
        <v>298</v>
      </c>
      <c r="C79" s="4">
        <v>2</v>
      </c>
      <c r="E79" s="4" t="s">
        <v>12</v>
      </c>
      <c r="F79" s="4">
        <v>295</v>
      </c>
      <c r="G79" s="4">
        <v>2.4</v>
      </c>
      <c r="H79" s="4">
        <v>10.5</v>
      </c>
      <c r="I79" s="4">
        <v>12</v>
      </c>
      <c r="J79" s="4">
        <v>22.4</v>
      </c>
      <c r="K79" s="4">
        <v>19.2</v>
      </c>
      <c r="L79" s="4">
        <v>2.1</v>
      </c>
      <c r="M79" s="4">
        <v>3.7</v>
      </c>
      <c r="N79" s="4">
        <v>12.4</v>
      </c>
      <c r="O79" s="4">
        <v>9.4</v>
      </c>
      <c r="P79" s="4">
        <v>13.3</v>
      </c>
      <c r="Q79" s="4">
        <v>27.9</v>
      </c>
      <c r="R79" s="4">
        <v>7.5</v>
      </c>
      <c r="T79" s="10"/>
      <c r="V79" s="17">
        <f>G79*'IAA digestibility'!G79</f>
        <v>1.704</v>
      </c>
      <c r="W79" s="17">
        <f>H79*'IAA digestibility'!H79</f>
        <v>8.5050000000000008</v>
      </c>
      <c r="X79" s="17">
        <f>I79*'IAA digestibility'!I79</f>
        <v>9.84</v>
      </c>
      <c r="Y79" s="17">
        <f>J79*'IAA digestibility'!J79</f>
        <v>19.04</v>
      </c>
      <c r="Z79" s="17">
        <f>K79*'IAA digestibility'!K79</f>
        <v>16.704000000000001</v>
      </c>
      <c r="AA79" s="17">
        <f>L79*'IAA digestibility'!L79</f>
        <v>1.764</v>
      </c>
      <c r="AB79" s="17">
        <f>M79*'IAA digestibility'!M79</f>
        <v>2.7750000000000004</v>
      </c>
      <c r="AC79" s="17">
        <f>N79*'IAA digestibility'!N79</f>
        <v>10.416</v>
      </c>
      <c r="AD79" s="17">
        <f>O79*'IAA digestibility'!O79</f>
        <v>7.6140000000000008</v>
      </c>
      <c r="AE79" s="17">
        <f>P79*'IAA digestibility'!P79</f>
        <v>10.773000000000001</v>
      </c>
      <c r="AF79" s="17">
        <f>R79*'IAA digestibility'!R79</f>
        <v>6.375</v>
      </c>
      <c r="AG79" s="25"/>
      <c r="AH79" s="17">
        <f t="shared" si="10"/>
        <v>5.7762711864406775</v>
      </c>
      <c r="AI79" s="17">
        <f t="shared" si="11"/>
        <v>28.830508474576277</v>
      </c>
      <c r="AJ79" s="17">
        <f t="shared" si="12"/>
        <v>33.355932203389834</v>
      </c>
      <c r="AK79" s="17">
        <f t="shared" si="13"/>
        <v>64.542372881355931</v>
      </c>
      <c r="AL79" s="17">
        <f t="shared" si="14"/>
        <v>56.623728813559325</v>
      </c>
      <c r="AM79" s="17">
        <f t="shared" si="15"/>
        <v>15.386440677966103</v>
      </c>
      <c r="AN79" s="18">
        <f t="shared" si="16"/>
        <v>61.118644067796616</v>
      </c>
      <c r="AO79" s="17">
        <f t="shared" si="17"/>
        <v>36.518644067796622</v>
      </c>
      <c r="AP79" s="17">
        <f t="shared" si="18"/>
        <v>21.610169491525422</v>
      </c>
    </row>
    <row r="80" spans="1:43" s="4" customFormat="1" x14ac:dyDescent="0.25">
      <c r="A80" s="4" t="s">
        <v>341</v>
      </c>
      <c r="B80" s="4" t="s">
        <v>298</v>
      </c>
      <c r="C80" s="4">
        <v>2</v>
      </c>
      <c r="E80" s="4" t="s">
        <v>12</v>
      </c>
      <c r="F80" s="4">
        <v>311</v>
      </c>
      <c r="G80" s="4">
        <v>2.6</v>
      </c>
      <c r="H80" s="4">
        <v>11.1</v>
      </c>
      <c r="I80" s="4">
        <v>12.6</v>
      </c>
      <c r="J80" s="4">
        <v>23.6</v>
      </c>
      <c r="K80" s="4">
        <v>20</v>
      </c>
      <c r="L80" s="4">
        <v>2.2000000000000002</v>
      </c>
      <c r="M80" s="4">
        <v>4</v>
      </c>
      <c r="N80" s="4">
        <v>13</v>
      </c>
      <c r="O80" s="4">
        <v>9.9</v>
      </c>
      <c r="P80" s="4">
        <v>14.1</v>
      </c>
      <c r="Q80" s="4">
        <v>30.4</v>
      </c>
      <c r="R80" s="4">
        <v>7.9</v>
      </c>
      <c r="T80" s="10"/>
      <c r="V80" s="17">
        <f>G80*'IAA digestibility'!G80</f>
        <v>1.9500000000000002</v>
      </c>
      <c r="W80" s="17">
        <f>H80*'IAA digestibility'!H80</f>
        <v>9.3239999999999998</v>
      </c>
      <c r="X80" s="17">
        <f>I80*'IAA digestibility'!I80</f>
        <v>10.584</v>
      </c>
      <c r="Y80" s="17">
        <f>J80*'IAA digestibility'!J80</f>
        <v>20.532</v>
      </c>
      <c r="Z80" s="17">
        <f>K80*'IAA digestibility'!K80</f>
        <v>17.8</v>
      </c>
      <c r="AA80" s="17">
        <f>L80*'IAA digestibility'!L80</f>
        <v>1.8920000000000001</v>
      </c>
      <c r="AB80" s="17">
        <f>M80*'IAA digestibility'!M80</f>
        <v>3.08</v>
      </c>
      <c r="AC80" s="17">
        <f>N80*'IAA digestibility'!N80</f>
        <v>11.31</v>
      </c>
      <c r="AD80" s="17">
        <f>O80*'IAA digestibility'!O80</f>
        <v>8.4150000000000009</v>
      </c>
      <c r="AE80" s="17">
        <f>P80*'IAA digestibility'!P80</f>
        <v>11.702999999999999</v>
      </c>
      <c r="AF80" s="17">
        <f>R80*'IAA digestibility'!R80</f>
        <v>7.0310000000000006</v>
      </c>
      <c r="AG80" s="25"/>
      <c r="AH80" s="17">
        <f t="shared" si="10"/>
        <v>6.2700964630225089</v>
      </c>
      <c r="AI80" s="17">
        <f t="shared" si="11"/>
        <v>29.980707395498392</v>
      </c>
      <c r="AJ80" s="17">
        <f t="shared" si="12"/>
        <v>34.032154340836016</v>
      </c>
      <c r="AK80" s="17">
        <f t="shared" si="13"/>
        <v>66.019292604501615</v>
      </c>
      <c r="AL80" s="17">
        <f t="shared" si="14"/>
        <v>57.234726688102896</v>
      </c>
      <c r="AM80" s="17">
        <f t="shared" si="15"/>
        <v>15.987138263665598</v>
      </c>
      <c r="AN80" s="18">
        <f t="shared" si="16"/>
        <v>63.424437299035382</v>
      </c>
      <c r="AO80" s="17">
        <f t="shared" si="17"/>
        <v>37.630225080385848</v>
      </c>
      <c r="AP80" s="17">
        <f t="shared" si="18"/>
        <v>22.607717041800647</v>
      </c>
    </row>
    <row r="81" spans="1:42" s="4" customFormat="1" x14ac:dyDescent="0.25">
      <c r="A81" s="4" t="s">
        <v>268</v>
      </c>
      <c r="B81" s="4" t="s">
        <v>298</v>
      </c>
      <c r="C81" s="4">
        <v>12</v>
      </c>
      <c r="E81" s="4" t="s">
        <v>12</v>
      </c>
      <c r="F81" s="4">
        <v>466</v>
      </c>
      <c r="G81" s="4">
        <v>4.7</v>
      </c>
      <c r="H81" s="4">
        <v>11.7</v>
      </c>
      <c r="I81" s="4">
        <v>16.8</v>
      </c>
      <c r="J81" s="4">
        <v>30.6</v>
      </c>
      <c r="K81" s="4">
        <v>11.7</v>
      </c>
      <c r="L81" s="4">
        <v>5</v>
      </c>
      <c r="M81" s="4">
        <v>5.0999999999999996</v>
      </c>
      <c r="N81" s="4">
        <v>24.1</v>
      </c>
      <c r="O81" s="4">
        <v>17.899999999999999</v>
      </c>
      <c r="P81" s="4">
        <v>20</v>
      </c>
      <c r="Q81" s="4">
        <v>50.4</v>
      </c>
      <c r="R81" s="4">
        <v>10.8</v>
      </c>
      <c r="T81" s="10"/>
      <c r="V81" s="17">
        <f>G81*'IAA digestibility'!G81</f>
        <v>3.9009999999999998</v>
      </c>
      <c r="W81" s="17">
        <f>H81*'IAA digestibility'!H81</f>
        <v>9.6407999999999987</v>
      </c>
      <c r="X81" s="17">
        <f>I81*'IAA digestibility'!I81</f>
        <v>15.069600000000001</v>
      </c>
      <c r="Y81" s="17">
        <f>J81*'IAA digestibility'!J81</f>
        <v>28.366200000000003</v>
      </c>
      <c r="Z81" s="17">
        <f>K81*'IAA digestibility'!K81</f>
        <v>7.7805</v>
      </c>
      <c r="AA81" s="17">
        <f>L81*'IAA digestibility'!L81</f>
        <v>4.51</v>
      </c>
      <c r="AB81" s="17">
        <f>M81*'IAA digestibility'!M81</f>
        <v>3.9882</v>
      </c>
      <c r="AC81" s="17">
        <f>N81*'IAA digestibility'!N81</f>
        <v>22.678100000000001</v>
      </c>
      <c r="AD81" s="17">
        <f>O81*'IAA digestibility'!O81</f>
        <v>16.306899999999999</v>
      </c>
      <c r="AE81" s="17">
        <f>P81*'IAA digestibility'!P81</f>
        <v>18</v>
      </c>
      <c r="AF81" s="17">
        <f>R81*'IAA digestibility'!R81</f>
        <v>9.2556000000000012</v>
      </c>
      <c r="AG81" s="25"/>
      <c r="AH81" s="17">
        <f t="shared" si="10"/>
        <v>8.3712446351931327</v>
      </c>
      <c r="AI81" s="17">
        <f t="shared" si="11"/>
        <v>20.68841201716738</v>
      </c>
      <c r="AJ81" s="17">
        <f t="shared" si="12"/>
        <v>32.338197424892705</v>
      </c>
      <c r="AK81" s="17">
        <f t="shared" si="13"/>
        <v>60.871673819742497</v>
      </c>
      <c r="AL81" s="17">
        <f t="shared" si="14"/>
        <v>16.696351931330472</v>
      </c>
      <c r="AM81" s="17">
        <f t="shared" si="15"/>
        <v>18.23648068669528</v>
      </c>
      <c r="AN81" s="18">
        <f t="shared" si="16"/>
        <v>83.658798283261802</v>
      </c>
      <c r="AO81" s="17">
        <f t="shared" si="17"/>
        <v>38.626609442060087</v>
      </c>
      <c r="AP81" s="17">
        <f t="shared" si="18"/>
        <v>19.861802575107301</v>
      </c>
    </row>
    <row r="82" spans="1:42" s="4" customFormat="1" x14ac:dyDescent="0.25">
      <c r="A82" s="4" t="s">
        <v>248</v>
      </c>
      <c r="B82" s="4" t="s">
        <v>298</v>
      </c>
      <c r="C82" s="4">
        <v>9</v>
      </c>
      <c r="E82" s="4" t="s">
        <v>240</v>
      </c>
      <c r="F82" s="4">
        <v>262</v>
      </c>
      <c r="G82" s="4">
        <v>2.5</v>
      </c>
      <c r="H82" s="4">
        <v>10.1</v>
      </c>
      <c r="I82" s="4">
        <v>10.8</v>
      </c>
      <c r="J82" s="4">
        <v>19.7</v>
      </c>
      <c r="K82" s="4">
        <v>16.8</v>
      </c>
      <c r="L82" s="4">
        <v>2.7</v>
      </c>
      <c r="M82" s="4">
        <v>5</v>
      </c>
      <c r="N82" s="4">
        <v>13.8</v>
      </c>
      <c r="O82" s="4">
        <v>6.2</v>
      </c>
      <c r="P82" s="4">
        <v>12.5</v>
      </c>
      <c r="Q82" s="4">
        <v>14.6</v>
      </c>
      <c r="R82" s="4">
        <v>9</v>
      </c>
      <c r="T82" s="10"/>
      <c r="V82" s="17">
        <f>G82*'IAA digestibility'!G82</f>
        <v>1.9475</v>
      </c>
      <c r="W82" s="17">
        <f>H82*'IAA digestibility'!H82</f>
        <v>7.5345999999999993</v>
      </c>
      <c r="X82" s="17">
        <f>I82*'IAA digestibility'!I82</f>
        <v>8.6292000000000009</v>
      </c>
      <c r="Y82" s="17">
        <f>J82*'IAA digestibility'!J82</f>
        <v>17.4739</v>
      </c>
      <c r="Z82" s="17">
        <f>K82*'IAA digestibility'!K82</f>
        <v>14.0448</v>
      </c>
      <c r="AA82" s="17">
        <f>L82*'IAA digestibility'!L82</f>
        <v>2.2734000000000001</v>
      </c>
      <c r="AB82" s="17">
        <f>M82*'IAA digestibility'!M82</f>
        <v>2.1850000000000001</v>
      </c>
      <c r="AC82" s="17">
        <f>N82*'IAA digestibility'!N82</f>
        <v>10.736400000000001</v>
      </c>
      <c r="AD82" s="17">
        <f>O82*'IAA digestibility'!O82</f>
        <v>3.6642000000000001</v>
      </c>
      <c r="AE82" s="17">
        <f>P82*'IAA digestibility'!P82</f>
        <v>9.9875000000000007</v>
      </c>
      <c r="AF82" s="17">
        <f>R82*'IAA digestibility'!R82</f>
        <v>5.0849999999999991</v>
      </c>
      <c r="AG82" s="25"/>
      <c r="AH82" s="17">
        <f t="shared" si="10"/>
        <v>7.4332061068702293</v>
      </c>
      <c r="AI82" s="17">
        <f t="shared" si="11"/>
        <v>28.758015267175573</v>
      </c>
      <c r="AJ82" s="17">
        <f t="shared" si="12"/>
        <v>32.935877862595419</v>
      </c>
      <c r="AK82" s="17">
        <f t="shared" si="13"/>
        <v>66.694274809160305</v>
      </c>
      <c r="AL82" s="17">
        <f t="shared" si="14"/>
        <v>53.606106870229006</v>
      </c>
      <c r="AM82" s="17">
        <f t="shared" si="15"/>
        <v>17.016793893129769</v>
      </c>
      <c r="AN82" s="18">
        <f t="shared" si="16"/>
        <v>54.964122137404587</v>
      </c>
      <c r="AO82" s="17">
        <f t="shared" si="17"/>
        <v>38.120229007633597</v>
      </c>
      <c r="AP82" s="17">
        <f t="shared" si="18"/>
        <v>19.408396946564885</v>
      </c>
    </row>
    <row r="83" spans="1:42" s="4" customFormat="1" x14ac:dyDescent="0.25">
      <c r="A83" s="4" t="s">
        <v>480</v>
      </c>
      <c r="B83" s="4" t="s">
        <v>298</v>
      </c>
      <c r="C83" s="4">
        <v>2</v>
      </c>
      <c r="E83" s="4" t="s">
        <v>12</v>
      </c>
      <c r="F83" s="4">
        <v>264</v>
      </c>
      <c r="G83" s="4">
        <v>1.8</v>
      </c>
      <c r="H83" s="4">
        <v>9.1999999999999993</v>
      </c>
      <c r="I83" s="4">
        <v>10.4</v>
      </c>
      <c r="J83" s="4">
        <v>17.899999999999999</v>
      </c>
      <c r="K83" s="4">
        <v>16.2</v>
      </c>
      <c r="L83" s="4">
        <v>2.1</v>
      </c>
      <c r="M83" s="4">
        <v>3.2</v>
      </c>
      <c r="N83" s="4">
        <v>11.5</v>
      </c>
      <c r="O83" s="4">
        <v>7.1</v>
      </c>
      <c r="P83" s="4">
        <v>11</v>
      </c>
      <c r="Q83" s="4">
        <v>18.8</v>
      </c>
      <c r="R83" s="4">
        <v>6.2</v>
      </c>
      <c r="T83" s="10"/>
      <c r="V83" s="17">
        <f>G83*'IAA digestibility'!G83</f>
        <v>1.476</v>
      </c>
      <c r="W83" s="17">
        <f>H83*'IAA digestibility'!H83</f>
        <v>7.452</v>
      </c>
      <c r="X83" s="17">
        <f>I83*'IAA digestibility'!I83</f>
        <v>8.7360000000000007</v>
      </c>
      <c r="Y83" s="17">
        <f>J83*'IAA digestibility'!J83</f>
        <v>15.393999999999998</v>
      </c>
      <c r="Z83" s="17">
        <f>K83*'IAA digestibility'!K83</f>
        <v>13.283999999999999</v>
      </c>
      <c r="AA83" s="17">
        <f>L83*'IAA digestibility'!L83</f>
        <v>1.806</v>
      </c>
      <c r="AB83" s="17">
        <f>M83*'IAA digestibility'!M83</f>
        <v>2.5600000000000005</v>
      </c>
      <c r="AC83" s="17">
        <f>N83*'IAA digestibility'!N83</f>
        <v>9.89</v>
      </c>
      <c r="AD83" s="17">
        <f>O83*'IAA digestibility'!O83</f>
        <v>6.0349999999999993</v>
      </c>
      <c r="AE83" s="17">
        <f>P83*'IAA digestibility'!P83</f>
        <v>9.129999999999999</v>
      </c>
      <c r="AF83" s="17">
        <f>R83*'IAA digestibility'!R83</f>
        <v>5.3319999999999999</v>
      </c>
      <c r="AG83" s="25"/>
      <c r="AH83" s="17">
        <f t="shared" si="10"/>
        <v>5.5909090909090908</v>
      </c>
      <c r="AI83" s="17">
        <f t="shared" si="11"/>
        <v>28.227272727272727</v>
      </c>
      <c r="AJ83" s="17">
        <f t="shared" si="12"/>
        <v>33.090909090909093</v>
      </c>
      <c r="AK83" s="17">
        <f t="shared" si="13"/>
        <v>58.310606060606055</v>
      </c>
      <c r="AL83" s="17">
        <f t="shared" si="14"/>
        <v>50.31818181818182</v>
      </c>
      <c r="AM83" s="17">
        <f t="shared" si="15"/>
        <v>16.537878787878789</v>
      </c>
      <c r="AN83" s="18">
        <f t="shared" si="16"/>
        <v>60.321969696969703</v>
      </c>
      <c r="AO83" s="17">
        <f t="shared" si="17"/>
        <v>34.583333333333329</v>
      </c>
      <c r="AP83" s="17">
        <f t="shared" si="18"/>
        <v>20.196969696969695</v>
      </c>
    </row>
    <row r="84" spans="1:42" s="4" customFormat="1" x14ac:dyDescent="0.25">
      <c r="A84" s="4" t="s">
        <v>481</v>
      </c>
      <c r="B84" s="4" t="s">
        <v>298</v>
      </c>
      <c r="C84" s="4">
        <v>13</v>
      </c>
      <c r="E84" s="4" t="s">
        <v>12</v>
      </c>
      <c r="F84" s="4">
        <v>247</v>
      </c>
      <c r="G84" s="4">
        <v>1.4</v>
      </c>
      <c r="H84" s="4">
        <v>8.6999999999999993</v>
      </c>
      <c r="I84" s="4">
        <v>10.9</v>
      </c>
      <c r="J84" s="4">
        <v>17.600000000000001</v>
      </c>
      <c r="K84" s="4">
        <v>17</v>
      </c>
      <c r="L84" s="4">
        <v>1.9</v>
      </c>
      <c r="M84" s="4">
        <v>2.6</v>
      </c>
      <c r="N84" s="4">
        <v>12.2</v>
      </c>
      <c r="O84" s="4">
        <v>7.2</v>
      </c>
      <c r="P84" s="4">
        <v>12</v>
      </c>
      <c r="Q84" s="4">
        <v>17.8</v>
      </c>
      <c r="R84" s="4">
        <v>5.9</v>
      </c>
      <c r="S84" s="4" t="s">
        <v>270</v>
      </c>
      <c r="T84" s="10"/>
      <c r="V84" s="17">
        <f>G84*'IAA digestibility'!G84</f>
        <v>1.2096</v>
      </c>
      <c r="W84" s="17">
        <f>H84*'IAA digestibility'!H84</f>
        <v>6.8729999999999993</v>
      </c>
      <c r="X84" s="17">
        <f>I84*'IAA digestibility'!I84</f>
        <v>8.4802</v>
      </c>
      <c r="Y84" s="17">
        <f>J84*'IAA digestibility'!J84</f>
        <v>13.904000000000002</v>
      </c>
      <c r="Z84" s="17">
        <f>K84*'IAA digestibility'!K84</f>
        <v>13.702000000000002</v>
      </c>
      <c r="AA84" s="17">
        <f>L84*'IAA digestibility'!L84</f>
        <v>1.4363999999999999</v>
      </c>
      <c r="AB84" s="17">
        <f>M84*'IAA digestibility'!M84</f>
        <v>1.8642000000000001</v>
      </c>
      <c r="AC84" s="17">
        <f>N84*'IAA digestibility'!N84</f>
        <v>9.6013999999999999</v>
      </c>
      <c r="AD84" s="17">
        <f>O84*'IAA digestibility'!O84</f>
        <v>5.7744000000000009</v>
      </c>
      <c r="AE84" s="17">
        <f>P84*'IAA digestibility'!P84</f>
        <v>9.2759999999999998</v>
      </c>
      <c r="AF84" s="17">
        <f>R84*'IAA digestibility'!R84</f>
        <v>4.7023000000000001</v>
      </c>
      <c r="AG84" s="25"/>
      <c r="AH84" s="17">
        <f t="shared" si="10"/>
        <v>4.8971659919028347</v>
      </c>
      <c r="AI84" s="17">
        <f t="shared" si="11"/>
        <v>27.825910931174089</v>
      </c>
      <c r="AJ84" s="17">
        <f t="shared" si="12"/>
        <v>34.33279352226721</v>
      </c>
      <c r="AK84" s="17">
        <f t="shared" si="13"/>
        <v>56.291497975708509</v>
      </c>
      <c r="AL84" s="17">
        <f t="shared" si="14"/>
        <v>55.473684210526322</v>
      </c>
      <c r="AM84" s="17">
        <f t="shared" si="15"/>
        <v>13.362753036437248</v>
      </c>
      <c r="AN84" s="18">
        <f t="shared" si="16"/>
        <v>62.250202429149802</v>
      </c>
      <c r="AO84" s="17">
        <f t="shared" si="17"/>
        <v>37.554655870445337</v>
      </c>
      <c r="AP84" s="17">
        <f t="shared" si="18"/>
        <v>19.037651821862347</v>
      </c>
    </row>
    <row r="85" spans="1:42" s="4" customFormat="1" x14ac:dyDescent="0.25">
      <c r="A85" s="4" t="s">
        <v>482</v>
      </c>
      <c r="B85" s="4" t="s">
        <v>298</v>
      </c>
      <c r="C85" s="4">
        <v>13</v>
      </c>
      <c r="E85" s="4" t="s">
        <v>12</v>
      </c>
      <c r="F85" s="4">
        <v>243</v>
      </c>
      <c r="G85" s="4">
        <v>1.4</v>
      </c>
      <c r="H85" s="4">
        <v>8.6</v>
      </c>
      <c r="I85" s="4">
        <v>10.7</v>
      </c>
      <c r="J85" s="4">
        <v>17.600000000000001</v>
      </c>
      <c r="K85" s="4">
        <v>16.3</v>
      </c>
      <c r="L85" s="4">
        <v>2</v>
      </c>
      <c r="M85" s="4">
        <v>2.7</v>
      </c>
      <c r="N85" s="4">
        <v>12.2</v>
      </c>
      <c r="O85" s="4">
        <v>7.2</v>
      </c>
      <c r="P85" s="4">
        <v>11.9</v>
      </c>
      <c r="Q85" s="4">
        <v>17.399999999999999</v>
      </c>
      <c r="R85" s="4">
        <v>5.9</v>
      </c>
      <c r="S85" s="4" t="s">
        <v>272</v>
      </c>
      <c r="T85" s="10"/>
      <c r="V85" s="17">
        <f>G85*'IAA digestibility'!G85</f>
        <v>1.302</v>
      </c>
      <c r="W85" s="17">
        <f>H85*'IAA digestibility'!H85</f>
        <v>7.3529999999999998</v>
      </c>
      <c r="X85" s="17">
        <f>I85*'IAA digestibility'!I85</f>
        <v>9.1806000000000001</v>
      </c>
      <c r="Y85" s="17">
        <f>J85*'IAA digestibility'!J85</f>
        <v>15.276800000000001</v>
      </c>
      <c r="Z85" s="17">
        <f>K85*'IAA digestibility'!K85</f>
        <v>14.229900000000001</v>
      </c>
      <c r="AA85" s="17">
        <f>L85*'IAA digestibility'!L85</f>
        <v>1.72</v>
      </c>
      <c r="AB85" s="17">
        <f>M85*'IAA digestibility'!M85</f>
        <v>2.1492000000000004</v>
      </c>
      <c r="AC85" s="17">
        <f>N85*'IAA digestibility'!N85</f>
        <v>10.479799999999999</v>
      </c>
      <c r="AD85" s="17">
        <f>O85*'IAA digestibility'!O85</f>
        <v>6.0407999999999999</v>
      </c>
      <c r="AE85" s="17">
        <f>P85*'IAA digestibility'!P85</f>
        <v>10.1031</v>
      </c>
      <c r="AF85" s="17">
        <f>R85*'IAA digestibility'!R85</f>
        <v>5.0857999999999999</v>
      </c>
      <c r="AG85" s="25"/>
      <c r="AH85" s="17">
        <f t="shared" si="10"/>
        <v>5.3580246913580245</v>
      </c>
      <c r="AI85" s="17">
        <f t="shared" si="11"/>
        <v>30.259259259259256</v>
      </c>
      <c r="AJ85" s="17">
        <f t="shared" si="12"/>
        <v>37.78024691358025</v>
      </c>
      <c r="AK85" s="17">
        <f t="shared" si="13"/>
        <v>62.867489711934162</v>
      </c>
      <c r="AL85" s="17">
        <f t="shared" si="14"/>
        <v>58.559259259259264</v>
      </c>
      <c r="AM85" s="17">
        <f t="shared" si="15"/>
        <v>15.922633744855966</v>
      </c>
      <c r="AN85" s="18">
        <f t="shared" si="16"/>
        <v>67.986008230452668</v>
      </c>
      <c r="AO85" s="17">
        <f t="shared" si="17"/>
        <v>41.57654320987654</v>
      </c>
      <c r="AP85" s="17">
        <f t="shared" si="18"/>
        <v>20.929218106995883</v>
      </c>
    </row>
    <row r="86" spans="1:42" s="4" customFormat="1" x14ac:dyDescent="0.25">
      <c r="A86" s="4" t="s">
        <v>483</v>
      </c>
      <c r="B86" s="4" t="s">
        <v>298</v>
      </c>
      <c r="C86" s="4">
        <v>13</v>
      </c>
      <c r="E86" s="4" t="s">
        <v>12</v>
      </c>
      <c r="F86" s="4">
        <v>244</v>
      </c>
      <c r="G86" s="4">
        <v>1.5</v>
      </c>
      <c r="H86" s="4">
        <v>8.6</v>
      </c>
      <c r="I86" s="4">
        <v>10.7</v>
      </c>
      <c r="J86" s="4">
        <v>17.399999999999999</v>
      </c>
      <c r="K86" s="4">
        <v>16.600000000000001</v>
      </c>
      <c r="L86" s="4">
        <v>1.8</v>
      </c>
      <c r="M86" s="4">
        <v>2.6</v>
      </c>
      <c r="N86" s="4">
        <v>12.1</v>
      </c>
      <c r="O86" s="4">
        <v>7.1</v>
      </c>
      <c r="P86" s="4">
        <v>11.9</v>
      </c>
      <c r="Q86" s="4">
        <v>17.600000000000001</v>
      </c>
      <c r="R86" s="4">
        <v>5.9</v>
      </c>
      <c r="S86" s="4" t="s">
        <v>272</v>
      </c>
      <c r="T86" s="10"/>
      <c r="V86" s="17">
        <f>G86*'IAA digestibility'!G86</f>
        <v>1.4339999999999999</v>
      </c>
      <c r="W86" s="17">
        <f>H86*'IAA digestibility'!H86</f>
        <v>7.5594000000000001</v>
      </c>
      <c r="X86" s="17">
        <f>I86*'IAA digestibility'!I86</f>
        <v>9.3731999999999989</v>
      </c>
      <c r="Y86" s="17">
        <f>J86*'IAA digestibility'!J86</f>
        <v>15.346799999999998</v>
      </c>
      <c r="Z86" s="17">
        <f>K86*'IAA digestibility'!K86</f>
        <v>14.591400000000002</v>
      </c>
      <c r="AA86" s="17">
        <f>L86*'IAA digestibility'!L86</f>
        <v>1.5588</v>
      </c>
      <c r="AB86" s="17">
        <f>M86*'IAA digestibility'!M86</f>
        <v>1.9864000000000002</v>
      </c>
      <c r="AC86" s="17">
        <f>N86*'IAA digestibility'!N86</f>
        <v>10.7569</v>
      </c>
      <c r="AD86" s="17">
        <f>O86*'IAA digestibility'!O86</f>
        <v>6.2692999999999994</v>
      </c>
      <c r="AE86" s="17">
        <f>P86*'IAA digestibility'!P86</f>
        <v>10.353</v>
      </c>
      <c r="AF86" s="17">
        <f>R86*'IAA digestibility'!R86</f>
        <v>5.133</v>
      </c>
      <c r="AG86" s="25"/>
      <c r="AH86" s="17">
        <f t="shared" si="10"/>
        <v>5.8770491803278686</v>
      </c>
      <c r="AI86" s="17">
        <f t="shared" si="11"/>
        <v>30.981147540983606</v>
      </c>
      <c r="AJ86" s="17">
        <f t="shared" si="12"/>
        <v>38.414754098360646</v>
      </c>
      <c r="AK86" s="17">
        <f t="shared" si="13"/>
        <v>62.896721311475403</v>
      </c>
      <c r="AL86" s="17">
        <f t="shared" si="14"/>
        <v>59.800819672131155</v>
      </c>
      <c r="AM86" s="17">
        <f t="shared" si="15"/>
        <v>14.529508196721313</v>
      </c>
      <c r="AN86" s="18">
        <f t="shared" si="16"/>
        <v>69.779508196721309</v>
      </c>
      <c r="AO86" s="17">
        <f t="shared" si="17"/>
        <v>42.430327868852459</v>
      </c>
      <c r="AP86" s="17">
        <f t="shared" si="18"/>
        <v>21.03688524590164</v>
      </c>
    </row>
    <row r="87" spans="1:42" s="4" customFormat="1" x14ac:dyDescent="0.25">
      <c r="A87" s="4" t="s">
        <v>484</v>
      </c>
      <c r="B87" s="4" t="s">
        <v>298</v>
      </c>
      <c r="C87" s="4">
        <v>2</v>
      </c>
      <c r="E87" s="4" t="s">
        <v>12</v>
      </c>
      <c r="F87" s="4">
        <v>225</v>
      </c>
      <c r="G87" s="4">
        <v>4</v>
      </c>
      <c r="H87" s="4">
        <v>10</v>
      </c>
      <c r="I87" s="4">
        <v>10.7</v>
      </c>
      <c r="J87" s="4">
        <v>14.3</v>
      </c>
      <c r="K87" s="4">
        <v>8.8000000000000007</v>
      </c>
      <c r="L87" s="4">
        <v>4.4000000000000004</v>
      </c>
      <c r="M87" s="4">
        <v>4.4000000000000004</v>
      </c>
      <c r="N87" s="4">
        <v>12</v>
      </c>
      <c r="O87" s="4">
        <v>6.3</v>
      </c>
      <c r="P87" s="4">
        <v>11.8</v>
      </c>
      <c r="Q87" s="4">
        <v>22.6</v>
      </c>
      <c r="R87" s="4">
        <v>5.2</v>
      </c>
      <c r="T87" s="10"/>
      <c r="V87" s="17">
        <f>G87*'IAA digestibility'!G87</f>
        <v>3.04</v>
      </c>
      <c r="W87" s="17">
        <f>H87*'IAA digestibility'!H87</f>
        <v>7.5</v>
      </c>
      <c r="X87" s="17">
        <f>I87*'IAA digestibility'!I87</f>
        <v>8.56</v>
      </c>
      <c r="Y87" s="17">
        <f>J87*'IAA digestibility'!J87</f>
        <v>11.725999999999999</v>
      </c>
      <c r="Z87" s="17">
        <f>K87*'IAA digestibility'!K87</f>
        <v>6.6000000000000005</v>
      </c>
      <c r="AA87" s="17">
        <f>L87*'IAA digestibility'!L87</f>
        <v>3.6520000000000001</v>
      </c>
      <c r="AB87" s="17">
        <f>M87*'IAA digestibility'!M87</f>
        <v>3.2120000000000002</v>
      </c>
      <c r="AC87" s="17">
        <f>N87*'IAA digestibility'!N87</f>
        <v>9.9599999999999991</v>
      </c>
      <c r="AD87" s="17">
        <f>O87*'IAA digestibility'!O87</f>
        <v>5.1029999999999998</v>
      </c>
      <c r="AE87" s="17">
        <f>P87*'IAA digestibility'!P87</f>
        <v>9.2040000000000006</v>
      </c>
      <c r="AF87" s="17">
        <f>R87*'IAA digestibility'!R87</f>
        <v>4.2120000000000006</v>
      </c>
      <c r="AG87" s="25"/>
      <c r="AH87" s="17">
        <f t="shared" si="10"/>
        <v>13.511111111111111</v>
      </c>
      <c r="AI87" s="17">
        <f t="shared" si="11"/>
        <v>33.333333333333336</v>
      </c>
      <c r="AJ87" s="17">
        <f t="shared" si="12"/>
        <v>38.044444444444444</v>
      </c>
      <c r="AK87" s="17">
        <f t="shared" si="13"/>
        <v>52.115555555555552</v>
      </c>
      <c r="AL87" s="17">
        <f t="shared" si="14"/>
        <v>29.333333333333336</v>
      </c>
      <c r="AM87" s="17">
        <f t="shared" si="15"/>
        <v>30.506666666666671</v>
      </c>
      <c r="AN87" s="18">
        <f t="shared" si="16"/>
        <v>66.946666666666673</v>
      </c>
      <c r="AO87" s="17">
        <f t="shared" si="17"/>
        <v>40.906666666666666</v>
      </c>
      <c r="AP87" s="17">
        <f t="shared" si="18"/>
        <v>18.720000000000002</v>
      </c>
    </row>
    <row r="88" spans="1:42" s="4" customFormat="1" x14ac:dyDescent="0.25">
      <c r="A88" s="4" t="s">
        <v>485</v>
      </c>
      <c r="B88" s="4" t="s">
        <v>298</v>
      </c>
      <c r="C88" s="4">
        <v>2</v>
      </c>
      <c r="E88" s="4" t="s">
        <v>12</v>
      </c>
      <c r="F88" s="4">
        <v>225</v>
      </c>
      <c r="G88" s="4">
        <v>4</v>
      </c>
      <c r="H88" s="4">
        <v>10</v>
      </c>
      <c r="I88" s="4">
        <v>10.7</v>
      </c>
      <c r="J88" s="4">
        <v>14.3</v>
      </c>
      <c r="K88" s="4">
        <v>8.8000000000000007</v>
      </c>
      <c r="L88" s="4">
        <v>4.4000000000000004</v>
      </c>
      <c r="M88" s="4">
        <v>4.4000000000000004</v>
      </c>
      <c r="N88" s="4">
        <v>12</v>
      </c>
      <c r="O88" s="4">
        <v>6.3</v>
      </c>
      <c r="P88" s="4">
        <v>11.8</v>
      </c>
      <c r="Q88" s="4">
        <v>22.6</v>
      </c>
      <c r="R88" s="4">
        <v>5.2</v>
      </c>
      <c r="T88" s="10"/>
      <c r="V88" s="17">
        <f>G88*'IAA digestibility'!G88</f>
        <v>3.04</v>
      </c>
      <c r="W88" s="17">
        <f>H88*'IAA digestibility'!H88</f>
        <v>7.5</v>
      </c>
      <c r="X88" s="17">
        <f>I88*'IAA digestibility'!I88</f>
        <v>8.56</v>
      </c>
      <c r="Y88" s="17">
        <f>J88*'IAA digestibility'!J88</f>
        <v>11.725999999999999</v>
      </c>
      <c r="Z88" s="17">
        <f>K88*'IAA digestibility'!K88</f>
        <v>6.6000000000000005</v>
      </c>
      <c r="AA88" s="17">
        <f>L88*'IAA digestibility'!L88</f>
        <v>3.6520000000000001</v>
      </c>
      <c r="AB88" s="17">
        <f>M88*'IAA digestibility'!M88</f>
        <v>3.2120000000000002</v>
      </c>
      <c r="AC88" s="17">
        <f>N88*'IAA digestibility'!N88</f>
        <v>9.9599999999999991</v>
      </c>
      <c r="AD88" s="17">
        <f>O88*'IAA digestibility'!O88</f>
        <v>5.1029999999999998</v>
      </c>
      <c r="AE88" s="17">
        <f>P88*'IAA digestibility'!P88</f>
        <v>9.2040000000000006</v>
      </c>
      <c r="AF88" s="17">
        <f>R88*'IAA digestibility'!R88</f>
        <v>4.2120000000000006</v>
      </c>
      <c r="AG88" s="25"/>
      <c r="AH88" s="17">
        <f t="shared" si="10"/>
        <v>13.511111111111111</v>
      </c>
      <c r="AI88" s="17">
        <f t="shared" si="11"/>
        <v>33.333333333333336</v>
      </c>
      <c r="AJ88" s="17">
        <f t="shared" si="12"/>
        <v>38.044444444444444</v>
      </c>
      <c r="AK88" s="17">
        <f t="shared" si="13"/>
        <v>52.115555555555552</v>
      </c>
      <c r="AL88" s="17">
        <f t="shared" si="14"/>
        <v>29.333333333333336</v>
      </c>
      <c r="AM88" s="17">
        <f t="shared" si="15"/>
        <v>30.506666666666671</v>
      </c>
      <c r="AN88" s="18">
        <f t="shared" si="16"/>
        <v>66.946666666666673</v>
      </c>
      <c r="AO88" s="17">
        <f t="shared" si="17"/>
        <v>40.906666666666666</v>
      </c>
      <c r="AP88" s="17">
        <f t="shared" si="18"/>
        <v>18.720000000000002</v>
      </c>
    </row>
    <row r="89" spans="1:42" s="4" customFormat="1" x14ac:dyDescent="0.25">
      <c r="A89" s="4" t="s">
        <v>486</v>
      </c>
      <c r="B89" s="4" t="s">
        <v>298</v>
      </c>
      <c r="C89" s="4">
        <v>2</v>
      </c>
      <c r="E89" s="4" t="s">
        <v>12</v>
      </c>
      <c r="F89" s="4">
        <v>333</v>
      </c>
      <c r="G89" s="4">
        <v>2.5</v>
      </c>
      <c r="H89" s="4">
        <v>13.1</v>
      </c>
      <c r="I89" s="4">
        <v>15.5</v>
      </c>
      <c r="J89" s="4">
        <v>24.7</v>
      </c>
      <c r="K89" s="4">
        <v>16.8</v>
      </c>
      <c r="L89" s="4">
        <v>2.9</v>
      </c>
      <c r="M89" s="4">
        <v>6</v>
      </c>
      <c r="N89" s="4">
        <v>13.2</v>
      </c>
      <c r="O89" s="4">
        <v>15.3</v>
      </c>
      <c r="P89" s="4">
        <v>14.9</v>
      </c>
      <c r="Q89" s="4">
        <v>32.9</v>
      </c>
      <c r="R89" s="4">
        <v>7.5</v>
      </c>
      <c r="T89" s="10"/>
      <c r="V89" s="17">
        <f>G89*'IAA digestibility'!G89</f>
        <v>1.925</v>
      </c>
      <c r="W89" s="17">
        <f>H89*'IAA digestibility'!H89</f>
        <v>10.872999999999999</v>
      </c>
      <c r="X89" s="17">
        <f>I89*'IAA digestibility'!I89</f>
        <v>13.64</v>
      </c>
      <c r="Y89" s="17">
        <f>J89*'IAA digestibility'!J89</f>
        <v>21.736000000000001</v>
      </c>
      <c r="Z89" s="17">
        <f>K89*'IAA digestibility'!K89</f>
        <v>14.616</v>
      </c>
      <c r="AA89" s="17">
        <f>L89*'IAA digestibility'!L89</f>
        <v>2.4939999999999998</v>
      </c>
      <c r="AB89" s="17">
        <f>M89*'IAA digestibility'!M89</f>
        <v>5.16</v>
      </c>
      <c r="AC89" s="17">
        <f>N89*'IAA digestibility'!N89</f>
        <v>11.879999999999999</v>
      </c>
      <c r="AD89" s="17">
        <f>O89*'IAA digestibility'!O89</f>
        <v>13.464</v>
      </c>
      <c r="AE89" s="17">
        <f>P89*'IAA digestibility'!P89</f>
        <v>12.516</v>
      </c>
      <c r="AF89" s="17">
        <f>R89*'IAA digestibility'!R89</f>
        <v>6.9</v>
      </c>
      <c r="AG89" s="25"/>
      <c r="AH89" s="17">
        <f t="shared" si="10"/>
        <v>5.7807807807807814</v>
      </c>
      <c r="AI89" s="17">
        <f t="shared" si="11"/>
        <v>32.651651651651655</v>
      </c>
      <c r="AJ89" s="17">
        <f t="shared" si="12"/>
        <v>40.960960960960961</v>
      </c>
      <c r="AK89" s="17">
        <f t="shared" si="13"/>
        <v>65.273273273273276</v>
      </c>
      <c r="AL89" s="17">
        <f t="shared" si="14"/>
        <v>43.891891891891888</v>
      </c>
      <c r="AM89" s="17">
        <f t="shared" si="15"/>
        <v>22.984984984984987</v>
      </c>
      <c r="AN89" s="18">
        <f t="shared" si="16"/>
        <v>76.108108108108112</v>
      </c>
      <c r="AO89" s="17">
        <f t="shared" si="17"/>
        <v>37.585585585585584</v>
      </c>
      <c r="AP89" s="17">
        <f t="shared" si="18"/>
        <v>20.72072072072072</v>
      </c>
    </row>
    <row r="90" spans="1:42" s="4" customFormat="1" x14ac:dyDescent="0.25">
      <c r="A90" s="4" t="s">
        <v>487</v>
      </c>
      <c r="B90" s="4" t="s">
        <v>298</v>
      </c>
      <c r="C90" s="4">
        <v>2</v>
      </c>
      <c r="E90" s="4" t="s">
        <v>12</v>
      </c>
      <c r="F90" s="4">
        <v>380</v>
      </c>
      <c r="G90" s="4">
        <v>2.6</v>
      </c>
      <c r="H90" s="4">
        <v>14.1</v>
      </c>
      <c r="I90" s="4">
        <v>17.600000000000001</v>
      </c>
      <c r="J90" s="4">
        <v>27.6</v>
      </c>
      <c r="K90" s="4">
        <v>18.5</v>
      </c>
      <c r="L90" s="4">
        <v>3</v>
      </c>
      <c r="M90" s="4">
        <v>6.3</v>
      </c>
      <c r="N90" s="4">
        <v>14.8</v>
      </c>
      <c r="O90" s="4">
        <v>17.7</v>
      </c>
      <c r="P90" s="4">
        <v>16.399999999999999</v>
      </c>
      <c r="Q90" s="4">
        <v>40.9</v>
      </c>
      <c r="R90" s="4">
        <v>8.3000000000000007</v>
      </c>
      <c r="T90" s="10"/>
      <c r="V90" s="17">
        <f>G90*'IAA digestibility'!G90</f>
        <v>2.028</v>
      </c>
      <c r="W90" s="17">
        <f>H90*'IAA digestibility'!H90</f>
        <v>10.997999999999999</v>
      </c>
      <c r="X90" s="17">
        <f>I90*'IAA digestibility'!I90</f>
        <v>15.312000000000001</v>
      </c>
      <c r="Y90" s="17">
        <f>J90*'IAA digestibility'!J90</f>
        <v>23.736000000000001</v>
      </c>
      <c r="Z90" s="17">
        <f>K90*'IAA digestibility'!K90</f>
        <v>15.17</v>
      </c>
      <c r="AA90" s="17">
        <f>L90*'IAA digestibility'!L90</f>
        <v>2.2800000000000002</v>
      </c>
      <c r="AB90" s="17">
        <f>M90*'IAA digestibility'!M90</f>
        <v>4.7880000000000003</v>
      </c>
      <c r="AC90" s="17">
        <f>N90*'IAA digestibility'!N90</f>
        <v>12.728</v>
      </c>
      <c r="AD90" s="17">
        <f>O90*'IAA digestibility'!O90</f>
        <v>15.753</v>
      </c>
      <c r="AE90" s="17">
        <f>P90*'IAA digestibility'!P90</f>
        <v>12.135999999999999</v>
      </c>
      <c r="AF90" s="17">
        <f>R90*'IAA digestibility'!R90</f>
        <v>7.1380000000000008</v>
      </c>
      <c r="AG90" s="25"/>
      <c r="AH90" s="17">
        <f t="shared" si="10"/>
        <v>5.3368421052631581</v>
      </c>
      <c r="AI90" s="17">
        <f t="shared" si="11"/>
        <v>28.942105263157895</v>
      </c>
      <c r="AJ90" s="17">
        <f t="shared" si="12"/>
        <v>40.294736842105266</v>
      </c>
      <c r="AK90" s="17">
        <f t="shared" si="13"/>
        <v>62.463157894736845</v>
      </c>
      <c r="AL90" s="17">
        <f t="shared" si="14"/>
        <v>39.921052631578945</v>
      </c>
      <c r="AM90" s="17">
        <f t="shared" si="15"/>
        <v>18.600000000000001</v>
      </c>
      <c r="AN90" s="18">
        <f t="shared" si="16"/>
        <v>74.95</v>
      </c>
      <c r="AO90" s="17">
        <f t="shared" si="17"/>
        <v>31.93684210526316</v>
      </c>
      <c r="AP90" s="17">
        <f t="shared" si="18"/>
        <v>18.784210526315793</v>
      </c>
    </row>
    <row r="91" spans="1:42" s="4" customFormat="1" x14ac:dyDescent="0.25">
      <c r="A91" s="4" t="s">
        <v>488</v>
      </c>
      <c r="B91" s="4" t="s">
        <v>298</v>
      </c>
      <c r="C91" s="4">
        <v>2</v>
      </c>
      <c r="E91" s="4" t="s">
        <v>12</v>
      </c>
      <c r="F91" s="4">
        <v>380</v>
      </c>
      <c r="G91" s="4">
        <v>2.6</v>
      </c>
      <c r="H91" s="4">
        <v>14.1</v>
      </c>
      <c r="I91" s="4">
        <v>17.600000000000001</v>
      </c>
      <c r="J91" s="4">
        <v>27.6</v>
      </c>
      <c r="K91" s="4">
        <v>18.5</v>
      </c>
      <c r="L91" s="4">
        <v>3</v>
      </c>
      <c r="M91" s="4">
        <v>6.3</v>
      </c>
      <c r="N91" s="4">
        <v>14.8</v>
      </c>
      <c r="O91" s="4">
        <v>17.7</v>
      </c>
      <c r="P91" s="4">
        <v>16.399999999999999</v>
      </c>
      <c r="Q91" s="4">
        <v>40.9</v>
      </c>
      <c r="R91" s="4">
        <v>8.3000000000000007</v>
      </c>
      <c r="T91" s="10"/>
      <c r="V91" s="17">
        <f>G91*'IAA digestibility'!G91</f>
        <v>2.028</v>
      </c>
      <c r="W91" s="17">
        <f>H91*'IAA digestibility'!H91</f>
        <v>10.997999999999999</v>
      </c>
      <c r="X91" s="17">
        <f>I91*'IAA digestibility'!I91</f>
        <v>15.312000000000001</v>
      </c>
      <c r="Y91" s="17">
        <f>J91*'IAA digestibility'!J91</f>
        <v>23.736000000000001</v>
      </c>
      <c r="Z91" s="17">
        <f>K91*'IAA digestibility'!K91</f>
        <v>15.17</v>
      </c>
      <c r="AA91" s="17">
        <f>L91*'IAA digestibility'!L91</f>
        <v>2.2800000000000002</v>
      </c>
      <c r="AB91" s="17">
        <f>M91*'IAA digestibility'!M91</f>
        <v>4.7880000000000003</v>
      </c>
      <c r="AC91" s="17">
        <f>N91*'IAA digestibility'!N91</f>
        <v>12.728</v>
      </c>
      <c r="AD91" s="17">
        <f>O91*'IAA digestibility'!O91</f>
        <v>15.753</v>
      </c>
      <c r="AE91" s="17">
        <f>P91*'IAA digestibility'!P91</f>
        <v>12.135999999999999</v>
      </c>
      <c r="AF91" s="17">
        <f>R91*'IAA digestibility'!R91</f>
        <v>7.1380000000000008</v>
      </c>
      <c r="AG91" s="25"/>
      <c r="AH91" s="17">
        <f t="shared" si="10"/>
        <v>5.3368421052631581</v>
      </c>
      <c r="AI91" s="17">
        <f t="shared" si="11"/>
        <v>28.942105263157895</v>
      </c>
      <c r="AJ91" s="17">
        <f t="shared" si="12"/>
        <v>40.294736842105266</v>
      </c>
      <c r="AK91" s="17">
        <f t="shared" si="13"/>
        <v>62.463157894736845</v>
      </c>
      <c r="AL91" s="17">
        <f t="shared" si="14"/>
        <v>39.921052631578945</v>
      </c>
      <c r="AM91" s="17">
        <f t="shared" si="15"/>
        <v>18.600000000000001</v>
      </c>
      <c r="AN91" s="18">
        <f t="shared" si="16"/>
        <v>74.95</v>
      </c>
      <c r="AO91" s="17">
        <f t="shared" si="17"/>
        <v>31.93684210526316</v>
      </c>
      <c r="AP91" s="17">
        <f t="shared" si="18"/>
        <v>18.784210526315793</v>
      </c>
    </row>
    <row r="92" spans="1:42" s="4" customFormat="1" x14ac:dyDescent="0.25">
      <c r="A92" s="4" t="s">
        <v>489</v>
      </c>
      <c r="B92" s="4" t="s">
        <v>298</v>
      </c>
      <c r="C92" s="4">
        <v>17</v>
      </c>
      <c r="E92" s="4" t="s">
        <v>240</v>
      </c>
      <c r="F92" s="4">
        <v>249.4</v>
      </c>
      <c r="H92" s="4">
        <v>12.8</v>
      </c>
      <c r="I92" s="4">
        <v>10.5</v>
      </c>
      <c r="J92" s="4">
        <v>17.5</v>
      </c>
      <c r="K92" s="4">
        <v>16.100000000000001</v>
      </c>
      <c r="L92" s="4">
        <v>2.1</v>
      </c>
      <c r="N92" s="4">
        <v>15.4</v>
      </c>
      <c r="P92" s="4">
        <v>12.2</v>
      </c>
      <c r="T92" s="10"/>
      <c r="V92" s="17">
        <f>G92*'IAA digestibility'!G92</f>
        <v>0</v>
      </c>
      <c r="W92" s="17">
        <f>H92*'IAA digestibility'!H92</f>
        <v>5.44</v>
      </c>
      <c r="X92" s="17">
        <f>I92*'IAA digestibility'!I92</f>
        <v>7.9589999999999996</v>
      </c>
      <c r="Y92" s="17">
        <f>J92*'IAA digestibility'!J92</f>
        <v>11.8125</v>
      </c>
      <c r="Z92" s="17">
        <f>K92*'IAA digestibility'!K92</f>
        <v>10.143000000000001</v>
      </c>
      <c r="AA92" s="17">
        <f>L92*'IAA digestibility'!L92</f>
        <v>1.0962000000000001</v>
      </c>
      <c r="AB92" s="17">
        <f>M92*'IAA digestibility'!M92</f>
        <v>0</v>
      </c>
      <c r="AC92" s="17">
        <f>N92*'IAA digestibility'!N92</f>
        <v>11.303599999999999</v>
      </c>
      <c r="AD92" s="17">
        <f>O92*'IAA digestibility'!O92</f>
        <v>0</v>
      </c>
      <c r="AE92" s="17">
        <f>P92*'IAA digestibility'!P92</f>
        <v>8.2715999999999994</v>
      </c>
      <c r="AF92" s="17">
        <f>R92*'IAA digestibility'!R92</f>
        <v>0</v>
      </c>
      <c r="AG92" s="25"/>
      <c r="AH92" s="17">
        <f t="shared" si="10"/>
        <v>0</v>
      </c>
      <c r="AI92" s="17">
        <f t="shared" si="11"/>
        <v>21.81234963913392</v>
      </c>
      <c r="AJ92" s="17">
        <f t="shared" si="12"/>
        <v>31.912590216519646</v>
      </c>
      <c r="AK92" s="17">
        <f t="shared" si="13"/>
        <v>47.363672814755411</v>
      </c>
      <c r="AL92" s="17">
        <f t="shared" si="14"/>
        <v>40.669607056936648</v>
      </c>
      <c r="AM92" s="17">
        <f t="shared" si="15"/>
        <v>4.3953488372093021</v>
      </c>
      <c r="AN92" s="18">
        <f t="shared" si="16"/>
        <v>45.323175621491572</v>
      </c>
      <c r="AO92" s="17">
        <f t="shared" si="17"/>
        <v>33.165998396150762</v>
      </c>
      <c r="AP92" s="17">
        <f t="shared" si="18"/>
        <v>0</v>
      </c>
    </row>
    <row r="93" spans="1:42" s="4" customFormat="1" x14ac:dyDescent="0.25">
      <c r="A93" s="4" t="s">
        <v>490</v>
      </c>
      <c r="B93" s="4" t="s">
        <v>298</v>
      </c>
      <c r="C93" s="4">
        <v>17</v>
      </c>
      <c r="E93" s="4" t="s">
        <v>240</v>
      </c>
      <c r="F93" s="4">
        <v>251.7</v>
      </c>
      <c r="H93" s="4">
        <v>13</v>
      </c>
      <c r="I93" s="4">
        <v>10.3</v>
      </c>
      <c r="J93" s="4">
        <v>18</v>
      </c>
      <c r="K93" s="4">
        <v>16.100000000000001</v>
      </c>
      <c r="L93" s="4">
        <v>2.2999999999999998</v>
      </c>
      <c r="N93" s="4">
        <v>15.6</v>
      </c>
      <c r="P93" s="4">
        <v>12.4</v>
      </c>
      <c r="T93" s="10"/>
      <c r="V93" s="17">
        <f>G93*'IAA digestibility'!G93</f>
        <v>0</v>
      </c>
      <c r="W93" s="17">
        <f>H93*'IAA digestibility'!H93</f>
        <v>7.0850000000000009</v>
      </c>
      <c r="X93" s="17">
        <f>I93*'IAA digestibility'!I93</f>
        <v>8.5387000000000004</v>
      </c>
      <c r="Y93" s="17">
        <f>J93*'IAA digestibility'!J93</f>
        <v>13.734</v>
      </c>
      <c r="Z93" s="17">
        <f>K93*'IAA digestibility'!K93</f>
        <v>10.207400000000002</v>
      </c>
      <c r="AA93" s="17">
        <f>L93*'IAA digestibility'!L93</f>
        <v>1.4788999999999999</v>
      </c>
      <c r="AB93" s="17">
        <f>M93*'IAA digestibility'!M93</f>
        <v>0</v>
      </c>
      <c r="AC93" s="17">
        <f>N93*'IAA digestibility'!N93</f>
        <v>11.7156</v>
      </c>
      <c r="AD93" s="17">
        <f>O93*'IAA digestibility'!O93</f>
        <v>0</v>
      </c>
      <c r="AE93" s="17">
        <f>P93*'IAA digestibility'!P93</f>
        <v>9.9200000000000017</v>
      </c>
      <c r="AF93" s="17">
        <f>R93*'IAA digestibility'!R93</f>
        <v>0</v>
      </c>
      <c r="AG93" s="25"/>
      <c r="AH93" s="17">
        <f t="shared" si="10"/>
        <v>0</v>
      </c>
      <c r="AI93" s="17">
        <f t="shared" si="11"/>
        <v>28.148589590782681</v>
      </c>
      <c r="AJ93" s="17">
        <f t="shared" si="12"/>
        <v>33.924116011124354</v>
      </c>
      <c r="AK93" s="17">
        <f t="shared" si="13"/>
        <v>54.564958283671039</v>
      </c>
      <c r="AL93" s="17">
        <f t="shared" si="14"/>
        <v>40.553833929280898</v>
      </c>
      <c r="AM93" s="17">
        <f t="shared" si="15"/>
        <v>5.8756456098529997</v>
      </c>
      <c r="AN93" s="18">
        <f t="shared" si="16"/>
        <v>46.545887961859357</v>
      </c>
      <c r="AO93" s="17">
        <f t="shared" si="17"/>
        <v>39.411998410806525</v>
      </c>
      <c r="AP93" s="17">
        <f t="shared" si="18"/>
        <v>0</v>
      </c>
    </row>
    <row r="94" spans="1:42" s="4" customFormat="1" x14ac:dyDescent="0.25">
      <c r="A94" s="4" t="s">
        <v>249</v>
      </c>
      <c r="B94" s="4" t="s">
        <v>298</v>
      </c>
      <c r="C94" s="4">
        <v>9</v>
      </c>
      <c r="E94" s="4" t="s">
        <v>240</v>
      </c>
      <c r="F94" s="4">
        <v>261</v>
      </c>
      <c r="G94" s="4">
        <v>2.4</v>
      </c>
      <c r="H94" s="4">
        <v>8</v>
      </c>
      <c r="I94" s="4">
        <v>10.1</v>
      </c>
      <c r="J94" s="4">
        <v>18.8</v>
      </c>
      <c r="K94" s="4">
        <v>16.5</v>
      </c>
      <c r="L94" s="4">
        <v>3.3</v>
      </c>
      <c r="M94" s="4">
        <v>6.2</v>
      </c>
      <c r="N94" s="4">
        <v>14.4</v>
      </c>
      <c r="O94" s="4">
        <v>5.2</v>
      </c>
      <c r="P94" s="4">
        <v>11.8</v>
      </c>
      <c r="Q94" s="4">
        <v>16.3</v>
      </c>
      <c r="R94" s="4">
        <v>8.1999999999999993</v>
      </c>
      <c r="T94" s="10"/>
      <c r="V94" s="17">
        <f>G94*'IAA digestibility'!G94</f>
        <v>1.9727999999999999</v>
      </c>
      <c r="W94" s="17">
        <f>H94*'IAA digestibility'!H94</f>
        <v>6.1520000000000001</v>
      </c>
      <c r="X94" s="17">
        <f>I94*'IAA digestibility'!I94</f>
        <v>8.3829999999999991</v>
      </c>
      <c r="Y94" s="17">
        <f>J94*'IAA digestibility'!J94</f>
        <v>17.032800000000002</v>
      </c>
      <c r="Z94" s="17">
        <f>K94*'IAA digestibility'!K94</f>
        <v>14.2065</v>
      </c>
      <c r="AA94" s="17">
        <f>L94*'IAA digestibility'!L94</f>
        <v>2.7422999999999997</v>
      </c>
      <c r="AB94" s="17">
        <f>M94*'IAA digestibility'!M94</f>
        <v>3.2860000000000005</v>
      </c>
      <c r="AC94" s="17">
        <f>N94*'IAA digestibility'!N94</f>
        <v>12.0816</v>
      </c>
      <c r="AD94" s="17">
        <f>O94*'IAA digestibility'!O94</f>
        <v>3.9936000000000003</v>
      </c>
      <c r="AE94" s="17">
        <f>P94*'IAA digestibility'!P94</f>
        <v>9.7704000000000004</v>
      </c>
      <c r="AF94" s="17">
        <f>R94*'IAA digestibility'!R94</f>
        <v>5.5842000000000001</v>
      </c>
      <c r="AG94" s="25"/>
      <c r="AH94" s="17">
        <f t="shared" si="10"/>
        <v>7.5586206896551715</v>
      </c>
      <c r="AI94" s="17">
        <f t="shared" si="11"/>
        <v>23.57088122605364</v>
      </c>
      <c r="AJ94" s="17">
        <f t="shared" si="12"/>
        <v>32.11877394636015</v>
      </c>
      <c r="AK94" s="17">
        <f t="shared" si="13"/>
        <v>65.25977011494254</v>
      </c>
      <c r="AL94" s="17">
        <f t="shared" si="14"/>
        <v>54.431034482758619</v>
      </c>
      <c r="AM94" s="17">
        <f t="shared" si="15"/>
        <v>23.096934865900383</v>
      </c>
      <c r="AN94" s="18">
        <f t="shared" si="16"/>
        <v>61.590804597701144</v>
      </c>
      <c r="AO94" s="17">
        <f t="shared" si="17"/>
        <v>37.434482758620689</v>
      </c>
      <c r="AP94" s="17">
        <f t="shared" si="18"/>
        <v>21.395402298850573</v>
      </c>
    </row>
    <row r="95" spans="1:42" s="4" customFormat="1" x14ac:dyDescent="0.25">
      <c r="A95" s="4" t="s">
        <v>491</v>
      </c>
      <c r="B95" s="4" t="s">
        <v>298</v>
      </c>
      <c r="C95" s="4">
        <v>2</v>
      </c>
      <c r="E95" s="4" t="s">
        <v>12</v>
      </c>
      <c r="F95" s="4">
        <v>233</v>
      </c>
      <c r="G95" s="4">
        <v>2</v>
      </c>
      <c r="H95" s="4">
        <v>8.9</v>
      </c>
      <c r="I95" s="4">
        <v>9.8000000000000007</v>
      </c>
      <c r="J95" s="4">
        <v>16.600000000000001</v>
      </c>
      <c r="K95" s="4">
        <v>17</v>
      </c>
      <c r="L95" s="4">
        <v>2.2999999999999998</v>
      </c>
      <c r="M95" s="4">
        <v>3.2</v>
      </c>
      <c r="N95" s="4">
        <v>11</v>
      </c>
      <c r="O95" s="4">
        <v>7.3</v>
      </c>
      <c r="P95" s="4">
        <v>11</v>
      </c>
      <c r="Q95" s="4">
        <v>19.899999999999999</v>
      </c>
      <c r="R95" s="4">
        <v>5.9</v>
      </c>
      <c r="T95" s="10"/>
      <c r="V95" s="17">
        <f>G95*'IAA digestibility'!G95</f>
        <v>1.46</v>
      </c>
      <c r="W95" s="17">
        <f>H95*'IAA digestibility'!H95</f>
        <v>6.7640000000000002</v>
      </c>
      <c r="X95" s="17">
        <f>I95*'IAA digestibility'!I95</f>
        <v>7.7420000000000009</v>
      </c>
      <c r="Y95" s="17">
        <f>J95*'IAA digestibility'!J95</f>
        <v>13.280000000000001</v>
      </c>
      <c r="Z95" s="17">
        <f>K95*'IAA digestibility'!K95</f>
        <v>14.11</v>
      </c>
      <c r="AA95" s="17">
        <f>L95*'IAA digestibility'!L95</f>
        <v>1.8399999999999999</v>
      </c>
      <c r="AB95" s="17">
        <f>M95*'IAA digestibility'!M95</f>
        <v>2.3039999999999998</v>
      </c>
      <c r="AC95" s="17">
        <f>N95*'IAA digestibility'!N95</f>
        <v>8.8000000000000007</v>
      </c>
      <c r="AD95" s="17">
        <f>O95*'IAA digestibility'!O95</f>
        <v>5.9130000000000003</v>
      </c>
      <c r="AE95" s="17">
        <f>P95*'IAA digestibility'!P95</f>
        <v>8.4700000000000006</v>
      </c>
      <c r="AF95" s="17">
        <f>R95*'IAA digestibility'!R95</f>
        <v>4.9560000000000004</v>
      </c>
      <c r="AG95" s="25"/>
      <c r="AH95" s="17">
        <f t="shared" si="10"/>
        <v>6.266094420600858</v>
      </c>
      <c r="AI95" s="17">
        <f t="shared" si="11"/>
        <v>29.030042918454935</v>
      </c>
      <c r="AJ95" s="17">
        <f t="shared" si="12"/>
        <v>33.227467811158803</v>
      </c>
      <c r="AK95" s="17">
        <f t="shared" si="13"/>
        <v>56.995708154506438</v>
      </c>
      <c r="AL95" s="17">
        <f t="shared" si="14"/>
        <v>60.557939914163093</v>
      </c>
      <c r="AM95" s="17">
        <f t="shared" si="15"/>
        <v>17.785407725321889</v>
      </c>
      <c r="AN95" s="18">
        <f t="shared" si="16"/>
        <v>63.145922746781117</v>
      </c>
      <c r="AO95" s="17">
        <f t="shared" si="17"/>
        <v>36.351931330472105</v>
      </c>
      <c r="AP95" s="17">
        <f t="shared" si="18"/>
        <v>21.270386266094423</v>
      </c>
    </row>
    <row r="96" spans="1:42" s="4" customFormat="1" x14ac:dyDescent="0.25">
      <c r="A96" s="4" t="s">
        <v>491</v>
      </c>
      <c r="B96" s="4" t="s">
        <v>298</v>
      </c>
      <c r="C96" s="4" t="s">
        <v>373</v>
      </c>
      <c r="E96" s="4" t="s">
        <v>12</v>
      </c>
      <c r="F96" s="4">
        <v>203</v>
      </c>
      <c r="G96" s="4">
        <v>1.8</v>
      </c>
      <c r="H96" s="4">
        <v>7.5</v>
      </c>
      <c r="I96" s="4">
        <v>8.3000000000000007</v>
      </c>
      <c r="J96" s="4">
        <v>14.4</v>
      </c>
      <c r="K96" s="4">
        <v>14.4</v>
      </c>
      <c r="L96" s="4">
        <v>2</v>
      </c>
      <c r="M96" s="4">
        <v>3</v>
      </c>
      <c r="N96" s="4">
        <v>9.5</v>
      </c>
      <c r="O96" s="4">
        <v>6.7</v>
      </c>
      <c r="P96" s="4">
        <v>9.3000000000000007</v>
      </c>
      <c r="Q96" s="4">
        <v>17.8</v>
      </c>
      <c r="R96" s="4">
        <v>5.0999999999999996</v>
      </c>
      <c r="T96" s="10"/>
      <c r="V96" s="17">
        <f>G96*'IAA digestibility'!G96</f>
        <v>1.242</v>
      </c>
      <c r="W96" s="17">
        <f>H96*'IAA digestibility'!H96</f>
        <v>5.55</v>
      </c>
      <c r="X96" s="17">
        <f>I96*'IAA digestibility'!I96</f>
        <v>6.3910000000000009</v>
      </c>
      <c r="Y96" s="17">
        <f>J96*'IAA digestibility'!J96</f>
        <v>11.088000000000001</v>
      </c>
      <c r="Z96" s="17">
        <f>K96*'IAA digestibility'!K96</f>
        <v>11.664000000000001</v>
      </c>
      <c r="AA96" s="17">
        <f>L96*'IAA digestibility'!L96</f>
        <v>1.52</v>
      </c>
      <c r="AB96" s="17">
        <f>M96*'IAA digestibility'!M96</f>
        <v>2.16</v>
      </c>
      <c r="AC96" s="17">
        <f>N96*'IAA digestibility'!N96</f>
        <v>7.22</v>
      </c>
      <c r="AD96" s="17">
        <f>O96*'IAA digestibility'!O96</f>
        <v>5.226</v>
      </c>
      <c r="AE96" s="17">
        <f>P96*'IAA digestibility'!P96</f>
        <v>6.8820000000000006</v>
      </c>
      <c r="AF96" s="17">
        <f>R96*'IAA digestibility'!R96</f>
        <v>4.1310000000000002</v>
      </c>
      <c r="AG96" s="25"/>
      <c r="AH96" s="17">
        <f t="shared" si="10"/>
        <v>6.1182266009852215</v>
      </c>
      <c r="AI96" s="17">
        <f t="shared" si="11"/>
        <v>27.339901477832512</v>
      </c>
      <c r="AJ96" s="17">
        <f t="shared" si="12"/>
        <v>31.482758620689658</v>
      </c>
      <c r="AK96" s="17">
        <f t="shared" si="13"/>
        <v>54.620689655172413</v>
      </c>
      <c r="AL96" s="17">
        <f t="shared" si="14"/>
        <v>57.458128078817744</v>
      </c>
      <c r="AM96" s="17">
        <f t="shared" si="15"/>
        <v>18.128078817733989</v>
      </c>
      <c r="AN96" s="18">
        <f t="shared" si="16"/>
        <v>61.310344827586206</v>
      </c>
      <c r="AO96" s="17">
        <f t="shared" si="17"/>
        <v>33.901477832512313</v>
      </c>
      <c r="AP96" s="17">
        <f t="shared" si="18"/>
        <v>20.349753694581285</v>
      </c>
    </row>
    <row r="97" spans="1:42" s="4" customFormat="1" x14ac:dyDescent="0.25">
      <c r="A97" s="4" t="s">
        <v>492</v>
      </c>
      <c r="B97" s="4" t="s">
        <v>298</v>
      </c>
      <c r="C97" s="4">
        <v>2</v>
      </c>
      <c r="E97" s="4" t="s">
        <v>12</v>
      </c>
      <c r="F97" s="4">
        <v>233</v>
      </c>
      <c r="G97" s="4">
        <v>2</v>
      </c>
      <c r="H97" s="4">
        <v>8.9</v>
      </c>
      <c r="I97" s="4">
        <v>9.8000000000000007</v>
      </c>
      <c r="J97" s="4">
        <v>16.600000000000001</v>
      </c>
      <c r="K97" s="4">
        <v>17</v>
      </c>
      <c r="L97" s="4">
        <v>2.2999999999999998</v>
      </c>
      <c r="M97" s="4">
        <v>3.2</v>
      </c>
      <c r="N97" s="4">
        <v>11</v>
      </c>
      <c r="O97" s="4">
        <v>7.3</v>
      </c>
      <c r="P97" s="4">
        <v>11</v>
      </c>
      <c r="Q97" s="4">
        <v>19.899999999999999</v>
      </c>
      <c r="R97" s="4">
        <v>5.9</v>
      </c>
      <c r="T97" s="10"/>
      <c r="V97" s="17">
        <f>G97*'IAA digestibility'!G97</f>
        <v>1.78</v>
      </c>
      <c r="W97" s="17">
        <f>H97*'IAA digestibility'!H97</f>
        <v>8.01</v>
      </c>
      <c r="X97" s="17">
        <f>I97*'IAA digestibility'!I97</f>
        <v>8.918000000000001</v>
      </c>
      <c r="Y97" s="17">
        <f>J97*'IAA digestibility'!J97</f>
        <v>15.272000000000002</v>
      </c>
      <c r="Z97" s="17">
        <f>K97*'IAA digestibility'!K97</f>
        <v>15.81</v>
      </c>
      <c r="AA97" s="17">
        <f>L97*'IAA digestibility'!L97</f>
        <v>1.9779999999999998</v>
      </c>
      <c r="AB97" s="17">
        <f>M97*'IAA digestibility'!M97</f>
        <v>2.8160000000000003</v>
      </c>
      <c r="AC97" s="17">
        <f>N97*'IAA digestibility'!N97</f>
        <v>10.23</v>
      </c>
      <c r="AD97" s="17">
        <f>O97*'IAA digestibility'!O97</f>
        <v>6.8619999999999992</v>
      </c>
      <c r="AE97" s="17">
        <f>P97*'IAA digestibility'!P97</f>
        <v>9.7900000000000009</v>
      </c>
      <c r="AF97" s="17">
        <f>R97*'IAA digestibility'!R97</f>
        <v>5.5460000000000003</v>
      </c>
      <c r="AG97" s="25"/>
      <c r="AH97" s="17">
        <f t="shared" si="10"/>
        <v>7.6394849785407732</v>
      </c>
      <c r="AI97" s="17">
        <f t="shared" si="11"/>
        <v>34.377682403433475</v>
      </c>
      <c r="AJ97" s="17">
        <f t="shared" si="12"/>
        <v>38.274678111587988</v>
      </c>
      <c r="AK97" s="17">
        <f t="shared" si="13"/>
        <v>65.545064377682408</v>
      </c>
      <c r="AL97" s="17">
        <f t="shared" si="14"/>
        <v>67.85407725321889</v>
      </c>
      <c r="AM97" s="17">
        <f t="shared" si="15"/>
        <v>20.575107296137343</v>
      </c>
      <c r="AN97" s="18">
        <f t="shared" si="16"/>
        <v>73.356223175965653</v>
      </c>
      <c r="AO97" s="17">
        <f t="shared" si="17"/>
        <v>42.017167381974254</v>
      </c>
      <c r="AP97" s="17">
        <f t="shared" si="18"/>
        <v>23.802575107296139</v>
      </c>
    </row>
    <row r="98" spans="1:42" s="4" customFormat="1" x14ac:dyDescent="0.25">
      <c r="A98" s="4" t="s">
        <v>181</v>
      </c>
      <c r="B98" s="4" t="s">
        <v>298</v>
      </c>
      <c r="C98" s="4">
        <v>2</v>
      </c>
      <c r="E98" s="4" t="s">
        <v>12</v>
      </c>
      <c r="F98" s="4">
        <v>837</v>
      </c>
      <c r="G98" s="4">
        <v>6.6</v>
      </c>
      <c r="H98" s="4">
        <v>26.4</v>
      </c>
      <c r="I98" s="4">
        <v>30.6</v>
      </c>
      <c r="J98" s="4">
        <v>56.4</v>
      </c>
      <c r="K98" s="4">
        <v>51.6</v>
      </c>
      <c r="L98" s="4">
        <v>6.5</v>
      </c>
      <c r="M98" s="4">
        <v>7.7</v>
      </c>
      <c r="N98" s="4">
        <v>36.1</v>
      </c>
      <c r="O98" s="4">
        <v>22.9</v>
      </c>
      <c r="P98" s="4">
        <v>33.799999999999997</v>
      </c>
      <c r="Q98" s="4">
        <v>97.9</v>
      </c>
      <c r="R98" s="4">
        <v>21.1</v>
      </c>
      <c r="S98" s="4" t="s">
        <v>182</v>
      </c>
      <c r="T98" s="10"/>
      <c r="V98" s="17">
        <f>G98*'IAA digestibility'!G98</f>
        <v>5.9399999999999995</v>
      </c>
      <c r="W98" s="17">
        <f>H98*'IAA digestibility'!H98</f>
        <v>17.16</v>
      </c>
      <c r="X98" s="17">
        <f>I98*'IAA digestibility'!I98</f>
        <v>28.458000000000002</v>
      </c>
      <c r="Y98" s="17">
        <f>J98*'IAA digestibility'!J98</f>
        <v>53.015999999999998</v>
      </c>
      <c r="Z98" s="17">
        <f>K98*'IAA digestibility'!K98</f>
        <v>49.019999999999996</v>
      </c>
      <c r="AA98" s="17">
        <f>L98*'IAA digestibility'!L98</f>
        <v>5.8500000000000005</v>
      </c>
      <c r="AB98" s="17">
        <f>M98*'IAA digestibility'!M98</f>
        <v>6.8530000000000006</v>
      </c>
      <c r="AC98" s="17">
        <f>N98*'IAA digestibility'!N98</f>
        <v>34.295000000000002</v>
      </c>
      <c r="AD98" s="17">
        <f>O98*'IAA digestibility'!O98</f>
        <v>21.525999999999996</v>
      </c>
      <c r="AE98" s="17">
        <f>P98*'IAA digestibility'!P98</f>
        <v>31.433999999999997</v>
      </c>
      <c r="AF98" s="17">
        <f>R98*'IAA digestibility'!R98</f>
        <v>20.256</v>
      </c>
      <c r="AG98" s="25"/>
      <c r="AH98" s="17">
        <f t="shared" si="10"/>
        <v>7.096774193548387</v>
      </c>
      <c r="AI98" s="17">
        <f t="shared" si="11"/>
        <v>20.501792114695341</v>
      </c>
      <c r="AJ98" s="17">
        <f t="shared" si="12"/>
        <v>34</v>
      </c>
      <c r="AK98" s="17">
        <f t="shared" si="13"/>
        <v>63.340501792114686</v>
      </c>
      <c r="AL98" s="17">
        <f t="shared" si="14"/>
        <v>58.56630824372759</v>
      </c>
      <c r="AM98" s="17">
        <f t="shared" si="15"/>
        <v>15.176821983273598</v>
      </c>
      <c r="AN98" s="18">
        <f t="shared" si="16"/>
        <v>66.69175627240142</v>
      </c>
      <c r="AO98" s="17">
        <f t="shared" si="17"/>
        <v>37.55555555555555</v>
      </c>
      <c r="AP98" s="17">
        <f t="shared" si="18"/>
        <v>24.200716845878137</v>
      </c>
    </row>
    <row r="99" spans="1:42" s="4" customFormat="1" x14ac:dyDescent="0.25">
      <c r="A99" s="4" t="s">
        <v>247</v>
      </c>
      <c r="B99" s="4" t="s">
        <v>298</v>
      </c>
      <c r="C99" s="4">
        <v>8</v>
      </c>
      <c r="E99" s="4" t="s">
        <v>12</v>
      </c>
      <c r="F99" s="4">
        <v>167.9</v>
      </c>
      <c r="G99" s="4">
        <v>5.0999999999999996</v>
      </c>
      <c r="H99" s="4">
        <v>6.5</v>
      </c>
      <c r="I99" s="4">
        <v>8</v>
      </c>
      <c r="J99" s="4">
        <v>14.4</v>
      </c>
      <c r="K99" s="4">
        <v>11.8</v>
      </c>
      <c r="L99" s="4">
        <v>0.8</v>
      </c>
      <c r="M99" s="4">
        <v>1.5</v>
      </c>
      <c r="N99" s="4">
        <v>9.4</v>
      </c>
      <c r="O99" s="4">
        <v>5.3</v>
      </c>
      <c r="P99" s="4">
        <v>8.1</v>
      </c>
      <c r="Q99" s="4">
        <v>4.5</v>
      </c>
      <c r="R99" s="4">
        <v>5.3</v>
      </c>
      <c r="S99" s="4" t="s">
        <v>242</v>
      </c>
      <c r="T99" s="10"/>
      <c r="V99" s="17">
        <f>G99*'IAA digestibility'!G99</f>
        <v>5.0795999999999992</v>
      </c>
      <c r="W99" s="17">
        <f>H99*'IAA digestibility'!H99</f>
        <v>6.0060000000000002</v>
      </c>
      <c r="X99" s="17">
        <f>I99*'IAA digestibility'!I99</f>
        <v>7.5679999999999996</v>
      </c>
      <c r="Y99" s="17">
        <f>J99*'IAA digestibility'!J99</f>
        <v>13.607999999999999</v>
      </c>
      <c r="Z99" s="17">
        <f>K99*'IAA digestibility'!K99</f>
        <v>11.0802</v>
      </c>
      <c r="AA99" s="17">
        <f>L99*'IAA digestibility'!L99</f>
        <v>0.64240000000000008</v>
      </c>
      <c r="AB99" s="17">
        <f>M99*'IAA digestibility'!M99</f>
        <v>1.5</v>
      </c>
      <c r="AC99" s="17">
        <f>N99*'IAA digestibility'!N99</f>
        <v>9.2401999999999997</v>
      </c>
      <c r="AD99" s="17">
        <f>O99*'IAA digestibility'!O99</f>
        <v>5.1780999999999997</v>
      </c>
      <c r="AE99" s="17">
        <f>P99*'IAA digestibility'!P99</f>
        <v>7.678799999999999</v>
      </c>
      <c r="AF99" s="17">
        <f>R99*'IAA digestibility'!R99</f>
        <v>4.8654000000000002</v>
      </c>
      <c r="AG99" s="25"/>
      <c r="AH99" s="17">
        <f t="shared" si="10"/>
        <v>30.253722453841565</v>
      </c>
      <c r="AI99" s="17">
        <f t="shared" si="11"/>
        <v>35.771292435973798</v>
      </c>
      <c r="AJ99" s="17">
        <f t="shared" si="12"/>
        <v>45.074449076831449</v>
      </c>
      <c r="AK99" s="17">
        <f t="shared" si="13"/>
        <v>81.048243001786773</v>
      </c>
      <c r="AL99" s="17">
        <f t="shared" si="14"/>
        <v>65.992852888624185</v>
      </c>
      <c r="AM99" s="17">
        <f t="shared" si="15"/>
        <v>12.759976176295416</v>
      </c>
      <c r="AN99" s="18">
        <f t="shared" si="16"/>
        <v>85.874329958308508</v>
      </c>
      <c r="AO99" s="17">
        <f t="shared" si="17"/>
        <v>45.734365693865385</v>
      </c>
      <c r="AP99" s="17">
        <f t="shared" si="18"/>
        <v>28.977963073257893</v>
      </c>
    </row>
    <row r="100" spans="1:42" s="4" customFormat="1" x14ac:dyDescent="0.25">
      <c r="A100" s="4" t="s">
        <v>252</v>
      </c>
      <c r="B100" s="4" t="s">
        <v>298</v>
      </c>
      <c r="C100" s="4">
        <v>9</v>
      </c>
      <c r="E100" s="4" t="s">
        <v>240</v>
      </c>
      <c r="F100" s="4">
        <v>243</v>
      </c>
      <c r="G100" s="4">
        <v>2</v>
      </c>
      <c r="H100" s="4">
        <v>8.1</v>
      </c>
      <c r="I100" s="4">
        <v>9</v>
      </c>
      <c r="J100" s="4">
        <v>17</v>
      </c>
      <c r="K100" s="4">
        <v>15.8</v>
      </c>
      <c r="L100" s="4">
        <v>2.1</v>
      </c>
      <c r="M100" s="4">
        <v>6.3</v>
      </c>
      <c r="N100" s="4">
        <v>7.8</v>
      </c>
      <c r="O100" s="4">
        <v>4.4000000000000004</v>
      </c>
      <c r="P100" s="4">
        <v>9.8000000000000007</v>
      </c>
      <c r="Q100" s="4">
        <v>22.7</v>
      </c>
      <c r="R100" s="4">
        <v>7.2</v>
      </c>
      <c r="T100" s="10"/>
      <c r="V100" s="17">
        <f>G100*'IAA digestibility'!G100</f>
        <v>1.744</v>
      </c>
      <c r="W100" s="17">
        <f>H100*'IAA digestibility'!H100</f>
        <v>6.7310999999999996</v>
      </c>
      <c r="X100" s="17">
        <f>I100*'IAA digestibility'!I100</f>
        <v>7.9560000000000004</v>
      </c>
      <c r="Y100" s="17">
        <f>J100*'IAA digestibility'!J100</f>
        <v>15.81</v>
      </c>
      <c r="Z100" s="17">
        <f>K100*'IAA digestibility'!K100</f>
        <v>14.378000000000002</v>
      </c>
      <c r="AA100" s="17">
        <f>L100*'IAA digestibility'!L100</f>
        <v>1.8585</v>
      </c>
      <c r="AB100" s="17">
        <f>M100*'IAA digestibility'!M100</f>
        <v>4.7375999999999996</v>
      </c>
      <c r="AC100" s="17">
        <f>N100*'IAA digestibility'!N100</f>
        <v>6.8094000000000001</v>
      </c>
      <c r="AD100" s="17">
        <f>O100*'IAA digestibility'!O100</f>
        <v>3.6432000000000002</v>
      </c>
      <c r="AE100" s="17">
        <f>P100*'IAA digestibility'!P100</f>
        <v>8.5358000000000001</v>
      </c>
      <c r="AF100" s="17">
        <f>R100*'IAA digestibility'!R100</f>
        <v>5.4144000000000005</v>
      </c>
      <c r="AG100" s="25"/>
      <c r="AH100" s="17">
        <f t="shared" si="10"/>
        <v>7.1769547325102874</v>
      </c>
      <c r="AI100" s="17">
        <f t="shared" si="11"/>
        <v>27.7</v>
      </c>
      <c r="AJ100" s="17">
        <f t="shared" si="12"/>
        <v>32.74074074074074</v>
      </c>
      <c r="AK100" s="17">
        <f t="shared" si="13"/>
        <v>65.061728395061735</v>
      </c>
      <c r="AL100" s="17">
        <f t="shared" si="14"/>
        <v>59.168724279835395</v>
      </c>
      <c r="AM100" s="17">
        <f t="shared" si="15"/>
        <v>27.144444444444442</v>
      </c>
      <c r="AN100" s="18">
        <f t="shared" si="16"/>
        <v>43.014814814814819</v>
      </c>
      <c r="AO100" s="17">
        <f t="shared" si="17"/>
        <v>35.126748971193415</v>
      </c>
      <c r="AP100" s="17">
        <f t="shared" si="18"/>
        <v>22.281481481481485</v>
      </c>
    </row>
    <row r="101" spans="1:42" s="4" customFormat="1" x14ac:dyDescent="0.25">
      <c r="A101" s="4" t="s">
        <v>493</v>
      </c>
      <c r="B101" s="4" t="s">
        <v>298</v>
      </c>
      <c r="C101" s="4">
        <v>17</v>
      </c>
      <c r="E101" s="4" t="s">
        <v>240</v>
      </c>
      <c r="F101" s="4">
        <v>244.3</v>
      </c>
      <c r="H101" s="4">
        <v>15.6</v>
      </c>
      <c r="I101" s="4">
        <v>10</v>
      </c>
      <c r="J101" s="4">
        <v>16.2</v>
      </c>
      <c r="K101" s="4">
        <v>15.7</v>
      </c>
      <c r="L101" s="4">
        <v>2</v>
      </c>
      <c r="N101" s="4">
        <v>12.3</v>
      </c>
      <c r="P101" s="4">
        <v>10.9</v>
      </c>
      <c r="T101" s="10"/>
      <c r="V101" s="17">
        <f>G101*'IAA digestibility'!G101</f>
        <v>0</v>
      </c>
      <c r="W101" s="17">
        <f>H101*'IAA digestibility'!H101</f>
        <v>10.4208</v>
      </c>
      <c r="X101" s="17">
        <f>I101*'IAA digestibility'!I101</f>
        <v>7.95</v>
      </c>
      <c r="Y101" s="17">
        <f>J101*'IAA digestibility'!J101</f>
        <v>11.339999999999998</v>
      </c>
      <c r="Z101" s="17">
        <f>K101*'IAA digestibility'!K101</f>
        <v>9.7496999999999989</v>
      </c>
      <c r="AA101" s="17">
        <f>L101*'IAA digestibility'!L101</f>
        <v>1.1220000000000001</v>
      </c>
      <c r="AB101" s="17">
        <f>M101*'IAA digestibility'!M101</f>
        <v>0</v>
      </c>
      <c r="AC101" s="17">
        <f>N101*'IAA digestibility'!N101</f>
        <v>9.9138000000000019</v>
      </c>
      <c r="AD101" s="17">
        <f>O101*'IAA digestibility'!O101</f>
        <v>0</v>
      </c>
      <c r="AE101" s="17">
        <f>P101*'IAA digestibility'!P101</f>
        <v>8.4366000000000003</v>
      </c>
      <c r="AF101" s="17">
        <f>R101*'IAA digestibility'!R101</f>
        <v>0</v>
      </c>
      <c r="AG101" s="25"/>
      <c r="AH101" s="17">
        <f t="shared" si="10"/>
        <v>0</v>
      </c>
      <c r="AI101" s="17">
        <f t="shared" si="11"/>
        <v>42.655751125665162</v>
      </c>
      <c r="AJ101" s="17">
        <f t="shared" si="12"/>
        <v>32.541956610724519</v>
      </c>
      <c r="AK101" s="17">
        <f t="shared" si="13"/>
        <v>46.418338108882509</v>
      </c>
      <c r="AL101" s="17">
        <f t="shared" si="14"/>
        <v>39.908718788374948</v>
      </c>
      <c r="AM101" s="17">
        <f t="shared" si="15"/>
        <v>4.5927138763814987</v>
      </c>
      <c r="AN101" s="18">
        <f t="shared" si="16"/>
        <v>40.580433892754812</v>
      </c>
      <c r="AO101" s="17">
        <f t="shared" si="17"/>
        <v>34.533769954973394</v>
      </c>
      <c r="AP101" s="17">
        <f t="shared" si="18"/>
        <v>0</v>
      </c>
    </row>
    <row r="102" spans="1:42" s="4" customFormat="1" x14ac:dyDescent="0.25">
      <c r="A102" s="4" t="s">
        <v>494</v>
      </c>
      <c r="B102" s="4" t="s">
        <v>298</v>
      </c>
      <c r="C102" s="4">
        <v>14</v>
      </c>
      <c r="E102" s="4" t="s">
        <v>12</v>
      </c>
      <c r="F102" s="4">
        <v>271</v>
      </c>
      <c r="G102" s="4">
        <v>3.4</v>
      </c>
      <c r="H102" s="4">
        <v>7.3</v>
      </c>
      <c r="I102" s="4">
        <v>11</v>
      </c>
      <c r="J102" s="4">
        <v>17</v>
      </c>
      <c r="K102" s="4">
        <v>12.9</v>
      </c>
      <c r="L102" s="4">
        <v>3.8</v>
      </c>
      <c r="M102" s="4">
        <v>4.5</v>
      </c>
      <c r="N102" s="4">
        <v>13.6</v>
      </c>
      <c r="O102" s="4">
        <v>7</v>
      </c>
      <c r="P102" s="4">
        <v>14.4</v>
      </c>
      <c r="Q102" s="4">
        <v>23.1</v>
      </c>
      <c r="R102" s="4">
        <v>5.3</v>
      </c>
      <c r="T102" s="10"/>
      <c r="V102" s="17">
        <f>G102*'IAA digestibility'!G102</f>
        <v>3.1212</v>
      </c>
      <c r="W102" s="17">
        <f>H102*'IAA digestibility'!H102</f>
        <v>6.4239999999999995</v>
      </c>
      <c r="X102" s="17">
        <f>I102*'IAA digestibility'!I102</f>
        <v>9.5920000000000005</v>
      </c>
      <c r="Y102" s="17">
        <f>J102*'IAA digestibility'!J102</f>
        <v>14.96</v>
      </c>
      <c r="Z102" s="17">
        <f>K102*'IAA digestibility'!K102</f>
        <v>11.1714</v>
      </c>
      <c r="AA102" s="17">
        <f>L102*'IAA digestibility'!L102</f>
        <v>3.3022</v>
      </c>
      <c r="AB102" s="17">
        <f>M102*'IAA digestibility'!M102</f>
        <v>3.96</v>
      </c>
      <c r="AC102" s="17">
        <f>N102*'IAA digestibility'!N102</f>
        <v>11.8184</v>
      </c>
      <c r="AD102" s="17">
        <f>O102*'IAA digestibility'!O102</f>
        <v>6.1319999999999997</v>
      </c>
      <c r="AE102" s="17">
        <f>P102*'IAA digestibility'!P102</f>
        <v>12.6432</v>
      </c>
      <c r="AF102" s="17">
        <f>R102*'IAA digestibility'!R102</f>
        <v>4.7063999999999995</v>
      </c>
      <c r="AG102" s="25"/>
      <c r="AH102" s="17">
        <f t="shared" si="10"/>
        <v>11.517343173431733</v>
      </c>
      <c r="AI102" s="17">
        <f t="shared" si="11"/>
        <v>23.704797047970477</v>
      </c>
      <c r="AJ102" s="17">
        <f t="shared" si="12"/>
        <v>35.394833948339482</v>
      </c>
      <c r="AK102" s="17">
        <f t="shared" si="13"/>
        <v>55.202952029520297</v>
      </c>
      <c r="AL102" s="17">
        <f t="shared" si="14"/>
        <v>41.222878228782292</v>
      </c>
      <c r="AM102" s="17">
        <f t="shared" si="15"/>
        <v>26.797785977859778</v>
      </c>
      <c r="AN102" s="18">
        <f t="shared" si="16"/>
        <v>66.237638376383771</v>
      </c>
      <c r="AO102" s="17">
        <f t="shared" si="17"/>
        <v>46.653874538745384</v>
      </c>
      <c r="AP102" s="17">
        <f t="shared" si="18"/>
        <v>17.366789667896676</v>
      </c>
    </row>
    <row r="103" spans="1:42" s="4" customFormat="1" x14ac:dyDescent="0.25">
      <c r="A103" s="4" t="s">
        <v>495</v>
      </c>
      <c r="B103" s="4" t="s">
        <v>298</v>
      </c>
      <c r="C103" s="4">
        <v>14</v>
      </c>
      <c r="E103" s="4" t="s">
        <v>12</v>
      </c>
      <c r="F103" s="4">
        <v>251</v>
      </c>
      <c r="G103" s="4">
        <v>2.7</v>
      </c>
      <c r="H103" s="4">
        <v>7.5</v>
      </c>
      <c r="I103" s="4">
        <v>11.3</v>
      </c>
      <c r="J103" s="4">
        <v>17.399999999999999</v>
      </c>
      <c r="K103" s="4">
        <v>12.9</v>
      </c>
      <c r="L103" s="4">
        <v>3.9</v>
      </c>
      <c r="M103" s="4">
        <v>4.5999999999999996</v>
      </c>
      <c r="N103" s="4">
        <v>13.8</v>
      </c>
      <c r="O103" s="4">
        <v>7.1</v>
      </c>
      <c r="P103" s="4">
        <v>14.9</v>
      </c>
      <c r="Q103" s="4">
        <v>23.1</v>
      </c>
      <c r="R103" s="4">
        <v>5.4</v>
      </c>
      <c r="T103" s="10"/>
      <c r="V103" s="17">
        <f>G103*'IAA digestibility'!G103</f>
        <v>2.2814999999999999</v>
      </c>
      <c r="W103" s="17">
        <f>H103*'IAA digestibility'!H103</f>
        <v>5.79</v>
      </c>
      <c r="X103" s="17">
        <f>I103*'IAA digestibility'!I103</f>
        <v>8.8366000000000007</v>
      </c>
      <c r="Y103" s="17">
        <f>J103*'IAA digestibility'!J103</f>
        <v>13.7982</v>
      </c>
      <c r="Z103" s="17">
        <f>K103*'IAA digestibility'!K103</f>
        <v>9.9329999999999998</v>
      </c>
      <c r="AA103" s="17">
        <f>L103*'IAA digestibility'!L103</f>
        <v>3.1238999999999999</v>
      </c>
      <c r="AB103" s="17">
        <f>M103*'IAA digestibility'!M103</f>
        <v>3.657</v>
      </c>
      <c r="AC103" s="17">
        <f>N103*'IAA digestibility'!N103</f>
        <v>10.667400000000001</v>
      </c>
      <c r="AD103" s="17">
        <f>O103*'IAA digestibility'!O103</f>
        <v>5.5663999999999998</v>
      </c>
      <c r="AE103" s="17">
        <f>P103*'IAA digestibility'!P103</f>
        <v>11.622</v>
      </c>
      <c r="AF103" s="17">
        <f>R103*'IAA digestibility'!R103</f>
        <v>4.2768000000000006</v>
      </c>
      <c r="AG103" s="25"/>
      <c r="AH103" s="17">
        <f t="shared" si="10"/>
        <v>9.0896414342629477</v>
      </c>
      <c r="AI103" s="17">
        <f t="shared" si="11"/>
        <v>23.067729083665338</v>
      </c>
      <c r="AJ103" s="17">
        <f t="shared" si="12"/>
        <v>35.205577689243036</v>
      </c>
      <c r="AK103" s="17">
        <f t="shared" si="13"/>
        <v>54.972908366533858</v>
      </c>
      <c r="AL103" s="17">
        <f t="shared" si="14"/>
        <v>39.573705179282868</v>
      </c>
      <c r="AM103" s="17">
        <f t="shared" si="15"/>
        <v>27.015537848605579</v>
      </c>
      <c r="AN103" s="18">
        <f t="shared" si="16"/>
        <v>64.676494023904397</v>
      </c>
      <c r="AO103" s="17">
        <f t="shared" si="17"/>
        <v>46.302788844621517</v>
      </c>
      <c r="AP103" s="17">
        <f t="shared" si="18"/>
        <v>17.039043824701196</v>
      </c>
    </row>
    <row r="104" spans="1:42" s="4" customFormat="1" x14ac:dyDescent="0.25">
      <c r="A104" s="4" t="s">
        <v>496</v>
      </c>
      <c r="B104" s="4" t="s">
        <v>298</v>
      </c>
      <c r="C104" s="4">
        <v>2</v>
      </c>
      <c r="E104" s="4" t="s">
        <v>12</v>
      </c>
      <c r="F104" s="4">
        <v>201</v>
      </c>
      <c r="G104" s="4">
        <v>2.6</v>
      </c>
      <c r="H104" s="4">
        <v>9.6</v>
      </c>
      <c r="I104" s="4">
        <v>8.3000000000000007</v>
      </c>
      <c r="J104" s="4">
        <v>13.9</v>
      </c>
      <c r="K104" s="4">
        <v>12.5</v>
      </c>
      <c r="L104" s="4">
        <v>4.4000000000000004</v>
      </c>
      <c r="M104" s="4">
        <v>5</v>
      </c>
      <c r="N104" s="4">
        <v>7.8</v>
      </c>
      <c r="O104" s="4">
        <v>5.7</v>
      </c>
      <c r="P104" s="4">
        <v>10.7</v>
      </c>
      <c r="Q104" s="4">
        <v>11.9</v>
      </c>
      <c r="R104" s="4">
        <v>5.0999999999999996</v>
      </c>
      <c r="S104" s="4" t="s">
        <v>55</v>
      </c>
      <c r="T104" s="10"/>
      <c r="V104" s="17">
        <f>G104*'IAA digestibility'!G104</f>
        <v>1.8979999999999999</v>
      </c>
      <c r="W104" s="17">
        <f>H104*'IAA digestibility'!H104</f>
        <v>6.8159999999999998</v>
      </c>
      <c r="X104" s="17">
        <f>I104*'IAA digestibility'!I104</f>
        <v>5.644000000000001</v>
      </c>
      <c r="Y104" s="17">
        <f>J104*'IAA digestibility'!J104</f>
        <v>9.8689999999999998</v>
      </c>
      <c r="Z104" s="17">
        <f>K104*'IAA digestibility'!K104</f>
        <v>9.75</v>
      </c>
      <c r="AA104" s="17">
        <f>L104*'IAA digestibility'!L104</f>
        <v>3.5640000000000005</v>
      </c>
      <c r="AB104" s="17">
        <f>M104*'IAA digestibility'!M104</f>
        <v>4</v>
      </c>
      <c r="AC104" s="17">
        <f>N104*'IAA digestibility'!N104</f>
        <v>5.694</v>
      </c>
      <c r="AD104" s="17">
        <f>O104*'IAA digestibility'!O104</f>
        <v>4.218</v>
      </c>
      <c r="AE104" s="17">
        <f>P104*'IAA digestibility'!P104</f>
        <v>7.4899999999999993</v>
      </c>
      <c r="AF104" s="17">
        <f>R104*'IAA digestibility'!R104</f>
        <v>3.7229999999999999</v>
      </c>
      <c r="AG104" s="25"/>
      <c r="AH104" s="17">
        <f t="shared" si="10"/>
        <v>9.4427860696517403</v>
      </c>
      <c r="AI104" s="17">
        <f t="shared" si="11"/>
        <v>33.910447761194028</v>
      </c>
      <c r="AJ104" s="17">
        <f t="shared" si="12"/>
        <v>28.079601990049756</v>
      </c>
      <c r="AK104" s="17">
        <f t="shared" si="13"/>
        <v>49.099502487562191</v>
      </c>
      <c r="AL104" s="17">
        <f t="shared" si="14"/>
        <v>48.507462686567166</v>
      </c>
      <c r="AM104" s="17">
        <f t="shared" si="15"/>
        <v>37.631840796019901</v>
      </c>
      <c r="AN104" s="18">
        <f t="shared" si="16"/>
        <v>49.31343283582089</v>
      </c>
      <c r="AO104" s="17">
        <f t="shared" si="17"/>
        <v>37.263681592039802</v>
      </c>
      <c r="AP104" s="17">
        <f t="shared" si="18"/>
        <v>18.522388059701491</v>
      </c>
    </row>
    <row r="105" spans="1:42" s="4" customFormat="1" x14ac:dyDescent="0.25">
      <c r="A105" s="4" t="s">
        <v>497</v>
      </c>
      <c r="B105" s="4" t="s">
        <v>298</v>
      </c>
      <c r="C105" s="4">
        <v>2</v>
      </c>
      <c r="E105" s="4" t="s">
        <v>12</v>
      </c>
      <c r="F105" s="4">
        <v>201</v>
      </c>
      <c r="G105" s="4">
        <v>2.6</v>
      </c>
      <c r="H105" s="4">
        <v>9.6</v>
      </c>
      <c r="I105" s="4">
        <v>8.3000000000000007</v>
      </c>
      <c r="J105" s="4">
        <v>13.9</v>
      </c>
      <c r="K105" s="4">
        <v>12.5</v>
      </c>
      <c r="L105" s="4">
        <v>4.4000000000000004</v>
      </c>
      <c r="M105" s="4">
        <v>5</v>
      </c>
      <c r="N105" s="4">
        <v>7.8</v>
      </c>
      <c r="O105" s="4">
        <v>5.7</v>
      </c>
      <c r="P105" s="4">
        <v>10.7</v>
      </c>
      <c r="Q105" s="4">
        <v>11.9</v>
      </c>
      <c r="R105" s="4">
        <v>5.0999999999999996</v>
      </c>
      <c r="T105" s="10"/>
      <c r="V105" s="17">
        <f>G105*'IAA digestibility'!G105</f>
        <v>1.8979999999999999</v>
      </c>
      <c r="W105" s="17">
        <f>H105*'IAA digestibility'!H105</f>
        <v>6.8159999999999998</v>
      </c>
      <c r="X105" s="17">
        <f>I105*'IAA digestibility'!I105</f>
        <v>5.644000000000001</v>
      </c>
      <c r="Y105" s="17">
        <f>J105*'IAA digestibility'!J105</f>
        <v>9.8689999999999998</v>
      </c>
      <c r="Z105" s="17">
        <f>K105*'IAA digestibility'!K105</f>
        <v>9.75</v>
      </c>
      <c r="AA105" s="17">
        <f>L105*'IAA digestibility'!L105</f>
        <v>3.5640000000000005</v>
      </c>
      <c r="AB105" s="17">
        <f>M105*'IAA digestibility'!M105</f>
        <v>4</v>
      </c>
      <c r="AC105" s="17">
        <f>N105*'IAA digestibility'!N105</f>
        <v>5.694</v>
      </c>
      <c r="AD105" s="17">
        <f>O105*'IAA digestibility'!O105</f>
        <v>4.218</v>
      </c>
      <c r="AE105" s="17">
        <f>P105*'IAA digestibility'!P105</f>
        <v>7.4899999999999993</v>
      </c>
      <c r="AF105" s="17">
        <f>R105*'IAA digestibility'!R105</f>
        <v>3.7229999999999999</v>
      </c>
      <c r="AG105" s="25"/>
      <c r="AH105" s="17">
        <f t="shared" si="10"/>
        <v>9.4427860696517403</v>
      </c>
      <c r="AI105" s="17">
        <f t="shared" si="11"/>
        <v>33.910447761194028</v>
      </c>
      <c r="AJ105" s="17">
        <f t="shared" si="12"/>
        <v>28.079601990049756</v>
      </c>
      <c r="AK105" s="17">
        <f t="shared" si="13"/>
        <v>49.099502487562191</v>
      </c>
      <c r="AL105" s="17">
        <f t="shared" si="14"/>
        <v>48.507462686567166</v>
      </c>
      <c r="AM105" s="17">
        <f t="shared" si="15"/>
        <v>37.631840796019901</v>
      </c>
      <c r="AN105" s="18">
        <f t="shared" si="16"/>
        <v>49.31343283582089</v>
      </c>
      <c r="AO105" s="17">
        <f t="shared" si="17"/>
        <v>37.263681592039802</v>
      </c>
      <c r="AP105" s="17">
        <f t="shared" si="18"/>
        <v>18.522388059701491</v>
      </c>
    </row>
    <row r="106" spans="1:42" s="4" customFormat="1" x14ac:dyDescent="0.25">
      <c r="A106" s="4" t="s">
        <v>498</v>
      </c>
      <c r="B106" s="4" t="s">
        <v>298</v>
      </c>
      <c r="C106" s="4">
        <v>2</v>
      </c>
      <c r="E106" s="4" t="s">
        <v>12</v>
      </c>
      <c r="F106" s="4">
        <v>402</v>
      </c>
      <c r="G106" s="4">
        <v>5.0999999999999996</v>
      </c>
      <c r="H106" s="4">
        <v>16.3</v>
      </c>
      <c r="I106" s="4">
        <v>18.7</v>
      </c>
      <c r="J106" s="4">
        <v>30.3</v>
      </c>
      <c r="K106" s="4">
        <v>25</v>
      </c>
      <c r="L106" s="4">
        <v>5.8</v>
      </c>
      <c r="M106" s="4">
        <v>5.9</v>
      </c>
      <c r="N106" s="4">
        <v>20.3</v>
      </c>
      <c r="O106" s="4">
        <v>14.3</v>
      </c>
      <c r="P106" s="4">
        <v>19.399999999999999</v>
      </c>
      <c r="Q106" s="4">
        <v>29.4</v>
      </c>
      <c r="R106" s="4">
        <v>11</v>
      </c>
      <c r="T106" s="10"/>
      <c r="V106" s="17">
        <f>G106*'IAA digestibility'!G106</f>
        <v>3.9269999999999996</v>
      </c>
      <c r="W106" s="17">
        <f>H106*'IAA digestibility'!H106</f>
        <v>13.692</v>
      </c>
      <c r="X106" s="17">
        <f>I106*'IAA digestibility'!I106</f>
        <v>15.895</v>
      </c>
      <c r="Y106" s="17">
        <f>J106*'IAA digestibility'!J106</f>
        <v>25.754999999999999</v>
      </c>
      <c r="Z106" s="17">
        <f>K106*'IAA digestibility'!K106</f>
        <v>21.75</v>
      </c>
      <c r="AA106" s="17">
        <f>L106*'IAA digestibility'!L106</f>
        <v>4.93</v>
      </c>
      <c r="AB106" s="17">
        <f>M106*'IAA digestibility'!M106</f>
        <v>4.7200000000000006</v>
      </c>
      <c r="AC106" s="17">
        <f>N106*'IAA digestibility'!N106</f>
        <v>17.458000000000002</v>
      </c>
      <c r="AD106" s="17">
        <f>O106*'IAA digestibility'!O106</f>
        <v>12.584000000000001</v>
      </c>
      <c r="AE106" s="17">
        <f>P106*'IAA digestibility'!P106</f>
        <v>16.295999999999999</v>
      </c>
      <c r="AF106" s="17">
        <f>R106*'IAA digestibility'!R106</f>
        <v>9.68</v>
      </c>
      <c r="AG106" s="25"/>
      <c r="AH106" s="17">
        <f t="shared" si="10"/>
        <v>9.7686567164179099</v>
      </c>
      <c r="AI106" s="17">
        <f t="shared" si="11"/>
        <v>34.059701492537314</v>
      </c>
      <c r="AJ106" s="17">
        <f t="shared" si="12"/>
        <v>39.539800995024876</v>
      </c>
      <c r="AK106" s="17">
        <f t="shared" si="13"/>
        <v>64.067164179104481</v>
      </c>
      <c r="AL106" s="17">
        <f t="shared" si="14"/>
        <v>54.104477611940297</v>
      </c>
      <c r="AM106" s="17">
        <f t="shared" si="15"/>
        <v>24.00497512437811</v>
      </c>
      <c r="AN106" s="18">
        <f t="shared" si="16"/>
        <v>74.731343283582092</v>
      </c>
      <c r="AO106" s="17">
        <f t="shared" si="17"/>
        <v>40.537313432835823</v>
      </c>
      <c r="AP106" s="17">
        <f t="shared" si="18"/>
        <v>24.079601990049749</v>
      </c>
    </row>
    <row r="107" spans="1:42" s="4" customFormat="1" x14ac:dyDescent="0.25">
      <c r="A107" s="4" t="s">
        <v>499</v>
      </c>
      <c r="B107" s="4" t="s">
        <v>298</v>
      </c>
      <c r="C107" s="4">
        <v>2</v>
      </c>
      <c r="E107" s="4" t="s">
        <v>12</v>
      </c>
      <c r="F107" s="4">
        <v>402</v>
      </c>
      <c r="G107" s="4">
        <v>5.0999999999999996</v>
      </c>
      <c r="H107" s="4">
        <v>16.3</v>
      </c>
      <c r="I107" s="4">
        <v>18.7</v>
      </c>
      <c r="J107" s="4">
        <v>30.3</v>
      </c>
      <c r="K107" s="4">
        <v>25</v>
      </c>
      <c r="L107" s="4">
        <v>5.8</v>
      </c>
      <c r="M107" s="4">
        <v>5.9</v>
      </c>
      <c r="N107" s="4">
        <v>20.3</v>
      </c>
      <c r="O107" s="4">
        <v>14.3</v>
      </c>
      <c r="P107" s="4">
        <v>19.399999999999999</v>
      </c>
      <c r="Q107" s="4">
        <v>29.4</v>
      </c>
      <c r="R107" s="4">
        <v>11</v>
      </c>
      <c r="T107" s="10"/>
      <c r="V107" s="17">
        <f>G107*'IAA digestibility'!G107</f>
        <v>3.7739999999999996</v>
      </c>
      <c r="W107" s="17">
        <f>H107*'IAA digestibility'!H107</f>
        <v>12.714</v>
      </c>
      <c r="X107" s="17">
        <f>I107*'IAA digestibility'!I107</f>
        <v>15.147</v>
      </c>
      <c r="Y107" s="17">
        <f>J107*'IAA digestibility'!J107</f>
        <v>24.543000000000003</v>
      </c>
      <c r="Z107" s="17">
        <f>K107*'IAA digestibility'!K107</f>
        <v>21</v>
      </c>
      <c r="AA107" s="17">
        <f>L107*'IAA digestibility'!L107</f>
        <v>4.7559999999999993</v>
      </c>
      <c r="AB107" s="17">
        <f>M107*'IAA digestibility'!M107</f>
        <v>4.3070000000000004</v>
      </c>
      <c r="AC107" s="17">
        <f>N107*'IAA digestibility'!N107</f>
        <v>16.240000000000002</v>
      </c>
      <c r="AD107" s="17">
        <f>O107*'IAA digestibility'!O107</f>
        <v>12.584000000000001</v>
      </c>
      <c r="AE107" s="17">
        <f>P107*'IAA digestibility'!P107</f>
        <v>15.52</v>
      </c>
      <c r="AF107" s="17">
        <f>R107*'IAA digestibility'!R107</f>
        <v>9.35</v>
      </c>
      <c r="AG107" s="25"/>
      <c r="AH107" s="17">
        <f t="shared" si="10"/>
        <v>9.3880597014925371</v>
      </c>
      <c r="AI107" s="17">
        <f t="shared" si="11"/>
        <v>31.626865671641795</v>
      </c>
      <c r="AJ107" s="17">
        <f t="shared" si="12"/>
        <v>37.679104477611943</v>
      </c>
      <c r="AK107" s="17">
        <f t="shared" si="13"/>
        <v>61.052238805970156</v>
      </c>
      <c r="AL107" s="17">
        <f t="shared" si="14"/>
        <v>52.238805970149251</v>
      </c>
      <c r="AM107" s="17">
        <f t="shared" si="15"/>
        <v>22.544776119402982</v>
      </c>
      <c r="AN107" s="18">
        <f t="shared" si="16"/>
        <v>71.701492537313456</v>
      </c>
      <c r="AO107" s="17">
        <f t="shared" si="17"/>
        <v>38.60696517412935</v>
      </c>
      <c r="AP107" s="17">
        <f t="shared" si="18"/>
        <v>23.258706467661693</v>
      </c>
    </row>
    <row r="108" spans="1:42" s="4" customFormat="1" x14ac:dyDescent="0.25">
      <c r="A108" s="4" t="s">
        <v>500</v>
      </c>
      <c r="B108" s="4" t="s">
        <v>298</v>
      </c>
      <c r="C108" s="4">
        <v>2</v>
      </c>
      <c r="E108" s="4" t="s">
        <v>12</v>
      </c>
      <c r="F108" s="4">
        <v>404</v>
      </c>
      <c r="G108" s="4">
        <v>5.2</v>
      </c>
      <c r="H108" s="4">
        <v>16.3</v>
      </c>
      <c r="I108" s="4">
        <v>18.8</v>
      </c>
      <c r="J108" s="4">
        <v>30.5</v>
      </c>
      <c r="K108" s="4">
        <v>25.1</v>
      </c>
      <c r="L108" s="4">
        <v>5.8</v>
      </c>
      <c r="M108" s="4">
        <v>6</v>
      </c>
      <c r="N108" s="4">
        <v>20.399999999999999</v>
      </c>
      <c r="O108" s="4">
        <v>14.3</v>
      </c>
      <c r="P108" s="4">
        <v>19.5</v>
      </c>
      <c r="Q108" s="4">
        <v>29.5</v>
      </c>
      <c r="R108" s="4">
        <v>11</v>
      </c>
      <c r="T108" s="10"/>
      <c r="V108" s="17">
        <f>G108*'IAA digestibility'!G108</f>
        <v>4.3159999999999998</v>
      </c>
      <c r="W108" s="17">
        <f>H108*'IAA digestibility'!H108</f>
        <v>12.225000000000001</v>
      </c>
      <c r="X108" s="17">
        <f>I108*'IAA digestibility'!I108</f>
        <v>13.912000000000001</v>
      </c>
      <c r="Y108" s="17">
        <f>J108*'IAA digestibility'!J108</f>
        <v>23.18</v>
      </c>
      <c r="Z108" s="17">
        <f>K108*'IAA digestibility'!K108</f>
        <v>19.829000000000001</v>
      </c>
      <c r="AA108" s="17">
        <f>L108*'IAA digestibility'!L108</f>
        <v>4.524</v>
      </c>
      <c r="AB108" s="17">
        <f>M108*'IAA digestibility'!M108</f>
        <v>4.5</v>
      </c>
      <c r="AC108" s="17">
        <f>N108*'IAA digestibility'!N108</f>
        <v>15.707999999999998</v>
      </c>
      <c r="AD108" s="17">
        <f>O108*'IAA digestibility'!O108</f>
        <v>11.154000000000002</v>
      </c>
      <c r="AE108" s="17">
        <f>P108*'IAA digestibility'!P108</f>
        <v>14.43</v>
      </c>
      <c r="AF108" s="17">
        <f>R108*'IAA digestibility'!R108</f>
        <v>8.91</v>
      </c>
      <c r="AG108" s="25"/>
      <c r="AH108" s="17">
        <f t="shared" si="10"/>
        <v>10.683168316831683</v>
      </c>
      <c r="AI108" s="17">
        <f t="shared" si="11"/>
        <v>30.259900990099013</v>
      </c>
      <c r="AJ108" s="17">
        <f t="shared" si="12"/>
        <v>34.43564356435644</v>
      </c>
      <c r="AK108" s="17">
        <f t="shared" si="13"/>
        <v>57.376237623762378</v>
      </c>
      <c r="AL108" s="17">
        <f t="shared" si="14"/>
        <v>49.081683168316836</v>
      </c>
      <c r="AM108" s="17">
        <f t="shared" si="15"/>
        <v>22.336633663366339</v>
      </c>
      <c r="AN108" s="18">
        <f t="shared" si="16"/>
        <v>66.490099009900987</v>
      </c>
      <c r="AO108" s="17">
        <f t="shared" si="17"/>
        <v>35.717821782178213</v>
      </c>
      <c r="AP108" s="17">
        <f t="shared" si="18"/>
        <v>22.054455445544555</v>
      </c>
    </row>
    <row r="109" spans="1:42" s="4" customFormat="1" x14ac:dyDescent="0.25">
      <c r="A109" s="4" t="s">
        <v>501</v>
      </c>
      <c r="B109" s="4" t="s">
        <v>298</v>
      </c>
      <c r="C109" s="4">
        <v>2</v>
      </c>
      <c r="E109" s="4" t="s">
        <v>12</v>
      </c>
      <c r="F109" s="4">
        <v>396</v>
      </c>
      <c r="G109" s="4">
        <v>5</v>
      </c>
      <c r="H109" s="4">
        <v>16.100000000000001</v>
      </c>
      <c r="I109" s="4">
        <v>18.5</v>
      </c>
      <c r="J109" s="4">
        <v>29.9</v>
      </c>
      <c r="K109" s="4">
        <v>24.6</v>
      </c>
      <c r="L109" s="4">
        <v>5.7</v>
      </c>
      <c r="M109" s="4">
        <v>5.8</v>
      </c>
      <c r="N109" s="4">
        <v>20</v>
      </c>
      <c r="O109" s="4">
        <v>14.1</v>
      </c>
      <c r="P109" s="4">
        <v>19.100000000000001</v>
      </c>
      <c r="Q109" s="4">
        <v>29</v>
      </c>
      <c r="R109" s="4">
        <v>10.8</v>
      </c>
      <c r="T109" s="10"/>
      <c r="V109" s="17">
        <f>G109*'IAA digestibility'!G109</f>
        <v>4.0999999999999996</v>
      </c>
      <c r="W109" s="17">
        <f>H109*'IAA digestibility'!H109</f>
        <v>11.914000000000001</v>
      </c>
      <c r="X109" s="17">
        <f>I109*'IAA digestibility'!I109</f>
        <v>13.504999999999999</v>
      </c>
      <c r="Y109" s="17">
        <f>J109*'IAA digestibility'!J109</f>
        <v>21.826999999999998</v>
      </c>
      <c r="Z109" s="17">
        <f>K109*'IAA digestibility'!K109</f>
        <v>19.188000000000002</v>
      </c>
      <c r="AA109" s="17">
        <f>L109*'IAA digestibility'!L109</f>
        <v>4.3319999999999999</v>
      </c>
      <c r="AB109" s="17">
        <f>M109*'IAA digestibility'!M109</f>
        <v>4.3499999999999996</v>
      </c>
      <c r="AC109" s="17">
        <f>N109*'IAA digestibility'!N109</f>
        <v>14.8</v>
      </c>
      <c r="AD109" s="17">
        <f>O109*'IAA digestibility'!O109</f>
        <v>10.997999999999999</v>
      </c>
      <c r="AE109" s="17">
        <f>P109*'IAA digestibility'!P109</f>
        <v>13.752000000000001</v>
      </c>
      <c r="AF109" s="17">
        <f>R109*'IAA digestibility'!R109</f>
        <v>8.5320000000000018</v>
      </c>
      <c r="AG109" s="25"/>
      <c r="AH109" s="17">
        <f t="shared" si="10"/>
        <v>10.353535353535353</v>
      </c>
      <c r="AI109" s="17">
        <f t="shared" si="11"/>
        <v>30.085858585858592</v>
      </c>
      <c r="AJ109" s="17">
        <f t="shared" si="12"/>
        <v>34.103535353535349</v>
      </c>
      <c r="AK109" s="17">
        <f t="shared" si="13"/>
        <v>55.118686868686865</v>
      </c>
      <c r="AL109" s="17">
        <f t="shared" si="14"/>
        <v>48.45454545454546</v>
      </c>
      <c r="AM109" s="17">
        <f t="shared" si="15"/>
        <v>21.924242424242419</v>
      </c>
      <c r="AN109" s="18">
        <f t="shared" si="16"/>
        <v>65.146464646464651</v>
      </c>
      <c r="AO109" s="17">
        <f t="shared" si="17"/>
        <v>34.727272727272734</v>
      </c>
      <c r="AP109" s="17">
        <f t="shared" si="18"/>
        <v>21.54545454545455</v>
      </c>
    </row>
    <row r="110" spans="1:42" s="4" customFormat="1" x14ac:dyDescent="0.25">
      <c r="A110" s="4" t="s">
        <v>183</v>
      </c>
      <c r="B110" s="4" t="s">
        <v>298</v>
      </c>
      <c r="C110" s="4">
        <v>2</v>
      </c>
      <c r="E110" s="4" t="s">
        <v>12</v>
      </c>
      <c r="F110" s="4">
        <v>583</v>
      </c>
      <c r="G110" s="4">
        <v>8.3000000000000007</v>
      </c>
      <c r="H110" s="4">
        <v>21.9</v>
      </c>
      <c r="I110" s="4">
        <v>26.5</v>
      </c>
      <c r="J110" s="4">
        <v>44.7</v>
      </c>
      <c r="K110" s="4">
        <v>36.299999999999997</v>
      </c>
      <c r="L110" s="4">
        <v>8.3000000000000007</v>
      </c>
      <c r="M110" s="4">
        <v>9.3000000000000007</v>
      </c>
      <c r="N110" s="4">
        <v>29.5</v>
      </c>
      <c r="O110" s="4">
        <v>20.399999999999999</v>
      </c>
      <c r="P110" s="4">
        <v>28.1</v>
      </c>
      <c r="Q110" s="4">
        <v>42.6</v>
      </c>
      <c r="R110" s="4">
        <v>15.5</v>
      </c>
      <c r="S110" s="4" t="s">
        <v>184</v>
      </c>
      <c r="T110" s="10"/>
      <c r="V110" s="17">
        <f>G110*'IAA digestibility'!G110</f>
        <v>7.7190000000000012</v>
      </c>
      <c r="W110" s="17">
        <f>H110*'IAA digestibility'!H110</f>
        <v>20.148</v>
      </c>
      <c r="X110" s="17">
        <f>I110*'IAA digestibility'!I110</f>
        <v>25.174999999999997</v>
      </c>
      <c r="Y110" s="17">
        <f>J110*'IAA digestibility'!J110</f>
        <v>42.465000000000003</v>
      </c>
      <c r="Z110" s="17">
        <f>K110*'IAA digestibility'!K110</f>
        <v>33.759</v>
      </c>
      <c r="AA110" s="17">
        <f>L110*'IAA digestibility'!L110</f>
        <v>7.8850000000000007</v>
      </c>
      <c r="AB110" s="17">
        <f>M110*'IAA digestibility'!M110</f>
        <v>8.5560000000000009</v>
      </c>
      <c r="AC110" s="17">
        <f>N110*'IAA digestibility'!N110</f>
        <v>28.024999999999999</v>
      </c>
      <c r="AD110" s="17">
        <f>O110*'IAA digestibility'!O110</f>
        <v>19.584</v>
      </c>
      <c r="AE110" s="17">
        <f>P110*'IAA digestibility'!P110</f>
        <v>26.133000000000003</v>
      </c>
      <c r="AF110" s="17">
        <f>R110*'IAA digestibility'!R110</f>
        <v>15.035</v>
      </c>
      <c r="AG110" s="25"/>
      <c r="AH110" s="17">
        <f t="shared" si="10"/>
        <v>13.240137221269299</v>
      </c>
      <c r="AI110" s="17">
        <f t="shared" si="11"/>
        <v>34.559176672384218</v>
      </c>
      <c r="AJ110" s="17">
        <f t="shared" si="12"/>
        <v>43.181818181818173</v>
      </c>
      <c r="AK110" s="17">
        <f t="shared" si="13"/>
        <v>72.838765008576331</v>
      </c>
      <c r="AL110" s="17">
        <f t="shared" si="14"/>
        <v>57.905660377358487</v>
      </c>
      <c r="AM110" s="17">
        <f t="shared" si="15"/>
        <v>28.200686106346485</v>
      </c>
      <c r="AN110" s="18">
        <f t="shared" si="16"/>
        <v>81.66209262435676</v>
      </c>
      <c r="AO110" s="17">
        <f t="shared" si="17"/>
        <v>44.82504288164666</v>
      </c>
      <c r="AP110" s="17">
        <f t="shared" si="18"/>
        <v>25.78902229845626</v>
      </c>
    </row>
    <row r="111" spans="1:42" s="4" customFormat="1" x14ac:dyDescent="0.25">
      <c r="A111" s="4" t="s">
        <v>185</v>
      </c>
      <c r="B111" s="4" t="s">
        <v>298</v>
      </c>
      <c r="C111" s="4">
        <v>2</v>
      </c>
      <c r="E111" s="4" t="s">
        <v>12</v>
      </c>
      <c r="F111" s="4">
        <v>694</v>
      </c>
      <c r="G111" s="4">
        <v>10.199999999999999</v>
      </c>
      <c r="H111" s="4">
        <v>25.3</v>
      </c>
      <c r="I111" s="4">
        <v>31.2</v>
      </c>
      <c r="J111" s="4">
        <v>53.5</v>
      </c>
      <c r="K111" s="4">
        <v>43.2</v>
      </c>
      <c r="L111" s="4">
        <v>9.8000000000000007</v>
      </c>
      <c r="M111" s="4">
        <v>11.4</v>
      </c>
      <c r="N111" s="4">
        <v>35</v>
      </c>
      <c r="O111" s="4">
        <v>24.2</v>
      </c>
      <c r="P111" s="4">
        <v>33.5</v>
      </c>
      <c r="Q111" s="4">
        <v>50.7</v>
      </c>
      <c r="R111" s="4">
        <v>18.3</v>
      </c>
      <c r="S111" s="4" t="s">
        <v>184</v>
      </c>
      <c r="T111" s="10"/>
      <c r="V111" s="17">
        <f>G111*'IAA digestibility'!G111</f>
        <v>9.282</v>
      </c>
      <c r="W111" s="17">
        <f>H111*'IAA digestibility'!H111</f>
        <v>22.010999999999999</v>
      </c>
      <c r="X111" s="17">
        <f>I111*'IAA digestibility'!I111</f>
        <v>28.391999999999999</v>
      </c>
      <c r="Y111" s="17">
        <f>J111*'IAA digestibility'!J111</f>
        <v>49.22</v>
      </c>
      <c r="Z111" s="17">
        <f>K111*'IAA digestibility'!K111</f>
        <v>40.607999999999997</v>
      </c>
      <c r="AA111" s="17">
        <f>L111*'IAA digestibility'!L111</f>
        <v>9.0160000000000018</v>
      </c>
      <c r="AB111" s="17">
        <f>M111*'IAA digestibility'!M111</f>
        <v>9.5760000000000005</v>
      </c>
      <c r="AC111" s="17">
        <f>N111*'IAA digestibility'!N111</f>
        <v>32.200000000000003</v>
      </c>
      <c r="AD111" s="17">
        <f>O111*'IAA digestibility'!O111</f>
        <v>22.747999999999998</v>
      </c>
      <c r="AE111" s="17">
        <f>P111*'IAA digestibility'!P111</f>
        <v>30.150000000000002</v>
      </c>
      <c r="AF111" s="17">
        <f>R111*'IAA digestibility'!R111</f>
        <v>17.385000000000002</v>
      </c>
      <c r="AG111" s="25"/>
      <c r="AH111" s="17">
        <f t="shared" si="10"/>
        <v>13.37463976945245</v>
      </c>
      <c r="AI111" s="17">
        <f t="shared" si="11"/>
        <v>31.716138328530256</v>
      </c>
      <c r="AJ111" s="17">
        <f t="shared" si="12"/>
        <v>40.910662824207492</v>
      </c>
      <c r="AK111" s="17">
        <f t="shared" si="13"/>
        <v>70.922190201729109</v>
      </c>
      <c r="AL111" s="17">
        <f t="shared" si="14"/>
        <v>58.512968299711808</v>
      </c>
      <c r="AM111" s="17">
        <f t="shared" si="15"/>
        <v>26.789625360230552</v>
      </c>
      <c r="AN111" s="18">
        <f t="shared" si="16"/>
        <v>79.175792507204605</v>
      </c>
      <c r="AO111" s="17">
        <f t="shared" si="17"/>
        <v>43.443804034582136</v>
      </c>
      <c r="AP111" s="17">
        <f t="shared" si="18"/>
        <v>25.050432276657062</v>
      </c>
    </row>
    <row r="112" spans="1:42" s="4" customFormat="1" x14ac:dyDescent="0.25">
      <c r="A112" s="4" t="s">
        <v>187</v>
      </c>
      <c r="B112" s="4" t="s">
        <v>298</v>
      </c>
      <c r="C112" s="4">
        <v>2</v>
      </c>
      <c r="E112" s="4" t="s">
        <v>12</v>
      </c>
      <c r="F112" s="4">
        <v>844</v>
      </c>
      <c r="G112" s="4">
        <v>12.9</v>
      </c>
      <c r="H112" s="4">
        <v>30</v>
      </c>
      <c r="I112" s="4">
        <v>37.6</v>
      </c>
      <c r="J112" s="4">
        <v>65.5</v>
      </c>
      <c r="K112" s="4">
        <v>52.6</v>
      </c>
      <c r="L112" s="4">
        <v>11.8</v>
      </c>
      <c r="M112" s="4">
        <v>14.2</v>
      </c>
      <c r="N112" s="4">
        <v>42.6</v>
      </c>
      <c r="O112" s="4">
        <v>29.4</v>
      </c>
      <c r="P112" s="4">
        <v>40.799999999999997</v>
      </c>
      <c r="Q112" s="4">
        <v>61.6</v>
      </c>
      <c r="R112" s="4">
        <v>22</v>
      </c>
      <c r="S112" s="4" t="s">
        <v>186</v>
      </c>
      <c r="T112" s="10"/>
      <c r="V112" s="17">
        <f>G112*'IAA digestibility'!G112</f>
        <v>11.739000000000001</v>
      </c>
      <c r="W112" s="17">
        <f>H112*'IAA digestibility'!H112</f>
        <v>26.1</v>
      </c>
      <c r="X112" s="17">
        <f>I112*'IAA digestibility'!I112</f>
        <v>34.216000000000001</v>
      </c>
      <c r="Y112" s="17">
        <f>J112*'IAA digestibility'!J112</f>
        <v>60.260000000000005</v>
      </c>
      <c r="Z112" s="17">
        <f>K112*'IAA digestibility'!K112</f>
        <v>49.443999999999996</v>
      </c>
      <c r="AA112" s="17">
        <f>L112*'IAA digestibility'!L112</f>
        <v>10.856000000000002</v>
      </c>
      <c r="AB112" s="17">
        <f>M112*'IAA digestibility'!M112</f>
        <v>11.927999999999999</v>
      </c>
      <c r="AC112" s="17">
        <f>N112*'IAA digestibility'!N112</f>
        <v>39.192</v>
      </c>
      <c r="AD112" s="17">
        <f>O112*'IAA digestibility'!O112</f>
        <v>27.635999999999996</v>
      </c>
      <c r="AE112" s="17">
        <f>P112*'IAA digestibility'!P112</f>
        <v>36.72</v>
      </c>
      <c r="AF112" s="17">
        <f>R112*'IAA digestibility'!R112</f>
        <v>20.9</v>
      </c>
      <c r="AG112" s="25"/>
      <c r="AH112" s="17">
        <f t="shared" si="10"/>
        <v>13.908767772511849</v>
      </c>
      <c r="AI112" s="17">
        <f t="shared" si="11"/>
        <v>30.924170616113745</v>
      </c>
      <c r="AJ112" s="17">
        <f t="shared" si="12"/>
        <v>40.540284360189574</v>
      </c>
      <c r="AK112" s="17">
        <f t="shared" si="13"/>
        <v>71.39810426540285</v>
      </c>
      <c r="AL112" s="17">
        <f t="shared" si="14"/>
        <v>58.582938388625585</v>
      </c>
      <c r="AM112" s="17">
        <f t="shared" si="15"/>
        <v>26.995260663507107</v>
      </c>
      <c r="AN112" s="18">
        <f t="shared" si="16"/>
        <v>79.180094786729867</v>
      </c>
      <c r="AO112" s="17">
        <f t="shared" si="17"/>
        <v>43.507109004739334</v>
      </c>
      <c r="AP112" s="17">
        <f t="shared" si="18"/>
        <v>24.763033175355449</v>
      </c>
    </row>
    <row r="113" spans="1:42" s="4" customFormat="1" x14ac:dyDescent="0.25">
      <c r="A113" s="4" t="s">
        <v>246</v>
      </c>
      <c r="B113" s="4" t="s">
        <v>298</v>
      </c>
      <c r="C113" s="4">
        <v>8</v>
      </c>
      <c r="E113" s="4" t="s">
        <v>12</v>
      </c>
      <c r="F113" s="4">
        <v>218.3</v>
      </c>
      <c r="G113" s="4">
        <v>5.7</v>
      </c>
      <c r="H113" s="4">
        <v>8.1999999999999993</v>
      </c>
      <c r="I113" s="4">
        <v>10.7</v>
      </c>
      <c r="J113" s="4">
        <v>16.899999999999999</v>
      </c>
      <c r="K113" s="4">
        <v>12.2</v>
      </c>
      <c r="L113" s="4">
        <v>2.9</v>
      </c>
      <c r="M113" s="4">
        <v>3.5</v>
      </c>
      <c r="N113" s="4">
        <v>11.2</v>
      </c>
      <c r="O113" s="4">
        <v>6</v>
      </c>
      <c r="P113" s="4">
        <v>10.4</v>
      </c>
      <c r="Q113" s="4">
        <v>5.5</v>
      </c>
      <c r="R113" s="4">
        <v>6.1</v>
      </c>
      <c r="S113" s="4" t="s">
        <v>241</v>
      </c>
      <c r="T113" s="10"/>
      <c r="V113" s="17">
        <f>G113*'IAA digestibility'!G113</f>
        <v>5.6886000000000001</v>
      </c>
      <c r="W113" s="17">
        <f>H113*'IAA digestibility'!H113</f>
        <v>7.4291999999999998</v>
      </c>
      <c r="X113" s="17">
        <f>I113*'IAA digestibility'!I113</f>
        <v>9.5336999999999996</v>
      </c>
      <c r="Y113" s="17">
        <f>J113*'IAA digestibility'!J113</f>
        <v>14.922699999999999</v>
      </c>
      <c r="Z113" s="17">
        <f>K113*'IAA digestibility'!K113</f>
        <v>11.285</v>
      </c>
      <c r="AA113" s="17">
        <f>L113*'IAA digestibility'!L113</f>
        <v>2.8796999999999997</v>
      </c>
      <c r="AB113" s="17">
        <f>M113*'IAA digestibility'!M113</f>
        <v>3.5</v>
      </c>
      <c r="AC113" s="17">
        <f>N113*'IAA digestibility'!N113</f>
        <v>10.606399999999999</v>
      </c>
      <c r="AD113" s="17">
        <f>O113*'IAA digestibility'!O113</f>
        <v>5.4060000000000006</v>
      </c>
      <c r="AE113" s="17">
        <f>P113*'IAA digestibility'!P113</f>
        <v>9.4016000000000002</v>
      </c>
      <c r="AF113" s="17">
        <f>R113*'IAA digestibility'!R113</f>
        <v>5.6242000000000001</v>
      </c>
      <c r="AG113" s="25"/>
      <c r="AH113" s="17">
        <f t="shared" si="10"/>
        <v>26.058634906092532</v>
      </c>
      <c r="AI113" s="17">
        <f t="shared" si="11"/>
        <v>34.03206596426935</v>
      </c>
      <c r="AJ113" s="17">
        <f t="shared" si="12"/>
        <v>43.672469079248735</v>
      </c>
      <c r="AK113" s="17">
        <f t="shared" si="13"/>
        <v>68.358680714612916</v>
      </c>
      <c r="AL113" s="17">
        <f t="shared" si="14"/>
        <v>51.694915254237287</v>
      </c>
      <c r="AM113" s="17">
        <f t="shared" si="15"/>
        <v>29.224461749885478</v>
      </c>
      <c r="AN113" s="18">
        <f t="shared" si="16"/>
        <v>73.350435180943649</v>
      </c>
      <c r="AO113" s="17">
        <f t="shared" si="17"/>
        <v>43.067338524965642</v>
      </c>
      <c r="AP113" s="17">
        <f t="shared" si="18"/>
        <v>25.763628034814474</v>
      </c>
    </row>
    <row r="114" spans="1:42" s="4" customFormat="1" x14ac:dyDescent="0.25">
      <c r="A114" s="4" t="s">
        <v>267</v>
      </c>
      <c r="B114" s="4" t="s">
        <v>298</v>
      </c>
      <c r="C114" s="4">
        <v>12</v>
      </c>
      <c r="E114" s="4" t="s">
        <v>12</v>
      </c>
      <c r="F114" s="4">
        <v>358</v>
      </c>
      <c r="G114" s="4">
        <v>4.4000000000000004</v>
      </c>
      <c r="H114" s="4">
        <v>14.4</v>
      </c>
      <c r="I114" s="4">
        <v>18</v>
      </c>
      <c r="J114" s="4">
        <v>28.9</v>
      </c>
      <c r="K114" s="4">
        <v>24</v>
      </c>
      <c r="L114" s="4">
        <v>5.0999999999999996</v>
      </c>
      <c r="M114" s="4">
        <v>5.2</v>
      </c>
      <c r="N114" s="4">
        <v>19</v>
      </c>
      <c r="O114" s="4">
        <v>13.4</v>
      </c>
      <c r="P114" s="4">
        <v>18.600000000000001</v>
      </c>
      <c r="Q114" s="4">
        <v>26.5</v>
      </c>
      <c r="R114" s="4">
        <v>9.9</v>
      </c>
      <c r="T114" s="10"/>
      <c r="V114" s="17">
        <f>G114*'IAA digestibility'!G114</f>
        <v>3.5200000000000005</v>
      </c>
      <c r="W114" s="17">
        <f>H114*'IAA digestibility'!H114</f>
        <v>11.016</v>
      </c>
      <c r="X114" s="17">
        <f>I114*'IAA digestibility'!I114</f>
        <v>14.508000000000001</v>
      </c>
      <c r="Y114" s="17">
        <f>J114*'IAA digestibility'!J114</f>
        <v>23.264500000000002</v>
      </c>
      <c r="Z114" s="17">
        <f>K114*'IAA digestibility'!K114</f>
        <v>19.655999999999999</v>
      </c>
      <c r="AA114" s="17">
        <f>L114*'IAA digestibility'!L114</f>
        <v>4.1666999999999996</v>
      </c>
      <c r="AB114" s="17">
        <f>M114*'IAA digestibility'!M114</f>
        <v>3.6035999999999997</v>
      </c>
      <c r="AC114" s="17">
        <f>N114*'IAA digestibility'!N114</f>
        <v>15.598999999999998</v>
      </c>
      <c r="AD114" s="17">
        <f>O114*'IAA digestibility'!O114</f>
        <v>10.8406</v>
      </c>
      <c r="AE114" s="17">
        <f>P114*'IAA digestibility'!P114</f>
        <v>14.433600000000002</v>
      </c>
      <c r="AF114" s="17">
        <f>R114*'IAA digestibility'!R114</f>
        <v>8.1378000000000004</v>
      </c>
      <c r="AG114" s="25"/>
      <c r="AH114" s="17">
        <f t="shared" si="10"/>
        <v>9.8324022346368736</v>
      </c>
      <c r="AI114" s="17">
        <f t="shared" si="11"/>
        <v>30.770949720670391</v>
      </c>
      <c r="AJ114" s="17">
        <f t="shared" si="12"/>
        <v>40.52513966480447</v>
      </c>
      <c r="AK114" s="17">
        <f t="shared" si="13"/>
        <v>64.984636871508386</v>
      </c>
      <c r="AL114" s="17">
        <f t="shared" si="14"/>
        <v>54.905027932960891</v>
      </c>
      <c r="AM114" s="17">
        <f t="shared" si="15"/>
        <v>21.704748603351952</v>
      </c>
      <c r="AN114" s="18">
        <f t="shared" si="16"/>
        <v>73.85363128491619</v>
      </c>
      <c r="AO114" s="17">
        <f t="shared" si="17"/>
        <v>40.317318435754196</v>
      </c>
      <c r="AP114" s="17">
        <f t="shared" si="18"/>
        <v>22.731284916201119</v>
      </c>
    </row>
    <row r="115" spans="1:42" s="4" customFormat="1" x14ac:dyDescent="0.25">
      <c r="A115" s="4" t="s">
        <v>56</v>
      </c>
      <c r="B115" s="4" t="s">
        <v>298</v>
      </c>
      <c r="C115" s="4">
        <v>2</v>
      </c>
      <c r="E115" s="4" t="s">
        <v>12</v>
      </c>
      <c r="F115" s="4">
        <v>160</v>
      </c>
      <c r="G115" s="4">
        <v>2.2000000000000002</v>
      </c>
      <c r="H115" s="4">
        <v>6.1</v>
      </c>
      <c r="I115" s="4">
        <v>6.3</v>
      </c>
      <c r="J115" s="4">
        <v>9.4</v>
      </c>
      <c r="K115" s="4">
        <v>6.5</v>
      </c>
      <c r="L115" s="4">
        <v>3.6</v>
      </c>
      <c r="M115" s="4">
        <v>2.8</v>
      </c>
      <c r="N115" s="4">
        <v>6.8</v>
      </c>
      <c r="O115" s="4">
        <v>4</v>
      </c>
      <c r="P115" s="4">
        <v>7.3</v>
      </c>
      <c r="Q115" s="4">
        <v>11.6</v>
      </c>
      <c r="R115" s="4">
        <v>4</v>
      </c>
      <c r="T115" s="10"/>
      <c r="V115" s="17">
        <f>G115*'IAA digestibility'!G115</f>
        <v>1.8920000000000001</v>
      </c>
      <c r="W115" s="17">
        <f>H115*'IAA digestibility'!H115</f>
        <v>5.0019999999999998</v>
      </c>
      <c r="X115" s="17">
        <f>I115*'IAA digestibility'!I115</f>
        <v>5.4180000000000001</v>
      </c>
      <c r="Y115" s="17">
        <f>J115*'IAA digestibility'!J115</f>
        <v>7.99</v>
      </c>
      <c r="Z115" s="17">
        <f>K115*'IAA digestibility'!K115</f>
        <v>4.875</v>
      </c>
      <c r="AA115" s="17">
        <f>L115*'IAA digestibility'!L115</f>
        <v>3.24</v>
      </c>
      <c r="AB115" s="17">
        <f>M115*'IAA digestibility'!M115</f>
        <v>2.38</v>
      </c>
      <c r="AC115" s="17">
        <f>N115*'IAA digestibility'!N115</f>
        <v>5.9159999999999995</v>
      </c>
      <c r="AD115" s="17">
        <f>O115*'IAA digestibility'!O115</f>
        <v>3.32</v>
      </c>
      <c r="AE115" s="17">
        <f>P115*'IAA digestibility'!P115</f>
        <v>6.1319999999999997</v>
      </c>
      <c r="AF115" s="17">
        <f>R115*'IAA digestibility'!R115</f>
        <v>3.4</v>
      </c>
      <c r="AG115" s="25"/>
      <c r="AH115" s="17">
        <f t="shared" si="10"/>
        <v>11.825000000000001</v>
      </c>
      <c r="AI115" s="17">
        <f t="shared" si="11"/>
        <v>31.262499999999999</v>
      </c>
      <c r="AJ115" s="17">
        <f t="shared" si="12"/>
        <v>33.862500000000004</v>
      </c>
      <c r="AK115" s="17">
        <f t="shared" si="13"/>
        <v>49.9375</v>
      </c>
      <c r="AL115" s="17">
        <f t="shared" si="14"/>
        <v>30.46875</v>
      </c>
      <c r="AM115" s="17">
        <f t="shared" si="15"/>
        <v>35.125</v>
      </c>
      <c r="AN115" s="18">
        <f t="shared" si="16"/>
        <v>57.724999999999994</v>
      </c>
      <c r="AO115" s="17">
        <f t="shared" si="17"/>
        <v>38.324999999999996</v>
      </c>
      <c r="AP115" s="17">
        <f t="shared" si="18"/>
        <v>21.249999999999996</v>
      </c>
    </row>
    <row r="116" spans="1:42" s="4" customFormat="1" x14ac:dyDescent="0.25">
      <c r="A116" s="4" t="s">
        <v>245</v>
      </c>
      <c r="B116" s="4" t="s">
        <v>298</v>
      </c>
      <c r="C116" s="4">
        <v>8</v>
      </c>
      <c r="E116" s="4" t="s">
        <v>12</v>
      </c>
      <c r="F116" s="4">
        <v>237.1</v>
      </c>
      <c r="G116" s="4">
        <v>5.5</v>
      </c>
      <c r="H116" s="4">
        <v>8.5</v>
      </c>
      <c r="I116" s="4">
        <v>11.3</v>
      </c>
      <c r="J116" s="4">
        <v>18.5</v>
      </c>
      <c r="K116" s="4">
        <v>13.4</v>
      </c>
      <c r="L116" s="4">
        <v>2.7</v>
      </c>
      <c r="M116" s="4">
        <v>3</v>
      </c>
      <c r="N116" s="4">
        <v>12.4</v>
      </c>
      <c r="O116" s="4">
        <v>6.6</v>
      </c>
      <c r="P116" s="4">
        <v>11.2</v>
      </c>
      <c r="Q116" s="4">
        <v>5.0999999999999996</v>
      </c>
      <c r="R116" s="4">
        <v>6.3</v>
      </c>
      <c r="S116" s="4" t="s">
        <v>241</v>
      </c>
      <c r="T116" s="10"/>
      <c r="V116" s="17">
        <f>G116*'IAA digestibility'!G116</f>
        <v>5.5</v>
      </c>
      <c r="W116" s="17">
        <f>H116*'IAA digestibility'!H116</f>
        <v>7.9050000000000002</v>
      </c>
      <c r="X116" s="17">
        <f>I116*'IAA digestibility'!I116</f>
        <v>10.497700000000002</v>
      </c>
      <c r="Y116" s="17">
        <f>J116*'IAA digestibility'!J116</f>
        <v>17.2605</v>
      </c>
      <c r="Z116" s="17">
        <f>K116*'IAA digestibility'!K116</f>
        <v>12.582599999999999</v>
      </c>
      <c r="AA116" s="17">
        <f>L116*'IAA digestibility'!L116</f>
        <v>2.3111999999999999</v>
      </c>
      <c r="AB116" s="17">
        <f>M116*'IAA digestibility'!M116</f>
        <v>2.5139999999999998</v>
      </c>
      <c r="AC116" s="17">
        <f>N116*'IAA digestibility'!N116</f>
        <v>12.2264</v>
      </c>
      <c r="AD116" s="17">
        <f>O116*'IAA digestibility'!O116</f>
        <v>6.0720000000000001</v>
      </c>
      <c r="AE116" s="17">
        <f>P116*'IAA digestibility'!P116</f>
        <v>10.4496</v>
      </c>
      <c r="AF116" s="17">
        <f>R116*'IAA digestibility'!R116</f>
        <v>6.0290999999999997</v>
      </c>
      <c r="AG116" s="25"/>
      <c r="AH116" s="17">
        <f t="shared" si="10"/>
        <v>23.196963306621679</v>
      </c>
      <c r="AI116" s="17">
        <f t="shared" si="11"/>
        <v>33.340362716153521</v>
      </c>
      <c r="AJ116" s="17">
        <f t="shared" si="12"/>
        <v>44.275411218894995</v>
      </c>
      <c r="AK116" s="17">
        <f t="shared" si="13"/>
        <v>72.798397300716999</v>
      </c>
      <c r="AL116" s="17">
        <f t="shared" si="14"/>
        <v>53.068747363981444</v>
      </c>
      <c r="AM116" s="17">
        <f t="shared" si="15"/>
        <v>20.350906790383803</v>
      </c>
      <c r="AN116" s="18">
        <f t="shared" si="16"/>
        <v>77.175875158161119</v>
      </c>
      <c r="AO116" s="17">
        <f t="shared" si="17"/>
        <v>44.072543230704341</v>
      </c>
      <c r="AP116" s="17">
        <f t="shared" si="18"/>
        <v>25.428511176718683</v>
      </c>
    </row>
    <row r="117" spans="1:42" s="6" customFormat="1" x14ac:dyDescent="0.25">
      <c r="V117" s="31"/>
      <c r="W117" s="31"/>
      <c r="X117" s="31"/>
      <c r="Y117" s="31"/>
      <c r="Z117" s="31"/>
      <c r="AA117" s="31"/>
      <c r="AB117" s="31"/>
      <c r="AC117" s="31"/>
      <c r="AD117" s="31"/>
      <c r="AE117" s="31"/>
      <c r="AF117" s="31"/>
      <c r="AG117" s="31"/>
      <c r="AH117" s="31"/>
      <c r="AI117" s="31"/>
      <c r="AJ117" s="31"/>
      <c r="AK117" s="31"/>
      <c r="AL117" s="31"/>
      <c r="AM117" s="31"/>
      <c r="AN117" s="30"/>
      <c r="AO117" s="31"/>
      <c r="AP117" s="31"/>
    </row>
    <row r="118" spans="1:42" s="4" customFormat="1" x14ac:dyDescent="0.25">
      <c r="A118" s="4" t="s">
        <v>93</v>
      </c>
      <c r="B118" s="4" t="s">
        <v>123</v>
      </c>
      <c r="C118" s="4">
        <v>2</v>
      </c>
      <c r="E118" s="4" t="s">
        <v>12</v>
      </c>
      <c r="F118" s="4">
        <v>379</v>
      </c>
      <c r="G118" s="4">
        <v>4.4000000000000004</v>
      </c>
      <c r="H118" s="4">
        <v>14.9</v>
      </c>
      <c r="I118" s="4">
        <v>14.5</v>
      </c>
      <c r="J118" s="4">
        <v>24.7</v>
      </c>
      <c r="K118" s="4">
        <v>17.600000000000001</v>
      </c>
      <c r="L118" s="4">
        <v>7.3</v>
      </c>
      <c r="M118" s="4">
        <v>8.6999999999999993</v>
      </c>
      <c r="N118" s="4">
        <v>15.1</v>
      </c>
      <c r="O118" s="4">
        <v>9.5</v>
      </c>
      <c r="P118" s="4">
        <v>19.899999999999999</v>
      </c>
      <c r="Q118" s="4">
        <v>29</v>
      </c>
      <c r="R118" s="4">
        <v>8.6</v>
      </c>
      <c r="S118" s="4" t="s">
        <v>94</v>
      </c>
      <c r="T118" s="10"/>
      <c r="V118" s="17">
        <f>G118*'IAA digestibility'!G118</f>
        <v>3.5200000000000005</v>
      </c>
      <c r="W118" s="17">
        <f>H118*'IAA digestibility'!H118</f>
        <v>7.5990000000000002</v>
      </c>
      <c r="X118" s="17">
        <f>I118*'IAA digestibility'!I118</f>
        <v>9.4250000000000007</v>
      </c>
      <c r="Y118" s="17">
        <f>J118*'IAA digestibility'!J118</f>
        <v>17.042999999999999</v>
      </c>
      <c r="Z118" s="17">
        <f>K118*'IAA digestibility'!K118</f>
        <v>9.3280000000000012</v>
      </c>
      <c r="AA118" s="17">
        <f>L118*'IAA digestibility'!L118</f>
        <v>5.4020000000000001</v>
      </c>
      <c r="AB118" s="17">
        <f>M118*'IAA digestibility'!M118</f>
        <v>4.6979999999999995</v>
      </c>
      <c r="AC118" s="17">
        <f>N118*'IAA digestibility'!N118</f>
        <v>10.418999999999999</v>
      </c>
      <c r="AD118" s="17">
        <f>O118*'IAA digestibility'!O118</f>
        <v>5.32</v>
      </c>
      <c r="AE118" s="17">
        <f>P118*'IAA digestibility'!P118</f>
        <v>12.934999999999999</v>
      </c>
      <c r="AF118" s="17">
        <f>R118*'IAA digestibility'!R118</f>
        <v>6.2779999999999996</v>
      </c>
      <c r="AG118" s="25"/>
      <c r="AH118" s="17">
        <f t="shared" si="10"/>
        <v>9.2875989445910303</v>
      </c>
      <c r="AI118" s="17">
        <f t="shared" si="11"/>
        <v>20.050131926121374</v>
      </c>
      <c r="AJ118" s="17">
        <f t="shared" si="12"/>
        <v>24.868073878627971</v>
      </c>
      <c r="AK118" s="17">
        <f t="shared" si="13"/>
        <v>44.968337730870708</v>
      </c>
      <c r="AL118" s="17">
        <f t="shared" si="14"/>
        <v>24.612137203166231</v>
      </c>
      <c r="AM118" s="17">
        <f t="shared" si="15"/>
        <v>26.649076517150394</v>
      </c>
      <c r="AN118" s="18">
        <f t="shared" si="16"/>
        <v>41.527704485488123</v>
      </c>
      <c r="AO118" s="17">
        <f t="shared" si="17"/>
        <v>34.129287598944586</v>
      </c>
      <c r="AP118" s="17">
        <f t="shared" si="18"/>
        <v>16.564643799472293</v>
      </c>
    </row>
    <row r="119" spans="1:42" s="4" customFormat="1" x14ac:dyDescent="0.25">
      <c r="A119" s="4" t="s">
        <v>73</v>
      </c>
      <c r="B119" s="4" t="s">
        <v>123</v>
      </c>
      <c r="C119" s="4">
        <v>2</v>
      </c>
      <c r="E119" s="4" t="s">
        <v>12</v>
      </c>
      <c r="F119" s="4">
        <v>410</v>
      </c>
      <c r="G119" s="4">
        <v>5</v>
      </c>
      <c r="H119" s="4">
        <v>17.399999999999999</v>
      </c>
      <c r="I119" s="4">
        <v>16.399999999999999</v>
      </c>
      <c r="J119" s="4">
        <v>27.8</v>
      </c>
      <c r="K119" s="4">
        <v>21.6</v>
      </c>
      <c r="L119" s="4">
        <v>8.1999999999999993</v>
      </c>
      <c r="M119" s="4">
        <v>9.8000000000000007</v>
      </c>
      <c r="N119" s="4">
        <v>15.8</v>
      </c>
      <c r="O119" s="4">
        <v>11.6</v>
      </c>
      <c r="P119" s="4">
        <v>20.8</v>
      </c>
      <c r="Q119" s="4">
        <v>23.6</v>
      </c>
      <c r="R119" s="4">
        <v>11.3</v>
      </c>
      <c r="S119" s="4" t="s">
        <v>74</v>
      </c>
      <c r="T119" s="10"/>
      <c r="V119" s="17">
        <f>G119*'IAA digestibility'!G119</f>
        <v>4</v>
      </c>
      <c r="W119" s="17">
        <f>H119*'IAA digestibility'!H119</f>
        <v>13.049999999999999</v>
      </c>
      <c r="X119" s="17">
        <f>I119*'IAA digestibility'!I119</f>
        <v>12.792</v>
      </c>
      <c r="Y119" s="17">
        <f>J119*'IAA digestibility'!J119</f>
        <v>22.795999999999999</v>
      </c>
      <c r="Z119" s="17">
        <f>K119*'IAA digestibility'!K119</f>
        <v>16.200000000000003</v>
      </c>
      <c r="AA119" s="17">
        <f>L119*'IAA digestibility'!L119</f>
        <v>7.1339999999999995</v>
      </c>
      <c r="AB119" s="17">
        <f>M119*'IAA digestibility'!M119</f>
        <v>7.9380000000000015</v>
      </c>
      <c r="AC119" s="17">
        <f>N119*'IAA digestibility'!N119</f>
        <v>13.114000000000001</v>
      </c>
      <c r="AD119" s="17">
        <f>O119*'IAA digestibility'!O119</f>
        <v>9.2799999999999994</v>
      </c>
      <c r="AE119" s="17">
        <f>P119*'IAA digestibility'!P119</f>
        <v>16.016000000000002</v>
      </c>
      <c r="AF119" s="17">
        <f>R119*'IAA digestibility'!R119</f>
        <v>9.4920000000000009</v>
      </c>
      <c r="AG119" s="25"/>
      <c r="AH119" s="17">
        <f t="shared" si="10"/>
        <v>9.7560975609756095</v>
      </c>
      <c r="AI119" s="17">
        <f t="shared" si="11"/>
        <v>31.829268292682926</v>
      </c>
      <c r="AJ119" s="17">
        <f t="shared" si="12"/>
        <v>31.2</v>
      </c>
      <c r="AK119" s="17">
        <f t="shared" si="13"/>
        <v>55.599999999999994</v>
      </c>
      <c r="AL119" s="17">
        <f t="shared" si="14"/>
        <v>39.51219512195123</v>
      </c>
      <c r="AM119" s="17">
        <f t="shared" si="15"/>
        <v>36.760975609756102</v>
      </c>
      <c r="AN119" s="18">
        <f t="shared" si="16"/>
        <v>54.619512195121949</v>
      </c>
      <c r="AO119" s="17">
        <f t="shared" si="17"/>
        <v>39.063414634146348</v>
      </c>
      <c r="AP119" s="17">
        <f t="shared" si="18"/>
        <v>23.151219512195123</v>
      </c>
    </row>
    <row r="120" spans="1:42" s="4" customFormat="1" x14ac:dyDescent="0.25">
      <c r="A120" s="4" t="s">
        <v>79</v>
      </c>
      <c r="B120" s="4" t="s">
        <v>123</v>
      </c>
      <c r="C120" s="4">
        <v>2</v>
      </c>
      <c r="E120" s="4" t="s">
        <v>12</v>
      </c>
      <c r="F120" s="4">
        <v>276</v>
      </c>
      <c r="G120" s="4">
        <v>3</v>
      </c>
      <c r="H120" s="4">
        <v>9.6999999999999993</v>
      </c>
      <c r="I120" s="4">
        <v>9.6999999999999993</v>
      </c>
      <c r="J120" s="4">
        <v>17.100000000000001</v>
      </c>
      <c r="K120" s="4">
        <v>11.9</v>
      </c>
      <c r="L120" s="4">
        <v>2.5</v>
      </c>
      <c r="M120" s="4">
        <v>3</v>
      </c>
      <c r="N120" s="4">
        <v>11.6</v>
      </c>
      <c r="O120" s="4">
        <v>7.4</v>
      </c>
      <c r="P120" s="4">
        <v>10.5</v>
      </c>
      <c r="Q120" s="4">
        <v>13.8</v>
      </c>
      <c r="R120" s="4">
        <v>4.4000000000000004</v>
      </c>
      <c r="S120" s="4" t="s">
        <v>80</v>
      </c>
      <c r="T120" s="10"/>
      <c r="V120" s="17">
        <f>G120*'IAA digestibility'!G120</f>
        <v>2.04</v>
      </c>
      <c r="W120" s="17">
        <f>H120*'IAA digestibility'!H120</f>
        <v>6.4989999999999997</v>
      </c>
      <c r="X120" s="17">
        <f>I120*'IAA digestibility'!I120</f>
        <v>7.177999999999999</v>
      </c>
      <c r="Y120" s="17">
        <f>J120*'IAA digestibility'!J120</f>
        <v>12.996</v>
      </c>
      <c r="Z120" s="17">
        <f>K120*'IAA digestibility'!K120</f>
        <v>7.854000000000001</v>
      </c>
      <c r="AA120" s="17">
        <f>L120*'IAA digestibility'!L120</f>
        <v>1.9500000000000002</v>
      </c>
      <c r="AB120" s="17">
        <f>M120*'IAA digestibility'!M120</f>
        <v>1.8900000000000001</v>
      </c>
      <c r="AC120" s="17">
        <f>N120*'IAA digestibility'!N120</f>
        <v>9.048</v>
      </c>
      <c r="AD120" s="17">
        <f>O120*'IAA digestibility'!O120</f>
        <v>5.5500000000000007</v>
      </c>
      <c r="AE120" s="17">
        <f>P120*'IAA digestibility'!P120</f>
        <v>7.56</v>
      </c>
      <c r="AF120" s="17">
        <f>R120*'IAA digestibility'!R120</f>
        <v>3.2560000000000002</v>
      </c>
      <c r="AG120" s="25"/>
      <c r="AH120" s="17">
        <f t="shared" si="10"/>
        <v>7.3913043478260869</v>
      </c>
      <c r="AI120" s="17">
        <f t="shared" si="11"/>
        <v>23.54710144927536</v>
      </c>
      <c r="AJ120" s="17">
        <f t="shared" si="12"/>
        <v>26.00724637681159</v>
      </c>
      <c r="AK120" s="17">
        <f t="shared" si="13"/>
        <v>47.086956521739133</v>
      </c>
      <c r="AL120" s="17">
        <f t="shared" si="14"/>
        <v>28.456521739130441</v>
      </c>
      <c r="AM120" s="17">
        <f t="shared" si="15"/>
        <v>13.913043478260871</v>
      </c>
      <c r="AN120" s="18">
        <f t="shared" si="16"/>
        <v>52.891304347826086</v>
      </c>
      <c r="AO120" s="17">
        <f t="shared" si="17"/>
        <v>27.391304347826086</v>
      </c>
      <c r="AP120" s="17">
        <f t="shared" si="18"/>
        <v>11.797101449275363</v>
      </c>
    </row>
    <row r="121" spans="1:42" s="4" customFormat="1" x14ac:dyDescent="0.25">
      <c r="A121" s="4" t="s">
        <v>81</v>
      </c>
      <c r="B121" s="4" t="s">
        <v>123</v>
      </c>
      <c r="C121" s="4">
        <v>2</v>
      </c>
      <c r="E121" s="4" t="s">
        <v>12</v>
      </c>
      <c r="F121" s="4">
        <v>224</v>
      </c>
      <c r="G121" s="4">
        <v>3</v>
      </c>
      <c r="H121" s="4">
        <v>7.3</v>
      </c>
      <c r="I121" s="4">
        <v>6.8</v>
      </c>
      <c r="J121" s="4">
        <v>13.7</v>
      </c>
      <c r="K121" s="4">
        <v>6</v>
      </c>
      <c r="L121" s="4">
        <v>3.1</v>
      </c>
      <c r="M121" s="4">
        <v>3</v>
      </c>
      <c r="N121" s="4">
        <v>9.1</v>
      </c>
      <c r="O121" s="4">
        <v>4.5</v>
      </c>
      <c r="P121" s="4">
        <v>10.5</v>
      </c>
      <c r="Q121" s="4">
        <v>23.6</v>
      </c>
      <c r="R121" s="4">
        <v>4.4000000000000004</v>
      </c>
      <c r="S121" s="4" t="s">
        <v>82</v>
      </c>
      <c r="T121" s="10"/>
      <c r="V121" s="17">
        <f>G121*'IAA digestibility'!G121</f>
        <v>2.0699999999999998</v>
      </c>
      <c r="W121" s="17">
        <f>H121*'IAA digestibility'!H121</f>
        <v>4.891</v>
      </c>
      <c r="X121" s="17">
        <f>I121*'IAA digestibility'!I121</f>
        <v>5.2359999999999998</v>
      </c>
      <c r="Y121" s="17">
        <f>J121*'IAA digestibility'!J121</f>
        <v>10.548999999999999</v>
      </c>
      <c r="Z121" s="17">
        <f>K121*'IAA digestibility'!K121</f>
        <v>3.3600000000000003</v>
      </c>
      <c r="AA121" s="17">
        <f>L121*'IAA digestibility'!L121</f>
        <v>2.7280000000000002</v>
      </c>
      <c r="AB121" s="17">
        <f>M121*'IAA digestibility'!M121</f>
        <v>1.8900000000000001</v>
      </c>
      <c r="AC121" s="17">
        <f>N121*'IAA digestibility'!N121</f>
        <v>7.552999999999999</v>
      </c>
      <c r="AD121" s="17">
        <f>O121*'IAA digestibility'!O121</f>
        <v>3.1949999999999998</v>
      </c>
      <c r="AE121" s="17">
        <f>P121*'IAA digestibility'!P121</f>
        <v>8.19</v>
      </c>
      <c r="AF121" s="17">
        <f>R121*'IAA digestibility'!R121</f>
        <v>3.4320000000000004</v>
      </c>
      <c r="AG121" s="25"/>
      <c r="AH121" s="17">
        <f t="shared" si="10"/>
        <v>9.2410714285714288</v>
      </c>
      <c r="AI121" s="17">
        <f t="shared" si="11"/>
        <v>21.834821428571431</v>
      </c>
      <c r="AJ121" s="17">
        <f t="shared" si="12"/>
        <v>23.375</v>
      </c>
      <c r="AK121" s="17">
        <f t="shared" si="13"/>
        <v>47.09375</v>
      </c>
      <c r="AL121" s="17">
        <f t="shared" si="14"/>
        <v>15.000000000000002</v>
      </c>
      <c r="AM121" s="17">
        <f t="shared" si="15"/>
        <v>20.616071428571431</v>
      </c>
      <c r="AN121" s="18">
        <f t="shared" si="16"/>
        <v>47.982142857142854</v>
      </c>
      <c r="AO121" s="17">
        <f t="shared" si="17"/>
        <v>36.5625</v>
      </c>
      <c r="AP121" s="17">
        <f t="shared" si="18"/>
        <v>15.321428571428573</v>
      </c>
    </row>
    <row r="122" spans="1:42" s="4" customFormat="1" x14ac:dyDescent="0.25">
      <c r="A122" s="4" t="s">
        <v>83</v>
      </c>
      <c r="B122" s="4" t="s">
        <v>123</v>
      </c>
      <c r="C122" s="4">
        <v>2</v>
      </c>
      <c r="E122" s="4" t="s">
        <v>12</v>
      </c>
      <c r="F122" s="4">
        <v>234</v>
      </c>
      <c r="G122" s="4">
        <v>3.1</v>
      </c>
      <c r="H122" s="4">
        <v>7.4</v>
      </c>
      <c r="I122" s="4">
        <v>7.1</v>
      </c>
      <c r="J122" s="4">
        <v>14.3</v>
      </c>
      <c r="K122" s="4">
        <v>6.1</v>
      </c>
      <c r="L122" s="4">
        <v>3.2</v>
      </c>
      <c r="M122" s="4">
        <v>3.1</v>
      </c>
      <c r="N122" s="4">
        <v>9.5</v>
      </c>
      <c r="O122" s="4">
        <v>4.7</v>
      </c>
      <c r="P122" s="4">
        <v>11</v>
      </c>
      <c r="Q122" s="4">
        <v>24.7</v>
      </c>
      <c r="R122" s="4">
        <v>4.5999999999999996</v>
      </c>
      <c r="S122" s="4" t="s">
        <v>84</v>
      </c>
      <c r="T122" s="10"/>
      <c r="V122" s="17">
        <f>G122*'IAA digestibility'!G122</f>
        <v>2.1389999999999998</v>
      </c>
      <c r="W122" s="17">
        <f>H122*'IAA digestibility'!H122</f>
        <v>4.9580000000000002</v>
      </c>
      <c r="X122" s="17">
        <f>I122*'IAA digestibility'!I122</f>
        <v>5.4669999999999996</v>
      </c>
      <c r="Y122" s="17">
        <f>J122*'IAA digestibility'!J122</f>
        <v>11.011000000000001</v>
      </c>
      <c r="Z122" s="17">
        <f>K122*'IAA digestibility'!K122</f>
        <v>3.4159999999999999</v>
      </c>
      <c r="AA122" s="17">
        <f>L122*'IAA digestibility'!L122</f>
        <v>2.8160000000000003</v>
      </c>
      <c r="AB122" s="17">
        <f>M122*'IAA digestibility'!M122</f>
        <v>1.9530000000000001</v>
      </c>
      <c r="AC122" s="17">
        <f>N122*'IAA digestibility'!N122</f>
        <v>7.8849999999999998</v>
      </c>
      <c r="AD122" s="17">
        <f>O122*'IAA digestibility'!O122</f>
        <v>3.3369999999999997</v>
      </c>
      <c r="AE122" s="17">
        <f>P122*'IAA digestibility'!P122</f>
        <v>8.58</v>
      </c>
      <c r="AF122" s="17">
        <f>R122*'IAA digestibility'!R122</f>
        <v>3.5879999999999996</v>
      </c>
      <c r="AG122" s="25"/>
      <c r="AH122" s="17">
        <f t="shared" si="10"/>
        <v>9.1410256410256387</v>
      </c>
      <c r="AI122" s="17">
        <f t="shared" si="11"/>
        <v>21.188034188034191</v>
      </c>
      <c r="AJ122" s="17">
        <f t="shared" si="12"/>
        <v>23.363247863247864</v>
      </c>
      <c r="AK122" s="17">
        <f t="shared" si="13"/>
        <v>47.055555555555557</v>
      </c>
      <c r="AL122" s="17">
        <f t="shared" si="14"/>
        <v>14.598290598290598</v>
      </c>
      <c r="AM122" s="17">
        <f t="shared" si="15"/>
        <v>20.380341880341881</v>
      </c>
      <c r="AN122" s="18">
        <f t="shared" si="16"/>
        <v>47.957264957264954</v>
      </c>
      <c r="AO122" s="17">
        <f t="shared" si="17"/>
        <v>36.666666666666664</v>
      </c>
      <c r="AP122" s="17">
        <f t="shared" si="18"/>
        <v>15.333333333333332</v>
      </c>
    </row>
    <row r="123" spans="1:42" s="4" customFormat="1" x14ac:dyDescent="0.25">
      <c r="A123" s="4" t="s">
        <v>286</v>
      </c>
      <c r="B123" s="4" t="s">
        <v>123</v>
      </c>
      <c r="C123" s="4" t="s">
        <v>373</v>
      </c>
      <c r="E123" s="4" t="s">
        <v>240</v>
      </c>
      <c r="F123" s="4">
        <v>134</v>
      </c>
      <c r="G123" s="4">
        <v>0.9</v>
      </c>
      <c r="H123" s="4">
        <v>5</v>
      </c>
      <c r="I123" s="4">
        <v>4.7</v>
      </c>
      <c r="J123" s="4">
        <v>14.9</v>
      </c>
      <c r="K123" s="4">
        <v>4.3</v>
      </c>
      <c r="L123" s="4">
        <v>2.8</v>
      </c>
      <c r="M123" s="4">
        <v>2.9</v>
      </c>
      <c r="N123" s="4">
        <v>6.3</v>
      </c>
      <c r="O123" s="4">
        <v>4.8</v>
      </c>
      <c r="P123" s="4">
        <v>6.8</v>
      </c>
      <c r="Q123" s="4">
        <v>6.7</v>
      </c>
      <c r="R123" s="4">
        <v>3.9</v>
      </c>
      <c r="T123" s="10"/>
      <c r="V123" s="17">
        <f>G123*'IAA digestibility'!G123</f>
        <v>0.59400000000000008</v>
      </c>
      <c r="W123" s="17">
        <f>H123*'IAA digestibility'!H123</f>
        <v>3.4499999999999997</v>
      </c>
      <c r="X123" s="17">
        <f>I123*'IAA digestibility'!I123</f>
        <v>3.5250000000000004</v>
      </c>
      <c r="Y123" s="17">
        <f>J123*'IAA digestibility'!J123</f>
        <v>11.771000000000001</v>
      </c>
      <c r="Z123" s="17">
        <f>K123*'IAA digestibility'!K123</f>
        <v>2.5799999999999996</v>
      </c>
      <c r="AA123" s="17">
        <f>L123*'IAA digestibility'!L123</f>
        <v>2.2119999999999997</v>
      </c>
      <c r="AB123" s="17">
        <f>M123*'IAA digestibility'!M123</f>
        <v>1.8559999999999999</v>
      </c>
      <c r="AC123" s="17">
        <f>N123*'IAA digestibility'!N123</f>
        <v>5.1029999999999998</v>
      </c>
      <c r="AD123" s="17">
        <f>O123*'IAA digestibility'!O123</f>
        <v>3.6479999999999997</v>
      </c>
      <c r="AE123" s="17">
        <f>P123*'IAA digestibility'!P123</f>
        <v>4.8959999999999999</v>
      </c>
      <c r="AF123" s="17">
        <f>R123*'IAA digestibility'!R123</f>
        <v>3.0419999999999998</v>
      </c>
      <c r="AG123" s="25"/>
      <c r="AH123" s="17">
        <f t="shared" si="10"/>
        <v>4.432835820895523</v>
      </c>
      <c r="AI123" s="17">
        <f t="shared" si="11"/>
        <v>25.746268656716417</v>
      </c>
      <c r="AJ123" s="17">
        <f t="shared" si="12"/>
        <v>26.305970149253731</v>
      </c>
      <c r="AK123" s="17">
        <f t="shared" si="13"/>
        <v>87.843283582089555</v>
      </c>
      <c r="AL123" s="17">
        <f t="shared" si="14"/>
        <v>19.253731343283579</v>
      </c>
      <c r="AM123" s="17">
        <f t="shared" si="15"/>
        <v>30.358208955223876</v>
      </c>
      <c r="AN123" s="18">
        <f t="shared" si="16"/>
        <v>65.305970149253724</v>
      </c>
      <c r="AO123" s="17">
        <f t="shared" si="17"/>
        <v>36.537313432835816</v>
      </c>
      <c r="AP123" s="17">
        <f t="shared" si="18"/>
        <v>22.701492537313431</v>
      </c>
    </row>
    <row r="124" spans="1:42" s="4" customFormat="1" x14ac:dyDescent="0.25">
      <c r="A124" s="4" t="s">
        <v>85</v>
      </c>
      <c r="B124" s="4" t="s">
        <v>123</v>
      </c>
      <c r="C124" s="4">
        <v>2</v>
      </c>
      <c r="E124" s="4" t="s">
        <v>12</v>
      </c>
      <c r="F124" s="4">
        <v>366</v>
      </c>
      <c r="G124" s="4">
        <v>4.8</v>
      </c>
      <c r="H124" s="4">
        <v>12.1</v>
      </c>
      <c r="I124" s="4">
        <v>11.7</v>
      </c>
      <c r="J124" s="4">
        <v>21.1</v>
      </c>
      <c r="K124" s="4">
        <v>15.2</v>
      </c>
      <c r="L124" s="4">
        <v>5.5</v>
      </c>
      <c r="M124" s="4">
        <v>6.1</v>
      </c>
      <c r="N124" s="4">
        <v>19.100000000000001</v>
      </c>
      <c r="O124" s="4">
        <v>10.5</v>
      </c>
      <c r="P124" s="4">
        <v>16.100000000000001</v>
      </c>
      <c r="Q124" s="4">
        <v>40.299999999999997</v>
      </c>
      <c r="R124" s="4">
        <v>11.3</v>
      </c>
      <c r="S124" s="4" t="s">
        <v>86</v>
      </c>
      <c r="T124" s="10"/>
      <c r="V124" s="17">
        <f>G124*'IAA digestibility'!G124</f>
        <v>3.4079999999999999</v>
      </c>
      <c r="W124" s="17">
        <f>H124*'IAA digestibility'!H124</f>
        <v>8.4699999999999989</v>
      </c>
      <c r="X124" s="17">
        <f>I124*'IAA digestibility'!I124</f>
        <v>8.8919999999999995</v>
      </c>
      <c r="Y124" s="17">
        <f>J124*'IAA digestibility'!J124</f>
        <v>16.458000000000002</v>
      </c>
      <c r="Z124" s="17">
        <f>K124*'IAA digestibility'!K124</f>
        <v>10.488</v>
      </c>
      <c r="AA124" s="17">
        <f>L124*'IAA digestibility'!L124</f>
        <v>4.4000000000000004</v>
      </c>
      <c r="AB124" s="17">
        <f>M124*'IAA digestibility'!M124</f>
        <v>4.0869999999999997</v>
      </c>
      <c r="AC124" s="17">
        <f>N124*'IAA digestibility'!N124</f>
        <v>15.280000000000001</v>
      </c>
      <c r="AD124" s="17">
        <f>O124*'IAA digestibility'!O124</f>
        <v>8.0850000000000009</v>
      </c>
      <c r="AE124" s="17">
        <f>P124*'IAA digestibility'!P124</f>
        <v>11.914000000000001</v>
      </c>
      <c r="AF124" s="17">
        <f>R124*'IAA digestibility'!R124</f>
        <v>8.588000000000001</v>
      </c>
      <c r="AG124" s="25"/>
      <c r="AH124" s="17">
        <f t="shared" si="10"/>
        <v>9.3114754098360653</v>
      </c>
      <c r="AI124" s="17">
        <f t="shared" si="11"/>
        <v>23.142076502732237</v>
      </c>
      <c r="AJ124" s="17">
        <f t="shared" si="12"/>
        <v>24.295081967213115</v>
      </c>
      <c r="AK124" s="17">
        <f t="shared" si="13"/>
        <v>44.967213114754102</v>
      </c>
      <c r="AL124" s="17">
        <f t="shared" si="14"/>
        <v>28.655737704918032</v>
      </c>
      <c r="AM124" s="17">
        <f t="shared" si="15"/>
        <v>23.188524590163933</v>
      </c>
      <c r="AN124" s="18">
        <f t="shared" si="16"/>
        <v>63.838797814207659</v>
      </c>
      <c r="AO124" s="17">
        <f t="shared" si="17"/>
        <v>32.551912568306015</v>
      </c>
      <c r="AP124" s="17">
        <f t="shared" si="18"/>
        <v>23.464480874316941</v>
      </c>
    </row>
    <row r="125" spans="1:42" s="4" customFormat="1" x14ac:dyDescent="0.25">
      <c r="A125" s="4" t="s">
        <v>87</v>
      </c>
      <c r="B125" s="4" t="s">
        <v>123</v>
      </c>
      <c r="C125" s="4">
        <v>2</v>
      </c>
      <c r="E125" s="4" t="s">
        <v>12</v>
      </c>
      <c r="F125" s="4">
        <v>455</v>
      </c>
      <c r="G125" s="4">
        <v>5.9</v>
      </c>
      <c r="H125" s="4">
        <v>14.4</v>
      </c>
      <c r="I125" s="4">
        <v>14.4</v>
      </c>
      <c r="J125" s="4">
        <v>25.9</v>
      </c>
      <c r="K125" s="4">
        <v>18.2</v>
      </c>
      <c r="L125" s="4">
        <v>6.4</v>
      </c>
      <c r="M125" s="4">
        <v>7.9</v>
      </c>
      <c r="N125" s="4">
        <v>23.6</v>
      </c>
      <c r="O125" s="4">
        <v>12.7</v>
      </c>
      <c r="P125" s="4">
        <v>20.5</v>
      </c>
      <c r="Q125" s="4">
        <v>50.2</v>
      </c>
      <c r="R125" s="4">
        <v>13.2</v>
      </c>
      <c r="S125" s="4" t="s">
        <v>88</v>
      </c>
      <c r="T125" s="10"/>
      <c r="V125" s="17">
        <f>G125*'IAA digestibility'!G125</f>
        <v>5.133</v>
      </c>
      <c r="W125" s="17">
        <f>H125*'IAA digestibility'!H125</f>
        <v>11.808</v>
      </c>
      <c r="X125" s="17">
        <f>I125*'IAA digestibility'!I125</f>
        <v>11.952</v>
      </c>
      <c r="Y125" s="17">
        <f>J125*'IAA digestibility'!J125</f>
        <v>21.755999999999997</v>
      </c>
      <c r="Z125" s="17">
        <f>K125*'IAA digestibility'!K125</f>
        <v>13.831999999999999</v>
      </c>
      <c r="AA125" s="17">
        <f>L125*'IAA digestibility'!L125</f>
        <v>5.2480000000000002</v>
      </c>
      <c r="AB125" s="17">
        <f>M125*'IAA digestibility'!M125</f>
        <v>6.8730000000000002</v>
      </c>
      <c r="AC125" s="17">
        <f>N125*'IAA digestibility'!N125</f>
        <v>21.712000000000003</v>
      </c>
      <c r="AD125" s="17">
        <f>O125*'IAA digestibility'!O125</f>
        <v>11.176</v>
      </c>
      <c r="AE125" s="17">
        <f>P125*'IAA digestibility'!P125</f>
        <v>17.22</v>
      </c>
      <c r="AF125" s="17">
        <f>R125*'IAA digestibility'!R125</f>
        <v>12.144</v>
      </c>
      <c r="AG125" s="25"/>
      <c r="AH125" s="17">
        <f t="shared" si="10"/>
        <v>11.28131868131868</v>
      </c>
      <c r="AI125" s="17">
        <f t="shared" si="11"/>
        <v>25.951648351648352</v>
      </c>
      <c r="AJ125" s="17">
        <f t="shared" si="12"/>
        <v>26.268131868131867</v>
      </c>
      <c r="AK125" s="17">
        <f t="shared" si="13"/>
        <v>47.815384615384609</v>
      </c>
      <c r="AL125" s="17">
        <f t="shared" si="14"/>
        <v>30.399999999999995</v>
      </c>
      <c r="AM125" s="17">
        <f t="shared" si="15"/>
        <v>26.639560439560441</v>
      </c>
      <c r="AN125" s="18">
        <f t="shared" si="16"/>
        <v>72.281318681318695</v>
      </c>
      <c r="AO125" s="17">
        <f t="shared" si="17"/>
        <v>37.84615384615384</v>
      </c>
      <c r="AP125" s="17">
        <f t="shared" si="18"/>
        <v>26.690109890109891</v>
      </c>
    </row>
    <row r="126" spans="1:42" s="4" customFormat="1" x14ac:dyDescent="0.25">
      <c r="A126" s="4" t="s">
        <v>89</v>
      </c>
      <c r="B126" s="4" t="s">
        <v>123</v>
      </c>
      <c r="C126" s="4">
        <v>2</v>
      </c>
      <c r="E126" s="4" t="s">
        <v>12</v>
      </c>
      <c r="F126" s="4">
        <v>407</v>
      </c>
      <c r="G126" s="4">
        <v>5.3</v>
      </c>
      <c r="H126" s="4">
        <v>13.2</v>
      </c>
      <c r="I126" s="4">
        <v>13</v>
      </c>
      <c r="J126" s="4">
        <v>23.3</v>
      </c>
      <c r="K126" s="4">
        <v>16.600000000000001</v>
      </c>
      <c r="L126" s="4">
        <v>5.9</v>
      </c>
      <c r="M126" s="4">
        <v>6.9</v>
      </c>
      <c r="N126" s="4">
        <v>21.2</v>
      </c>
      <c r="O126" s="4">
        <v>11.5</v>
      </c>
      <c r="P126" s="4">
        <v>18.100000000000001</v>
      </c>
      <c r="Q126" s="4">
        <v>44.9</v>
      </c>
      <c r="R126" s="4">
        <v>12.2</v>
      </c>
      <c r="S126" s="4" t="s">
        <v>90</v>
      </c>
      <c r="T126" s="10"/>
      <c r="V126" s="17">
        <f>G126*'IAA digestibility'!G126</f>
        <v>4.1870000000000003</v>
      </c>
      <c r="W126" s="17">
        <f>H126*'IAA digestibility'!H126</f>
        <v>10.164</v>
      </c>
      <c r="X126" s="17">
        <f>I126*'IAA digestibility'!I126</f>
        <v>10.4</v>
      </c>
      <c r="Y126" s="17">
        <f>J126*'IAA digestibility'!J126</f>
        <v>19.105999999999998</v>
      </c>
      <c r="Z126" s="17">
        <f>K126*'IAA digestibility'!K126</f>
        <v>11.786</v>
      </c>
      <c r="AA126" s="17">
        <f>L126*'IAA digestibility'!L126</f>
        <v>4.3660000000000005</v>
      </c>
      <c r="AB126" s="17">
        <f>M126*'IAA digestibility'!M126</f>
        <v>4.968</v>
      </c>
      <c r="AC126" s="17">
        <f>N126*'IAA digestibility'!N126</f>
        <v>18.443999999999999</v>
      </c>
      <c r="AD126" s="17">
        <f>O126*'IAA digestibility'!O126</f>
        <v>9.5449999999999999</v>
      </c>
      <c r="AE126" s="17">
        <f>P126*'IAA digestibility'!P126</f>
        <v>14.661000000000001</v>
      </c>
      <c r="AF126" s="17">
        <f>R126*'IAA digestibility'!R126</f>
        <v>10.247999999999999</v>
      </c>
      <c r="AG126" s="25"/>
      <c r="AH126" s="17">
        <f t="shared" si="10"/>
        <v>10.287469287469289</v>
      </c>
      <c r="AI126" s="17">
        <f t="shared" si="11"/>
        <v>24.972972972972972</v>
      </c>
      <c r="AJ126" s="17">
        <f t="shared" si="12"/>
        <v>25.552825552825553</v>
      </c>
      <c r="AK126" s="17">
        <f t="shared" si="13"/>
        <v>46.943488943488937</v>
      </c>
      <c r="AL126" s="17">
        <f t="shared" si="14"/>
        <v>28.958230958230956</v>
      </c>
      <c r="AM126" s="17">
        <f t="shared" si="15"/>
        <v>22.933660933660931</v>
      </c>
      <c r="AN126" s="18">
        <f t="shared" si="16"/>
        <v>68.769041769041763</v>
      </c>
      <c r="AO126" s="17">
        <f t="shared" si="17"/>
        <v>36.022113022113025</v>
      </c>
      <c r="AP126" s="17">
        <f t="shared" si="18"/>
        <v>25.179361179361177</v>
      </c>
    </row>
    <row r="127" spans="1:42" s="4" customFormat="1" x14ac:dyDescent="0.25">
      <c r="A127" s="4" t="s">
        <v>91</v>
      </c>
      <c r="B127" s="4" t="s">
        <v>123</v>
      </c>
      <c r="C127" s="4">
        <v>2</v>
      </c>
      <c r="E127" s="4" t="s">
        <v>12</v>
      </c>
      <c r="F127" s="4">
        <v>470</v>
      </c>
      <c r="G127" s="4">
        <v>6.1</v>
      </c>
      <c r="H127" s="4">
        <v>14.8</v>
      </c>
      <c r="I127" s="4">
        <v>14.8</v>
      </c>
      <c r="J127" s="4">
        <v>26.7</v>
      </c>
      <c r="K127" s="4">
        <v>18.7</v>
      </c>
      <c r="L127" s="4">
        <v>6.6</v>
      </c>
      <c r="M127" s="4">
        <v>8.1999999999999993</v>
      </c>
      <c r="N127" s="4">
        <v>24.3</v>
      </c>
      <c r="O127" s="4">
        <v>13.1</v>
      </c>
      <c r="P127" s="4">
        <v>21.3</v>
      </c>
      <c r="Q127" s="4">
        <v>51.8</v>
      </c>
      <c r="R127" s="4">
        <v>13.5</v>
      </c>
      <c r="S127" s="4" t="s">
        <v>92</v>
      </c>
      <c r="T127" s="10"/>
      <c r="V127" s="17">
        <f>G127*'IAA digestibility'!G127</f>
        <v>5.0019999999999998</v>
      </c>
      <c r="W127" s="17">
        <f>H127*'IAA digestibility'!H127</f>
        <v>11.248000000000001</v>
      </c>
      <c r="X127" s="17">
        <f>I127*'IAA digestibility'!I127</f>
        <v>11.544</v>
      </c>
      <c r="Y127" s="17">
        <f>J127*'IAA digestibility'!J127</f>
        <v>21.36</v>
      </c>
      <c r="Z127" s="17">
        <f>K127*'IAA digestibility'!K127</f>
        <v>13.276999999999999</v>
      </c>
      <c r="AA127" s="17">
        <f>L127*'IAA digestibility'!L127</f>
        <v>5.0819999999999999</v>
      </c>
      <c r="AB127" s="17">
        <f>M127*'IAA digestibility'!M127</f>
        <v>6.2319999999999993</v>
      </c>
      <c r="AC127" s="17">
        <f>N127*'IAA digestibility'!N127</f>
        <v>20.898</v>
      </c>
      <c r="AD127" s="17">
        <f>O127*'IAA digestibility'!O127</f>
        <v>11.004</v>
      </c>
      <c r="AE127" s="17">
        <f>P127*'IAA digestibility'!P127</f>
        <v>17.040000000000003</v>
      </c>
      <c r="AF127" s="17">
        <f>R127*'IAA digestibility'!R127</f>
        <v>11.205</v>
      </c>
      <c r="AG127" s="25"/>
      <c r="AH127" s="17">
        <f t="shared" si="10"/>
        <v>10.642553191489361</v>
      </c>
      <c r="AI127" s="17">
        <f t="shared" si="11"/>
        <v>23.931914893617023</v>
      </c>
      <c r="AJ127" s="17">
        <f t="shared" si="12"/>
        <v>24.561702127659576</v>
      </c>
      <c r="AK127" s="17">
        <f t="shared" si="13"/>
        <v>45.446808510638292</v>
      </c>
      <c r="AL127" s="17">
        <f t="shared" si="14"/>
        <v>28.248936170212762</v>
      </c>
      <c r="AM127" s="17">
        <f t="shared" si="15"/>
        <v>24.072340425531916</v>
      </c>
      <c r="AN127" s="18">
        <f t="shared" si="16"/>
        <v>67.876595744680856</v>
      </c>
      <c r="AO127" s="17">
        <f t="shared" si="17"/>
        <v>36.255319148936174</v>
      </c>
      <c r="AP127" s="17">
        <f t="shared" si="18"/>
        <v>23.840425531914892</v>
      </c>
    </row>
    <row r="128" spans="1:42" s="4" customFormat="1" x14ac:dyDescent="0.25">
      <c r="A128" s="4" t="s">
        <v>95</v>
      </c>
      <c r="B128" s="4" t="s">
        <v>123</v>
      </c>
      <c r="C128" s="4">
        <v>2</v>
      </c>
      <c r="E128" s="4" t="s">
        <v>12</v>
      </c>
      <c r="F128" s="4">
        <v>117</v>
      </c>
      <c r="G128" s="4">
        <v>1.1000000000000001</v>
      </c>
      <c r="H128" s="4">
        <v>4.0999999999999996</v>
      </c>
      <c r="I128" s="4">
        <v>4.2</v>
      </c>
      <c r="J128" s="4">
        <v>7.6</v>
      </c>
      <c r="K128" s="4">
        <v>4.5999999999999996</v>
      </c>
      <c r="L128" s="4">
        <v>1.2</v>
      </c>
      <c r="M128" s="4">
        <v>1.4</v>
      </c>
      <c r="N128" s="4">
        <v>4</v>
      </c>
      <c r="O128" s="4">
        <v>2.4</v>
      </c>
      <c r="P128" s="4">
        <v>4.4000000000000004</v>
      </c>
      <c r="Q128" s="4">
        <v>6.1</v>
      </c>
      <c r="R128" s="4">
        <v>2.4</v>
      </c>
      <c r="S128" s="4" t="s">
        <v>96</v>
      </c>
      <c r="T128" s="10"/>
      <c r="V128" s="17">
        <f>G128*'IAA digestibility'!G128</f>
        <v>0.57200000000000006</v>
      </c>
      <c r="W128" s="17">
        <f>H128*'IAA digestibility'!H128</f>
        <v>2.0909999999999997</v>
      </c>
      <c r="X128" s="17">
        <f>I128*'IAA digestibility'!I128</f>
        <v>2.6460000000000004</v>
      </c>
      <c r="Y128" s="17">
        <f>J128*'IAA digestibility'!J128</f>
        <v>4.8639999999999999</v>
      </c>
      <c r="Z128" s="17">
        <f>K128*'IAA digestibility'!K128</f>
        <v>2.1619999999999999</v>
      </c>
      <c r="AA128" s="17">
        <f>L128*'IAA digestibility'!L128</f>
        <v>0.81600000000000006</v>
      </c>
      <c r="AB128" s="17">
        <f>M128*'IAA digestibility'!M128</f>
        <v>0.60199999999999998</v>
      </c>
      <c r="AC128" s="17">
        <f>N128*'IAA digestibility'!N128</f>
        <v>2.72</v>
      </c>
      <c r="AD128" s="17">
        <f>O128*'IAA digestibility'!O128</f>
        <v>1.512</v>
      </c>
      <c r="AE128" s="17">
        <f>P128*'IAA digestibility'!P128</f>
        <v>2.5960000000000001</v>
      </c>
      <c r="AF128" s="17">
        <f>R128*'IAA digestibility'!R128</f>
        <v>1.464</v>
      </c>
      <c r="AG128" s="25"/>
      <c r="AH128" s="17">
        <f t="shared" si="10"/>
        <v>4.8888888888888893</v>
      </c>
      <c r="AI128" s="17">
        <f t="shared" si="11"/>
        <v>17.871794871794869</v>
      </c>
      <c r="AJ128" s="17">
        <f t="shared" si="12"/>
        <v>22.615384615384617</v>
      </c>
      <c r="AK128" s="17">
        <f t="shared" si="13"/>
        <v>41.572649572649567</v>
      </c>
      <c r="AL128" s="17">
        <f t="shared" si="14"/>
        <v>18.47863247863248</v>
      </c>
      <c r="AM128" s="17">
        <f t="shared" si="15"/>
        <v>12.119658119658121</v>
      </c>
      <c r="AN128" s="18">
        <f t="shared" si="16"/>
        <v>36.17094017094017</v>
      </c>
      <c r="AO128" s="17">
        <f t="shared" si="17"/>
        <v>22.188034188034187</v>
      </c>
      <c r="AP128" s="17">
        <f t="shared" si="18"/>
        <v>12.512820512820513</v>
      </c>
    </row>
    <row r="129" spans="1:42" s="4" customFormat="1" x14ac:dyDescent="0.25">
      <c r="A129" s="4" t="s">
        <v>58</v>
      </c>
      <c r="B129" s="4" t="s">
        <v>123</v>
      </c>
      <c r="C129" s="4">
        <v>2</v>
      </c>
      <c r="E129" s="4" t="s">
        <v>12</v>
      </c>
      <c r="F129" s="4">
        <v>484</v>
      </c>
      <c r="G129" s="4">
        <v>5</v>
      </c>
      <c r="H129" s="4">
        <v>13.4</v>
      </c>
      <c r="I129" s="4">
        <v>15.8</v>
      </c>
      <c r="J129" s="4">
        <v>30.9</v>
      </c>
      <c r="K129" s="4">
        <v>16.399999999999999</v>
      </c>
      <c r="L129" s="4">
        <v>5.0999999999999996</v>
      </c>
      <c r="M129" s="4">
        <v>5.8</v>
      </c>
      <c r="N129" s="4">
        <v>23.7</v>
      </c>
      <c r="O129" s="4">
        <v>17.399999999999999</v>
      </c>
      <c r="P129" s="4">
        <v>19.3</v>
      </c>
      <c r="Q129" s="4">
        <v>55.6</v>
      </c>
      <c r="R129" s="4">
        <v>11.2</v>
      </c>
      <c r="S129" s="4" t="s">
        <v>57</v>
      </c>
      <c r="T129" s="10"/>
      <c r="V129" s="17">
        <f>G129*'IAA digestibility'!G129</f>
        <v>4</v>
      </c>
      <c r="W129" s="17">
        <f>H129*'IAA digestibility'!H129</f>
        <v>10.586</v>
      </c>
      <c r="X129" s="17">
        <f>I129*'IAA digestibility'!I129</f>
        <v>12.956</v>
      </c>
      <c r="Y129" s="17">
        <f>J129*'IAA digestibility'!J129</f>
        <v>26.264999999999997</v>
      </c>
      <c r="Z129" s="17">
        <f>K129*'IAA digestibility'!K129</f>
        <v>13.12</v>
      </c>
      <c r="AA129" s="17">
        <f>L129*'IAA digestibility'!L129</f>
        <v>4.335</v>
      </c>
      <c r="AB129" s="17">
        <f>M129*'IAA digestibility'!M129</f>
        <v>4.524</v>
      </c>
      <c r="AC129" s="17">
        <f>N129*'IAA digestibility'!N129</f>
        <v>20.145</v>
      </c>
      <c r="AD129" s="17">
        <f>O129*'IAA digestibility'!O129</f>
        <v>14.615999999999998</v>
      </c>
      <c r="AE129" s="17">
        <f>P129*'IAA digestibility'!P129</f>
        <v>15.633000000000001</v>
      </c>
      <c r="AF129" s="17">
        <f>R129*'IAA digestibility'!R129</f>
        <v>9.4079999999999995</v>
      </c>
      <c r="AG129" s="25"/>
      <c r="AH129" s="17">
        <f t="shared" si="10"/>
        <v>8.2644628099173563</v>
      </c>
      <c r="AI129" s="17">
        <f t="shared" si="11"/>
        <v>21.871900826446282</v>
      </c>
      <c r="AJ129" s="17">
        <f t="shared" si="12"/>
        <v>26.768595041322314</v>
      </c>
      <c r="AK129" s="17">
        <f t="shared" si="13"/>
        <v>54.266528925619824</v>
      </c>
      <c r="AL129" s="17">
        <f t="shared" si="14"/>
        <v>27.107438016528924</v>
      </c>
      <c r="AM129" s="17">
        <f t="shared" si="15"/>
        <v>18.303719008264462</v>
      </c>
      <c r="AN129" s="18">
        <f t="shared" si="16"/>
        <v>71.820247933884289</v>
      </c>
      <c r="AO129" s="17">
        <f t="shared" si="17"/>
        <v>32.299586776859506</v>
      </c>
      <c r="AP129" s="17">
        <f t="shared" si="18"/>
        <v>19.438016528925619</v>
      </c>
    </row>
    <row r="130" spans="1:42" s="4" customFormat="1" x14ac:dyDescent="0.25">
      <c r="A130" s="4" t="s">
        <v>59</v>
      </c>
      <c r="B130" s="4" t="s">
        <v>123</v>
      </c>
      <c r="C130" s="4">
        <v>2</v>
      </c>
      <c r="E130" s="4" t="s">
        <v>12</v>
      </c>
      <c r="F130" s="4">
        <v>553</v>
      </c>
      <c r="G130" s="4">
        <v>6.4</v>
      </c>
      <c r="H130" s="4">
        <v>14.8</v>
      </c>
      <c r="I130" s="4">
        <v>17.8</v>
      </c>
      <c r="J130" s="4">
        <v>34.5</v>
      </c>
      <c r="K130" s="4">
        <v>18.100000000000001</v>
      </c>
      <c r="L130" s="4">
        <v>5.5</v>
      </c>
      <c r="M130" s="4">
        <v>4.4000000000000004</v>
      </c>
      <c r="N130" s="4">
        <v>26.6</v>
      </c>
      <c r="O130" s="4">
        <v>20.100000000000001</v>
      </c>
      <c r="P130" s="4">
        <v>21.4</v>
      </c>
      <c r="Q130" s="4">
        <v>63.9</v>
      </c>
      <c r="R130" s="4">
        <v>12.4</v>
      </c>
      <c r="S130" s="4" t="s">
        <v>60</v>
      </c>
      <c r="T130" s="10"/>
      <c r="V130" s="17">
        <f>G130*'IAA digestibility'!G130</f>
        <v>4.8000000000000007</v>
      </c>
      <c r="W130" s="17">
        <f>H130*'IAA digestibility'!H130</f>
        <v>13.172000000000001</v>
      </c>
      <c r="X130" s="17">
        <f>I130*'IAA digestibility'!I130</f>
        <v>16.376000000000001</v>
      </c>
      <c r="Y130" s="17">
        <f>J130*'IAA digestibility'!J130</f>
        <v>32.43</v>
      </c>
      <c r="Z130" s="17">
        <f>K130*'IAA digestibility'!K130</f>
        <v>15.928000000000001</v>
      </c>
      <c r="AA130" s="17">
        <f>L130*'IAA digestibility'!L130</f>
        <v>5.0600000000000005</v>
      </c>
      <c r="AB130" s="17">
        <f>M130*'IAA digestibility'!M130</f>
        <v>3.8720000000000003</v>
      </c>
      <c r="AC130" s="17">
        <f>N130*'IAA digestibility'!N130</f>
        <v>25.27</v>
      </c>
      <c r="AD130" s="17">
        <f>O130*'IAA digestibility'!O130</f>
        <v>19.094999999999999</v>
      </c>
      <c r="AE130" s="17">
        <f>P130*'IAA digestibility'!P130</f>
        <v>19.687999999999999</v>
      </c>
      <c r="AF130" s="17">
        <f>R130*'IAA digestibility'!R130</f>
        <v>11.16</v>
      </c>
      <c r="AG130" s="25"/>
      <c r="AH130" s="17">
        <f t="shared" si="10"/>
        <v>8.6799276672694408</v>
      </c>
      <c r="AI130" s="17">
        <f t="shared" si="11"/>
        <v>23.819168173598555</v>
      </c>
      <c r="AJ130" s="17">
        <f t="shared" si="12"/>
        <v>29.613019891500905</v>
      </c>
      <c r="AK130" s="17">
        <f t="shared" si="13"/>
        <v>58.643761301989151</v>
      </c>
      <c r="AL130" s="17">
        <f t="shared" si="14"/>
        <v>28.802893309222426</v>
      </c>
      <c r="AM130" s="17">
        <f t="shared" si="15"/>
        <v>16.151898734177216</v>
      </c>
      <c r="AN130" s="18">
        <f t="shared" si="16"/>
        <v>80.226039783001795</v>
      </c>
      <c r="AO130" s="17">
        <f t="shared" si="17"/>
        <v>35.602169981916816</v>
      </c>
      <c r="AP130" s="17">
        <f t="shared" si="18"/>
        <v>20.180831826401448</v>
      </c>
    </row>
    <row r="131" spans="1:42" s="4" customFormat="1" x14ac:dyDescent="0.25">
      <c r="A131" s="4" t="s">
        <v>61</v>
      </c>
      <c r="B131" s="4" t="s">
        <v>123</v>
      </c>
      <c r="C131" s="4">
        <v>2</v>
      </c>
      <c r="E131" s="4" t="s">
        <v>12</v>
      </c>
      <c r="F131" s="4">
        <v>539</v>
      </c>
      <c r="G131" s="4">
        <v>5.5</v>
      </c>
      <c r="H131" s="4">
        <v>14.5</v>
      </c>
      <c r="I131" s="4">
        <v>17.399999999999999</v>
      </c>
      <c r="J131" s="4">
        <v>33.700000000000003</v>
      </c>
      <c r="K131" s="4">
        <v>17.8</v>
      </c>
      <c r="L131" s="4">
        <v>5.4</v>
      </c>
      <c r="M131" s="4">
        <v>6</v>
      </c>
      <c r="N131" s="4">
        <v>26</v>
      </c>
      <c r="O131" s="4">
        <v>19.5</v>
      </c>
      <c r="P131" s="4">
        <v>21</v>
      </c>
      <c r="Q131" s="4">
        <v>62.2</v>
      </c>
      <c r="R131" s="4">
        <v>12.2</v>
      </c>
      <c r="S131" s="4" t="s">
        <v>62</v>
      </c>
      <c r="T131" s="10"/>
      <c r="V131" s="17">
        <f>G131*'IAA digestibility'!G131</f>
        <v>4.125</v>
      </c>
      <c r="W131" s="17">
        <f>H131*'IAA digestibility'!H131</f>
        <v>12.904999999999999</v>
      </c>
      <c r="X131" s="17">
        <f>I131*'IAA digestibility'!I131</f>
        <v>16.007999999999999</v>
      </c>
      <c r="Y131" s="17">
        <f>J131*'IAA digestibility'!J131</f>
        <v>31.678000000000001</v>
      </c>
      <c r="Z131" s="17">
        <f>K131*'IAA digestibility'!K131</f>
        <v>15.664000000000001</v>
      </c>
      <c r="AA131" s="17">
        <f>L131*'IAA digestibility'!L131</f>
        <v>4.9680000000000009</v>
      </c>
      <c r="AB131" s="17">
        <f>M131*'IAA digestibility'!M131</f>
        <v>5.28</v>
      </c>
      <c r="AC131" s="17">
        <f>N131*'IAA digestibility'!N131</f>
        <v>24.7</v>
      </c>
      <c r="AD131" s="17">
        <f>O131*'IAA digestibility'!O131</f>
        <v>18.524999999999999</v>
      </c>
      <c r="AE131" s="17">
        <f>P131*'IAA digestibility'!P131</f>
        <v>19.32</v>
      </c>
      <c r="AF131" s="17">
        <f>R131*'IAA digestibility'!R131</f>
        <v>10.98</v>
      </c>
      <c r="AG131" s="25"/>
      <c r="AH131" s="17">
        <f t="shared" si="10"/>
        <v>7.6530612244897958</v>
      </c>
      <c r="AI131" s="17">
        <f t="shared" si="11"/>
        <v>23.942486085343226</v>
      </c>
      <c r="AJ131" s="17">
        <f t="shared" si="12"/>
        <v>29.699443413729128</v>
      </c>
      <c r="AK131" s="17">
        <f t="shared" si="13"/>
        <v>58.771799628942489</v>
      </c>
      <c r="AL131" s="17">
        <f t="shared" si="14"/>
        <v>29.061224489795922</v>
      </c>
      <c r="AM131" s="17">
        <f t="shared" si="15"/>
        <v>19.012987012987015</v>
      </c>
      <c r="AN131" s="18">
        <f t="shared" si="16"/>
        <v>80.194805194805184</v>
      </c>
      <c r="AO131" s="17">
        <f t="shared" si="17"/>
        <v>35.844155844155843</v>
      </c>
      <c r="AP131" s="17">
        <f t="shared" si="18"/>
        <v>20.371057513914657</v>
      </c>
    </row>
    <row r="132" spans="1:42" s="4" customFormat="1" x14ac:dyDescent="0.25">
      <c r="A132" s="4" t="s">
        <v>98</v>
      </c>
      <c r="B132" s="4" t="s">
        <v>123</v>
      </c>
      <c r="C132" s="4">
        <v>2</v>
      </c>
      <c r="E132" s="4" t="s">
        <v>12</v>
      </c>
      <c r="F132" s="4">
        <v>364</v>
      </c>
      <c r="G132" s="4">
        <v>5.5</v>
      </c>
      <c r="H132" s="4">
        <v>13.9</v>
      </c>
      <c r="I132" s="4">
        <v>15.5</v>
      </c>
      <c r="J132" s="4">
        <v>21.7</v>
      </c>
      <c r="K132" s="4">
        <v>14.3</v>
      </c>
      <c r="L132" s="4">
        <v>6.8</v>
      </c>
      <c r="M132" s="4">
        <v>6.7</v>
      </c>
      <c r="N132" s="4">
        <v>17.600000000000001</v>
      </c>
      <c r="O132" s="4">
        <v>8.8000000000000007</v>
      </c>
      <c r="P132" s="4">
        <v>18.5</v>
      </c>
      <c r="Q132" s="4">
        <v>34.1</v>
      </c>
      <c r="R132" s="4">
        <v>9.6999999999999993</v>
      </c>
      <c r="S132" s="4" t="s">
        <v>97</v>
      </c>
      <c r="T132" s="10"/>
      <c r="V132" s="17">
        <f>G132*'IAA digestibility'!G132</f>
        <v>4.4000000000000004</v>
      </c>
      <c r="W132" s="17">
        <f>H132*'IAA digestibility'!H132</f>
        <v>10.007999999999999</v>
      </c>
      <c r="X132" s="17">
        <f>I132*'IAA digestibility'!I132</f>
        <v>12.245000000000001</v>
      </c>
      <c r="Y132" s="17">
        <f>J132*'IAA digestibility'!J132</f>
        <v>17.36</v>
      </c>
      <c r="Z132" s="17">
        <f>K132*'IAA digestibility'!K132</f>
        <v>11.154000000000002</v>
      </c>
      <c r="AA132" s="17">
        <f>L132*'IAA digestibility'!L132</f>
        <v>5.984</v>
      </c>
      <c r="AB132" s="17">
        <f>M132*'IAA digestibility'!M132</f>
        <v>5.0250000000000004</v>
      </c>
      <c r="AC132" s="17">
        <f>N132*'IAA digestibility'!N132</f>
        <v>14.784000000000001</v>
      </c>
      <c r="AD132" s="17">
        <f>O132*'IAA digestibility'!O132</f>
        <v>6.5120000000000005</v>
      </c>
      <c r="AE132" s="17">
        <f>P132*'IAA digestibility'!P132</f>
        <v>14.245000000000001</v>
      </c>
      <c r="AF132" s="17">
        <f>R132*'IAA digestibility'!R132</f>
        <v>7.6629999999999994</v>
      </c>
      <c r="AG132" s="25"/>
      <c r="AH132" s="17">
        <f t="shared" ref="AH132:AH195" si="19">(V132/$F132)*1000</f>
        <v>12.087912087912088</v>
      </c>
      <c r="AI132" s="17">
        <f t="shared" ref="AI132:AI195" si="20">(W132/$F132)*1000</f>
        <v>27.494505494505493</v>
      </c>
      <c r="AJ132" s="17">
        <f t="shared" ref="AJ132:AJ195" si="21">(X132/$F132)*1000</f>
        <v>33.640109890109891</v>
      </c>
      <c r="AK132" s="17">
        <f t="shared" ref="AK132:AK195" si="22">(Y132/$F132)*1000</f>
        <v>47.692307692307693</v>
      </c>
      <c r="AL132" s="17">
        <f t="shared" ref="AL132:AL195" si="23">(Z132/$F132)*1000</f>
        <v>30.642857142857149</v>
      </c>
      <c r="AM132" s="17">
        <f t="shared" ref="AM132:AM195" si="24">((AA132+AB132)/$F132)*1000</f>
        <v>30.244505494505496</v>
      </c>
      <c r="AN132" s="18">
        <f t="shared" ref="AN132:AN195" si="25">((AC132+AD132)/$F132)*1000</f>
        <v>58.505494505494504</v>
      </c>
      <c r="AO132" s="17">
        <f t="shared" ref="AO132:AO195" si="26">(AE132/$F132)*1000</f>
        <v>39.134615384615387</v>
      </c>
      <c r="AP132" s="17">
        <f t="shared" ref="AP132:AP195" si="27">(AF132/$F132)*1000</f>
        <v>21.052197802197799</v>
      </c>
    </row>
    <row r="133" spans="1:42" s="4" customFormat="1" x14ac:dyDescent="0.25">
      <c r="A133" s="4" t="s">
        <v>99</v>
      </c>
      <c r="B133" s="4" t="s">
        <v>123</v>
      </c>
      <c r="C133" s="4">
        <v>2</v>
      </c>
      <c r="E133" s="4" t="s">
        <v>12</v>
      </c>
      <c r="F133" s="4">
        <v>354</v>
      </c>
      <c r="G133" s="4">
        <v>5.4</v>
      </c>
      <c r="H133" s="4">
        <v>13.6</v>
      </c>
      <c r="I133" s="4">
        <v>15.2</v>
      </c>
      <c r="J133" s="4">
        <v>21.2</v>
      </c>
      <c r="K133" s="4">
        <v>13.9</v>
      </c>
      <c r="L133" s="4">
        <v>6.6</v>
      </c>
      <c r="M133" s="4">
        <v>6.6</v>
      </c>
      <c r="N133" s="4">
        <v>17.2</v>
      </c>
      <c r="O133" s="4">
        <v>8.6</v>
      </c>
      <c r="P133" s="4">
        <v>18</v>
      </c>
      <c r="Q133" s="4">
        <v>33.200000000000003</v>
      </c>
      <c r="R133" s="4">
        <v>9.4</v>
      </c>
      <c r="S133" s="4" t="s">
        <v>100</v>
      </c>
      <c r="T133" s="10"/>
      <c r="V133" s="17">
        <f>G133*'IAA digestibility'!G133</f>
        <v>4.6440000000000001</v>
      </c>
      <c r="W133" s="17">
        <f>H133*'IAA digestibility'!H133</f>
        <v>10.472</v>
      </c>
      <c r="X133" s="17">
        <f>I133*'IAA digestibility'!I133</f>
        <v>12.92</v>
      </c>
      <c r="Y133" s="17">
        <f>J133*'IAA digestibility'!J133</f>
        <v>18.231999999999999</v>
      </c>
      <c r="Z133" s="17">
        <f>K133*'IAA digestibility'!K133</f>
        <v>10.842000000000001</v>
      </c>
      <c r="AA133" s="17">
        <f>L133*'IAA digestibility'!L133</f>
        <v>6.0060000000000002</v>
      </c>
      <c r="AB133" s="17">
        <f>M133*'IAA digestibility'!M133</f>
        <v>5.2139999999999995</v>
      </c>
      <c r="AC133" s="17">
        <f>N133*'IAA digestibility'!N133</f>
        <v>14.963999999999999</v>
      </c>
      <c r="AD133" s="17">
        <f>O133*'IAA digestibility'!O133</f>
        <v>7.137999999999999</v>
      </c>
      <c r="AE133" s="17">
        <f>P133*'IAA digestibility'!P133</f>
        <v>15.12</v>
      </c>
      <c r="AF133" s="17">
        <f>R133*'IAA digestibility'!R133</f>
        <v>7.7080000000000002</v>
      </c>
      <c r="AG133" s="25"/>
      <c r="AH133" s="17">
        <f t="shared" si="19"/>
        <v>13.118644067796611</v>
      </c>
      <c r="AI133" s="17">
        <f t="shared" si="20"/>
        <v>29.581920903954803</v>
      </c>
      <c r="AJ133" s="17">
        <f t="shared" si="21"/>
        <v>36.497175141242941</v>
      </c>
      <c r="AK133" s="17">
        <f t="shared" si="22"/>
        <v>51.502824858757059</v>
      </c>
      <c r="AL133" s="17">
        <f t="shared" si="23"/>
        <v>30.627118644067796</v>
      </c>
      <c r="AM133" s="17">
        <f t="shared" si="24"/>
        <v>31.694915254237287</v>
      </c>
      <c r="AN133" s="18">
        <f t="shared" si="25"/>
        <v>62.435028248587564</v>
      </c>
      <c r="AO133" s="17">
        <f t="shared" si="26"/>
        <v>42.711864406779661</v>
      </c>
      <c r="AP133" s="17">
        <f t="shared" si="27"/>
        <v>21.774011299435028</v>
      </c>
    </row>
    <row r="134" spans="1:42" s="4" customFormat="1" x14ac:dyDescent="0.25">
      <c r="A134" s="4" t="s">
        <v>125</v>
      </c>
      <c r="B134" s="4" t="s">
        <v>123</v>
      </c>
      <c r="C134" s="4">
        <v>2</v>
      </c>
      <c r="E134" s="4" t="s">
        <v>12</v>
      </c>
      <c r="F134" s="4">
        <v>115</v>
      </c>
      <c r="G134" s="4">
        <v>1.1000000000000001</v>
      </c>
      <c r="H134" s="4">
        <v>7.1</v>
      </c>
      <c r="I134" s="4">
        <v>7</v>
      </c>
      <c r="J134" s="4">
        <v>12</v>
      </c>
      <c r="K134" s="4">
        <v>1</v>
      </c>
      <c r="L134" s="4">
        <v>1.7</v>
      </c>
      <c r="M134" s="4">
        <v>1.3</v>
      </c>
      <c r="N134" s="4">
        <v>6.6</v>
      </c>
      <c r="O134" s="4">
        <v>3.6</v>
      </c>
      <c r="P134" s="4">
        <v>7.7</v>
      </c>
      <c r="Q134" s="4">
        <v>8.1</v>
      </c>
      <c r="R134" s="4">
        <v>1.9</v>
      </c>
      <c r="S134" s="4" t="s">
        <v>126</v>
      </c>
      <c r="T134" s="10"/>
      <c r="V134" s="17">
        <f>G134*'IAA digestibility'!G134</f>
        <v>0.59400000000000008</v>
      </c>
      <c r="W134" s="17">
        <f>H134*'IAA digestibility'!H134</f>
        <v>3.7629999999999999</v>
      </c>
      <c r="X134" s="17">
        <f>I134*'IAA digestibility'!I134</f>
        <v>4.4800000000000004</v>
      </c>
      <c r="Y134" s="17">
        <f>J134*'IAA digestibility'!J134</f>
        <v>7.92</v>
      </c>
      <c r="Z134" s="17">
        <f>K134*'IAA digestibility'!K134</f>
        <v>0.49</v>
      </c>
      <c r="AA134" s="17">
        <f>L134*'IAA digestibility'!L134</f>
        <v>1.1729999999999998</v>
      </c>
      <c r="AB134" s="17">
        <f>M134*'IAA digestibility'!M134</f>
        <v>0.58500000000000008</v>
      </c>
      <c r="AC134" s="17">
        <f>N134*'IAA digestibility'!N134</f>
        <v>4.5539999999999994</v>
      </c>
      <c r="AD134" s="17">
        <f>O134*'IAA digestibility'!O134</f>
        <v>2.3400000000000003</v>
      </c>
      <c r="AE134" s="17">
        <f>P134*'IAA digestibility'!P134</f>
        <v>4.62</v>
      </c>
      <c r="AF134" s="17">
        <f>R134*'IAA digestibility'!R134</f>
        <v>1.1779999999999999</v>
      </c>
      <c r="AG134" s="25"/>
      <c r="AH134" s="17">
        <f t="shared" si="19"/>
        <v>5.1652173913043491</v>
      </c>
      <c r="AI134" s="17">
        <f t="shared" si="20"/>
        <v>32.721739130434784</v>
      </c>
      <c r="AJ134" s="17">
        <f t="shared" si="21"/>
        <v>38.956521739130437</v>
      </c>
      <c r="AK134" s="17">
        <f t="shared" si="22"/>
        <v>68.869565217391312</v>
      </c>
      <c r="AL134" s="17">
        <f t="shared" si="23"/>
        <v>4.2608695652173916</v>
      </c>
      <c r="AM134" s="17">
        <f t="shared" si="24"/>
        <v>15.28695652173913</v>
      </c>
      <c r="AN134" s="18">
        <f t="shared" si="25"/>
        <v>59.947826086956518</v>
      </c>
      <c r="AO134" s="17">
        <f t="shared" si="26"/>
        <v>40.173913043478258</v>
      </c>
      <c r="AP134" s="17">
        <f t="shared" si="27"/>
        <v>10.243478260869564</v>
      </c>
    </row>
    <row r="135" spans="1:42" s="4" customFormat="1" x14ac:dyDescent="0.25">
      <c r="A135" s="4" t="s">
        <v>127</v>
      </c>
      <c r="B135" s="4" t="s">
        <v>123</v>
      </c>
      <c r="C135" s="4">
        <v>2</v>
      </c>
      <c r="E135" s="4" t="s">
        <v>12</v>
      </c>
      <c r="F135" s="4">
        <v>89</v>
      </c>
      <c r="G135" s="4">
        <v>0.9</v>
      </c>
      <c r="H135" s="4">
        <v>5.5</v>
      </c>
      <c r="I135" s="4">
        <v>5.4</v>
      </c>
      <c r="J135" s="4">
        <v>9.3000000000000007</v>
      </c>
      <c r="K135" s="4">
        <v>0.8</v>
      </c>
      <c r="L135" s="4">
        <v>1.3</v>
      </c>
      <c r="M135" s="4">
        <v>1</v>
      </c>
      <c r="N135" s="4">
        <v>5.0999999999999996</v>
      </c>
      <c r="O135" s="4">
        <v>2.8</v>
      </c>
      <c r="P135" s="4">
        <v>6</v>
      </c>
      <c r="Q135" s="4">
        <v>6.3</v>
      </c>
      <c r="R135" s="4">
        <v>1.5</v>
      </c>
      <c r="S135" s="4" t="s">
        <v>128</v>
      </c>
      <c r="T135" s="10"/>
      <c r="V135" s="17">
        <f>G135*'IAA digestibility'!G135</f>
        <v>0.49500000000000005</v>
      </c>
      <c r="W135" s="17">
        <f>H135*'IAA digestibility'!H135</f>
        <v>2.97</v>
      </c>
      <c r="X135" s="17">
        <f>I135*'IAA digestibility'!I135</f>
        <v>3.5100000000000002</v>
      </c>
      <c r="Y135" s="17">
        <f>J135*'IAA digestibility'!J135</f>
        <v>6.2310000000000008</v>
      </c>
      <c r="Z135" s="17">
        <f>K135*'IAA digestibility'!K135</f>
        <v>0.4</v>
      </c>
      <c r="AA135" s="17">
        <f>L135*'IAA digestibility'!L135</f>
        <v>0.90999999999999992</v>
      </c>
      <c r="AB135" s="17">
        <f>M135*'IAA digestibility'!M135</f>
        <v>0.46</v>
      </c>
      <c r="AC135" s="17">
        <f>N135*'IAA digestibility'!N135</f>
        <v>3.5699999999999994</v>
      </c>
      <c r="AD135" s="17">
        <f>O135*'IAA digestibility'!O135</f>
        <v>1.8199999999999998</v>
      </c>
      <c r="AE135" s="17">
        <f>P135*'IAA digestibility'!P135</f>
        <v>3.66</v>
      </c>
      <c r="AF135" s="17">
        <f>R135*'IAA digestibility'!R135</f>
        <v>0.94500000000000006</v>
      </c>
      <c r="AG135" s="25"/>
      <c r="AH135" s="17">
        <f t="shared" si="19"/>
        <v>5.5617977528089888</v>
      </c>
      <c r="AI135" s="17">
        <f t="shared" si="20"/>
        <v>33.370786516853933</v>
      </c>
      <c r="AJ135" s="17">
        <f t="shared" si="21"/>
        <v>39.438202247191015</v>
      </c>
      <c r="AK135" s="17">
        <f t="shared" si="22"/>
        <v>70.011235955056193</v>
      </c>
      <c r="AL135" s="17">
        <f t="shared" si="23"/>
        <v>4.4943820224719104</v>
      </c>
      <c r="AM135" s="17">
        <f t="shared" si="24"/>
        <v>15.393258426966291</v>
      </c>
      <c r="AN135" s="18">
        <f t="shared" si="25"/>
        <v>60.561797752808978</v>
      </c>
      <c r="AO135" s="17">
        <f t="shared" si="26"/>
        <v>41.123595505617978</v>
      </c>
      <c r="AP135" s="17">
        <f t="shared" si="27"/>
        <v>10.617977528089888</v>
      </c>
    </row>
    <row r="136" spans="1:42" s="4" customFormat="1" x14ac:dyDescent="0.25">
      <c r="A136" s="4" t="s">
        <v>129</v>
      </c>
      <c r="B136" s="4" t="s">
        <v>123</v>
      </c>
      <c r="C136" s="4">
        <v>2</v>
      </c>
      <c r="E136" s="4" t="s">
        <v>12</v>
      </c>
      <c r="F136" s="4">
        <v>123</v>
      </c>
      <c r="G136" s="4">
        <v>1.2</v>
      </c>
      <c r="H136" s="4">
        <v>7.6</v>
      </c>
      <c r="I136" s="4">
        <v>7.5</v>
      </c>
      <c r="J136" s="4">
        <v>12.9</v>
      </c>
      <c r="K136" s="4">
        <v>1</v>
      </c>
      <c r="L136" s="4">
        <v>1.8</v>
      </c>
      <c r="M136" s="4">
        <v>1.4</v>
      </c>
      <c r="N136" s="4">
        <v>7.1</v>
      </c>
      <c r="O136" s="4">
        <v>3.9</v>
      </c>
      <c r="P136" s="4">
        <v>8.3000000000000007</v>
      </c>
      <c r="Q136" s="4">
        <v>8.8000000000000007</v>
      </c>
      <c r="R136" s="4">
        <v>2</v>
      </c>
      <c r="S136" s="4" t="s">
        <v>130</v>
      </c>
      <c r="T136" s="10"/>
      <c r="V136" s="17">
        <f>G136*'IAA digestibility'!G136</f>
        <v>0.73199999999999998</v>
      </c>
      <c r="W136" s="17">
        <f>H136*'IAA digestibility'!H136</f>
        <v>4.5599999999999996</v>
      </c>
      <c r="X136" s="17">
        <f>I136*'IAA digestibility'!I136</f>
        <v>5.25</v>
      </c>
      <c r="Y136" s="17">
        <f>J136*'IAA digestibility'!J136</f>
        <v>9.1589999999999989</v>
      </c>
      <c r="Z136" s="17">
        <f>K136*'IAA digestibility'!K136</f>
        <v>0.57999999999999996</v>
      </c>
      <c r="AA136" s="17">
        <f>L136*'IAA digestibility'!L136</f>
        <v>1.3320000000000001</v>
      </c>
      <c r="AB136" s="17">
        <f>M136*'IAA digestibility'!M136</f>
        <v>0.77</v>
      </c>
      <c r="AC136" s="17">
        <f>N136*'IAA digestibility'!N136</f>
        <v>5.2539999999999996</v>
      </c>
      <c r="AD136" s="17">
        <f>O136*'IAA digestibility'!O136</f>
        <v>2.73</v>
      </c>
      <c r="AE136" s="17">
        <f>P136*'IAA digestibility'!P136</f>
        <v>5.4780000000000006</v>
      </c>
      <c r="AF136" s="17">
        <f>R136*'IAA digestibility'!R136</f>
        <v>1.36</v>
      </c>
      <c r="AG136" s="25"/>
      <c r="AH136" s="17">
        <f t="shared" si="19"/>
        <v>5.9512195121951219</v>
      </c>
      <c r="AI136" s="17">
        <f t="shared" si="20"/>
        <v>37.073170731707314</v>
      </c>
      <c r="AJ136" s="17">
        <f t="shared" si="21"/>
        <v>42.682926829268297</v>
      </c>
      <c r="AK136" s="17">
        <f t="shared" si="22"/>
        <v>74.463414634146332</v>
      </c>
      <c r="AL136" s="17">
        <f t="shared" si="23"/>
        <v>4.7154471544715442</v>
      </c>
      <c r="AM136" s="17">
        <f t="shared" si="24"/>
        <v>17.089430894308947</v>
      </c>
      <c r="AN136" s="18">
        <f t="shared" si="25"/>
        <v>64.910569105691053</v>
      </c>
      <c r="AO136" s="17">
        <f t="shared" si="26"/>
        <v>44.536585365853661</v>
      </c>
      <c r="AP136" s="17">
        <f t="shared" si="27"/>
        <v>11.056910569105691</v>
      </c>
    </row>
    <row r="137" spans="1:42" s="4" customFormat="1" x14ac:dyDescent="0.25">
      <c r="A137" s="4" t="s">
        <v>131</v>
      </c>
      <c r="B137" s="4" t="s">
        <v>123</v>
      </c>
      <c r="C137" s="4">
        <v>2</v>
      </c>
      <c r="E137" s="4" t="s">
        <v>12</v>
      </c>
      <c r="F137" s="4">
        <v>116</v>
      </c>
      <c r="G137" s="4">
        <v>1.2</v>
      </c>
      <c r="H137" s="4">
        <v>7.2</v>
      </c>
      <c r="I137" s="4">
        <v>7.1</v>
      </c>
      <c r="J137" s="4">
        <v>12.2</v>
      </c>
      <c r="K137" s="4">
        <v>1</v>
      </c>
      <c r="L137" s="4">
        <v>1.7</v>
      </c>
      <c r="M137" s="4">
        <v>1.3</v>
      </c>
      <c r="N137" s="4">
        <v>6.7</v>
      </c>
      <c r="O137" s="4">
        <v>3.7</v>
      </c>
      <c r="P137" s="4">
        <v>7.8</v>
      </c>
      <c r="Q137" s="4">
        <v>8.3000000000000007</v>
      </c>
      <c r="R137" s="4">
        <v>1.9</v>
      </c>
      <c r="S137" s="4" t="s">
        <v>132</v>
      </c>
      <c r="T137" s="10"/>
      <c r="V137" s="17">
        <f>G137*'IAA digestibility'!G137</f>
        <v>0.73199999999999998</v>
      </c>
      <c r="W137" s="17">
        <f>H137*'IAA digestibility'!H137</f>
        <v>4.32</v>
      </c>
      <c r="X137" s="17">
        <f>I137*'IAA digestibility'!I137</f>
        <v>4.97</v>
      </c>
      <c r="Y137" s="17">
        <f>J137*'IAA digestibility'!J137</f>
        <v>8.661999999999999</v>
      </c>
      <c r="Z137" s="17">
        <f>K137*'IAA digestibility'!K137</f>
        <v>0.57999999999999996</v>
      </c>
      <c r="AA137" s="17">
        <f>L137*'IAA digestibility'!L137</f>
        <v>1.258</v>
      </c>
      <c r="AB137" s="17">
        <f>M137*'IAA digestibility'!M137</f>
        <v>0.71500000000000008</v>
      </c>
      <c r="AC137" s="17">
        <f>N137*'IAA digestibility'!N137</f>
        <v>4.9580000000000002</v>
      </c>
      <c r="AD137" s="17">
        <f>O137*'IAA digestibility'!O137</f>
        <v>2.59</v>
      </c>
      <c r="AE137" s="17">
        <f>P137*'IAA digestibility'!P137</f>
        <v>5.1479999999999997</v>
      </c>
      <c r="AF137" s="17">
        <f>R137*'IAA digestibility'!R137</f>
        <v>1.292</v>
      </c>
      <c r="AG137" s="25"/>
      <c r="AH137" s="17">
        <f t="shared" si="19"/>
        <v>6.3103448275862073</v>
      </c>
      <c r="AI137" s="17">
        <f t="shared" si="20"/>
        <v>37.241379310344833</v>
      </c>
      <c r="AJ137" s="17">
        <f t="shared" si="21"/>
        <v>42.844827586206897</v>
      </c>
      <c r="AK137" s="17">
        <f t="shared" si="22"/>
        <v>74.672413793103431</v>
      </c>
      <c r="AL137" s="17">
        <f t="shared" si="23"/>
        <v>4.9999999999999991</v>
      </c>
      <c r="AM137" s="17">
        <f t="shared" si="24"/>
        <v>17.008620689655171</v>
      </c>
      <c r="AN137" s="18">
        <f t="shared" si="25"/>
        <v>65.068965517241381</v>
      </c>
      <c r="AO137" s="17">
        <f t="shared" si="26"/>
        <v>44.37931034482758</v>
      </c>
      <c r="AP137" s="17">
        <f t="shared" si="27"/>
        <v>11.137931034482758</v>
      </c>
    </row>
    <row r="138" spans="1:42" s="4" customFormat="1" x14ac:dyDescent="0.25">
      <c r="A138" s="4" t="s">
        <v>133</v>
      </c>
      <c r="B138" s="4" t="s">
        <v>123</v>
      </c>
      <c r="C138" s="4">
        <v>2</v>
      </c>
      <c r="E138" s="4" t="s">
        <v>12</v>
      </c>
      <c r="F138" s="4">
        <v>170</v>
      </c>
      <c r="G138" s="4">
        <v>1.1000000000000001</v>
      </c>
      <c r="H138" s="4">
        <v>5.4</v>
      </c>
      <c r="I138" s="4">
        <v>6</v>
      </c>
      <c r="J138" s="4">
        <v>10.6</v>
      </c>
      <c r="K138" s="4">
        <v>5</v>
      </c>
      <c r="L138" s="4">
        <v>3</v>
      </c>
      <c r="M138" s="4">
        <v>2.1</v>
      </c>
      <c r="N138" s="4">
        <v>6.8</v>
      </c>
      <c r="O138" s="4">
        <v>4.2</v>
      </c>
      <c r="P138" s="4">
        <v>8.5</v>
      </c>
      <c r="Q138" s="4">
        <v>21.7</v>
      </c>
      <c r="R138" s="4">
        <v>3.7</v>
      </c>
      <c r="S138" s="4" t="s">
        <v>134</v>
      </c>
      <c r="T138" s="10"/>
      <c r="V138" s="17">
        <f>G138*'IAA digestibility'!G138</f>
        <v>0.57200000000000006</v>
      </c>
      <c r="W138" s="17">
        <f>H138*'IAA digestibility'!H138</f>
        <v>2.8080000000000003</v>
      </c>
      <c r="X138" s="17">
        <f>I138*'IAA digestibility'!I138</f>
        <v>3.96</v>
      </c>
      <c r="Y138" s="17">
        <f>J138*'IAA digestibility'!J138</f>
        <v>7.419999999999999</v>
      </c>
      <c r="Z138" s="17">
        <f>K138*'IAA digestibility'!K138</f>
        <v>1.85</v>
      </c>
      <c r="AA138" s="17">
        <f>L138*'IAA digestibility'!L138</f>
        <v>2.04</v>
      </c>
      <c r="AB138" s="17">
        <f>M138*'IAA digestibility'!M138</f>
        <v>0.98699999999999999</v>
      </c>
      <c r="AC138" s="17">
        <f>N138*'IAA digestibility'!N138</f>
        <v>5.0999999999999996</v>
      </c>
      <c r="AD138" s="17">
        <f>O138*'IAA digestibility'!O138</f>
        <v>2.8140000000000005</v>
      </c>
      <c r="AE138" s="17">
        <f>P138*'IAA digestibility'!P138</f>
        <v>5.61</v>
      </c>
      <c r="AF138" s="17">
        <f>R138*'IAA digestibility'!R138</f>
        <v>2.2570000000000001</v>
      </c>
      <c r="AG138" s="25"/>
      <c r="AH138" s="17">
        <f t="shared" si="19"/>
        <v>3.3647058823529417</v>
      </c>
      <c r="AI138" s="17">
        <f t="shared" si="20"/>
        <v>16.517647058823531</v>
      </c>
      <c r="AJ138" s="17">
        <f t="shared" si="21"/>
        <v>23.294117647058822</v>
      </c>
      <c r="AK138" s="17">
        <f t="shared" si="22"/>
        <v>43.647058823529406</v>
      </c>
      <c r="AL138" s="17">
        <f t="shared" si="23"/>
        <v>10.882352941176471</v>
      </c>
      <c r="AM138" s="17">
        <f t="shared" si="24"/>
        <v>17.805882352941179</v>
      </c>
      <c r="AN138" s="18">
        <f t="shared" si="25"/>
        <v>46.55294117647059</v>
      </c>
      <c r="AO138" s="17">
        <f t="shared" si="26"/>
        <v>33</v>
      </c>
      <c r="AP138" s="17">
        <f t="shared" si="27"/>
        <v>13.276470588235295</v>
      </c>
    </row>
    <row r="139" spans="1:42" s="4" customFormat="1" x14ac:dyDescent="0.25">
      <c r="A139" s="4" t="s">
        <v>135</v>
      </c>
      <c r="B139" s="4" t="s">
        <v>123</v>
      </c>
      <c r="C139" s="4">
        <v>2</v>
      </c>
      <c r="E139" s="4" t="s">
        <v>12</v>
      </c>
      <c r="F139" s="4">
        <v>183</v>
      </c>
      <c r="G139" s="4">
        <v>1.2</v>
      </c>
      <c r="H139" s="4">
        <v>6</v>
      </c>
      <c r="I139" s="4">
        <v>6.6</v>
      </c>
      <c r="J139" s="4">
        <v>11.9</v>
      </c>
      <c r="K139" s="4">
        <v>5.5</v>
      </c>
      <c r="L139" s="4">
        <v>3.3</v>
      </c>
      <c r="M139" s="4">
        <v>2.4</v>
      </c>
      <c r="N139" s="4">
        <v>7.6</v>
      </c>
      <c r="O139" s="4">
        <v>4.9000000000000004</v>
      </c>
      <c r="P139" s="4">
        <v>9.1</v>
      </c>
      <c r="Q139" s="4">
        <v>26.2</v>
      </c>
      <c r="R139" s="4">
        <v>4.7</v>
      </c>
      <c r="S139" s="4" t="s">
        <v>136</v>
      </c>
      <c r="T139" s="10"/>
      <c r="V139" s="17">
        <f>G139*'IAA digestibility'!G139</f>
        <v>0.624</v>
      </c>
      <c r="W139" s="17">
        <f>H139*'IAA digestibility'!H139</f>
        <v>3.12</v>
      </c>
      <c r="X139" s="17">
        <f>I139*'IAA digestibility'!I139</f>
        <v>4.3559999999999999</v>
      </c>
      <c r="Y139" s="17">
        <f>J139*'IAA digestibility'!J139</f>
        <v>8.33</v>
      </c>
      <c r="Z139" s="17">
        <f>K139*'IAA digestibility'!K139</f>
        <v>2.0350000000000001</v>
      </c>
      <c r="AA139" s="17">
        <f>L139*'IAA digestibility'!L139</f>
        <v>2.2440000000000002</v>
      </c>
      <c r="AB139" s="17">
        <f>M139*'IAA digestibility'!M139</f>
        <v>1.1279999999999999</v>
      </c>
      <c r="AC139" s="17">
        <f>N139*'IAA digestibility'!N139</f>
        <v>5.6999999999999993</v>
      </c>
      <c r="AD139" s="17">
        <f>O139*'IAA digestibility'!O139</f>
        <v>3.2830000000000004</v>
      </c>
      <c r="AE139" s="17">
        <f>P139*'IAA digestibility'!P139</f>
        <v>6.0060000000000002</v>
      </c>
      <c r="AF139" s="17">
        <f>R139*'IAA digestibility'!R139</f>
        <v>2.867</v>
      </c>
      <c r="AG139" s="25"/>
      <c r="AH139" s="17">
        <f t="shared" si="19"/>
        <v>3.4098360655737707</v>
      </c>
      <c r="AI139" s="17">
        <f t="shared" si="20"/>
        <v>17.049180327868854</v>
      </c>
      <c r="AJ139" s="17">
        <f t="shared" si="21"/>
        <v>23.803278688524589</v>
      </c>
      <c r="AK139" s="17">
        <f t="shared" si="22"/>
        <v>45.519125683060111</v>
      </c>
      <c r="AL139" s="17">
        <f t="shared" si="23"/>
        <v>11.120218579234974</v>
      </c>
      <c r="AM139" s="17">
        <f t="shared" si="24"/>
        <v>18.42622950819672</v>
      </c>
      <c r="AN139" s="18">
        <f t="shared" si="25"/>
        <v>49.087431693989075</v>
      </c>
      <c r="AO139" s="17">
        <f t="shared" si="26"/>
        <v>32.819672131147549</v>
      </c>
      <c r="AP139" s="17">
        <f t="shared" si="27"/>
        <v>15.666666666666666</v>
      </c>
    </row>
    <row r="140" spans="1:42" s="4" customFormat="1" x14ac:dyDescent="0.25">
      <c r="A140" s="4" t="s">
        <v>76</v>
      </c>
      <c r="B140" s="4" t="s">
        <v>123</v>
      </c>
      <c r="C140" s="4">
        <v>2</v>
      </c>
      <c r="E140" s="4" t="s">
        <v>12</v>
      </c>
      <c r="F140" s="4">
        <v>337</v>
      </c>
      <c r="G140" s="4">
        <v>4.2</v>
      </c>
      <c r="H140" s="4">
        <v>14.7</v>
      </c>
      <c r="I140" s="4">
        <v>13.6</v>
      </c>
      <c r="J140" s="4">
        <v>23</v>
      </c>
      <c r="K140" s="4">
        <v>18.399999999999999</v>
      </c>
      <c r="L140" s="4">
        <v>6.8</v>
      </c>
      <c r="M140" s="4">
        <v>8.1</v>
      </c>
      <c r="N140" s="4">
        <v>13</v>
      </c>
      <c r="O140" s="4">
        <v>9.6</v>
      </c>
      <c r="P140" s="4">
        <v>17.3</v>
      </c>
      <c r="Q140" s="4">
        <v>19.600000000000001</v>
      </c>
      <c r="R140" s="4">
        <v>9.1</v>
      </c>
      <c r="S140" s="4" t="s">
        <v>75</v>
      </c>
      <c r="T140" s="10"/>
      <c r="V140" s="17">
        <f>G140*'IAA digestibility'!G140</f>
        <v>2.8140000000000005</v>
      </c>
      <c r="W140" s="17">
        <f>H140*'IAA digestibility'!H140</f>
        <v>11.171999999999999</v>
      </c>
      <c r="X140" s="17">
        <f>I140*'IAA digestibility'!I140</f>
        <v>10.608000000000001</v>
      </c>
      <c r="Y140" s="17">
        <f>J140*'IAA digestibility'!J140</f>
        <v>18.86</v>
      </c>
      <c r="Z140" s="17">
        <f>K140*'IAA digestibility'!K140</f>
        <v>14.167999999999999</v>
      </c>
      <c r="AA140" s="17">
        <f>L140*'IAA digestibility'!L140</f>
        <v>6.0519999999999996</v>
      </c>
      <c r="AB140" s="17">
        <f>M140*'IAA digestibility'!M140</f>
        <v>6.48</v>
      </c>
      <c r="AC140" s="17">
        <f>N140*'IAA digestibility'!N140</f>
        <v>10.92</v>
      </c>
      <c r="AD140" s="17">
        <f>O140*'IAA digestibility'!O140</f>
        <v>7.9679999999999991</v>
      </c>
      <c r="AE140" s="17">
        <f>P140*'IAA digestibility'!P140</f>
        <v>13.321000000000002</v>
      </c>
      <c r="AF140" s="17">
        <f>R140*'IAA digestibility'!R140</f>
        <v>7.7349999999999994</v>
      </c>
      <c r="AG140" s="25"/>
      <c r="AH140" s="17">
        <f t="shared" si="19"/>
        <v>8.3501483679525244</v>
      </c>
      <c r="AI140" s="17">
        <f t="shared" si="20"/>
        <v>33.151335311572694</v>
      </c>
      <c r="AJ140" s="17">
        <f t="shared" si="21"/>
        <v>31.477744807121663</v>
      </c>
      <c r="AK140" s="17">
        <f t="shared" si="22"/>
        <v>55.96439169139466</v>
      </c>
      <c r="AL140" s="17">
        <f t="shared" si="23"/>
        <v>42.041543026706229</v>
      </c>
      <c r="AM140" s="17">
        <f t="shared" si="24"/>
        <v>37.186943620178042</v>
      </c>
      <c r="AN140" s="18">
        <f t="shared" si="25"/>
        <v>56.047477744807118</v>
      </c>
      <c r="AO140" s="17">
        <f t="shared" si="26"/>
        <v>39.528189910979236</v>
      </c>
      <c r="AP140" s="17">
        <f t="shared" si="27"/>
        <v>22.952522255192878</v>
      </c>
    </row>
    <row r="141" spans="1:42" s="4" customFormat="1" x14ac:dyDescent="0.25">
      <c r="A141" s="4" t="s">
        <v>78</v>
      </c>
      <c r="B141" s="4" t="s">
        <v>123</v>
      </c>
      <c r="C141" s="4">
        <v>2</v>
      </c>
      <c r="E141" s="4" t="s">
        <v>12</v>
      </c>
      <c r="F141" s="4">
        <v>381</v>
      </c>
      <c r="G141" s="4">
        <v>4.7</v>
      </c>
      <c r="H141" s="4">
        <v>16.399999999999999</v>
      </c>
      <c r="I141" s="4">
        <v>15.3</v>
      </c>
      <c r="J141" s="4">
        <v>26</v>
      </c>
      <c r="K141" s="4">
        <v>20.399999999999999</v>
      </c>
      <c r="L141" s="4">
        <v>7.7</v>
      </c>
      <c r="M141" s="4">
        <v>9.1</v>
      </c>
      <c r="N141" s="4">
        <v>14.7</v>
      </c>
      <c r="O141" s="4">
        <v>10.8</v>
      </c>
      <c r="P141" s="4">
        <v>19.5</v>
      </c>
      <c r="Q141" s="4">
        <v>22.1</v>
      </c>
      <c r="R141" s="4">
        <v>10.5</v>
      </c>
      <c r="S141" s="4" t="s">
        <v>77</v>
      </c>
      <c r="T141" s="10"/>
      <c r="V141" s="17">
        <f>G141*'IAA digestibility'!G141</f>
        <v>3.7600000000000002</v>
      </c>
      <c r="W141" s="17">
        <f>H141*'IAA digestibility'!H141</f>
        <v>12.299999999999999</v>
      </c>
      <c r="X141" s="17">
        <f>I141*'IAA digestibility'!I141</f>
        <v>11.934000000000001</v>
      </c>
      <c r="Y141" s="17">
        <f>J141*'IAA digestibility'!J141</f>
        <v>21.32</v>
      </c>
      <c r="Z141" s="17">
        <f>K141*'IAA digestibility'!K141</f>
        <v>15.299999999999999</v>
      </c>
      <c r="AA141" s="17">
        <f>L141*'IAA digestibility'!L141</f>
        <v>6.6989999999999998</v>
      </c>
      <c r="AB141" s="17">
        <f>M141*'IAA digestibility'!M141</f>
        <v>7.3710000000000004</v>
      </c>
      <c r="AC141" s="17">
        <f>N141*'IAA digestibility'!N141</f>
        <v>12.200999999999999</v>
      </c>
      <c r="AD141" s="17">
        <f>O141*'IAA digestibility'!O141</f>
        <v>8.64</v>
      </c>
      <c r="AE141" s="17">
        <f>P141*'IAA digestibility'!P141</f>
        <v>15.015000000000001</v>
      </c>
      <c r="AF141" s="17">
        <f>R141*'IAA digestibility'!R141</f>
        <v>8.82</v>
      </c>
      <c r="AG141" s="25"/>
      <c r="AH141" s="17">
        <f t="shared" si="19"/>
        <v>9.8687664041994747</v>
      </c>
      <c r="AI141" s="17">
        <f t="shared" si="20"/>
        <v>32.283464566929133</v>
      </c>
      <c r="AJ141" s="17">
        <f t="shared" si="21"/>
        <v>31.322834645669296</v>
      </c>
      <c r="AK141" s="17">
        <f t="shared" si="22"/>
        <v>55.958005249343834</v>
      </c>
      <c r="AL141" s="17">
        <f t="shared" si="23"/>
        <v>40.15748031496063</v>
      </c>
      <c r="AM141" s="17">
        <f t="shared" si="24"/>
        <v>36.929133858267718</v>
      </c>
      <c r="AN141" s="18">
        <f t="shared" si="25"/>
        <v>54.700787401574807</v>
      </c>
      <c r="AO141" s="17">
        <f t="shared" si="26"/>
        <v>39.409448818897637</v>
      </c>
      <c r="AP141" s="17">
        <f t="shared" si="27"/>
        <v>23.1496062992126</v>
      </c>
    </row>
    <row r="142" spans="1:42" s="4" customFormat="1" x14ac:dyDescent="0.25">
      <c r="A142" s="4" t="s">
        <v>102</v>
      </c>
      <c r="B142" s="4" t="s">
        <v>123</v>
      </c>
      <c r="C142" s="4">
        <v>2</v>
      </c>
      <c r="E142" s="4" t="s">
        <v>12</v>
      </c>
      <c r="F142" s="4">
        <v>451</v>
      </c>
      <c r="G142" s="4">
        <v>5</v>
      </c>
      <c r="H142" s="4">
        <v>13.3</v>
      </c>
      <c r="I142" s="4">
        <v>15</v>
      </c>
      <c r="J142" s="4">
        <v>28</v>
      </c>
      <c r="K142" s="4">
        <v>10.6</v>
      </c>
      <c r="L142" s="4">
        <v>11.6</v>
      </c>
      <c r="M142" s="4">
        <v>8</v>
      </c>
      <c r="N142" s="4">
        <v>19.100000000000001</v>
      </c>
      <c r="O142" s="4">
        <v>13.9</v>
      </c>
      <c r="P142" s="4">
        <v>19.3</v>
      </c>
      <c r="Q142" s="4">
        <v>46.3</v>
      </c>
      <c r="R142" s="4">
        <v>10.1</v>
      </c>
      <c r="S142" s="4" t="s">
        <v>101</v>
      </c>
      <c r="T142" s="10"/>
      <c r="V142" s="17">
        <f>G142*'IAA digestibility'!G142</f>
        <v>3.55</v>
      </c>
      <c r="W142" s="17">
        <f>H142*'IAA digestibility'!H142</f>
        <v>11.837000000000002</v>
      </c>
      <c r="X142" s="17">
        <f>I142*'IAA digestibility'!I142</f>
        <v>13.65</v>
      </c>
      <c r="Y142" s="17">
        <f>J142*'IAA digestibility'!J142</f>
        <v>25.76</v>
      </c>
      <c r="Z142" s="17">
        <f>K142*'IAA digestibility'!K142</f>
        <v>9.1159999999999997</v>
      </c>
      <c r="AA142" s="17">
        <f>L142*'IAA digestibility'!L142</f>
        <v>10.904</v>
      </c>
      <c r="AB142" s="17">
        <f>M142*'IAA digestibility'!M142</f>
        <v>7.52</v>
      </c>
      <c r="AC142" s="17">
        <f>N142*'IAA digestibility'!N142</f>
        <v>17.954000000000001</v>
      </c>
      <c r="AD142" s="17">
        <f>O142*'IAA digestibility'!O142</f>
        <v>12.649000000000001</v>
      </c>
      <c r="AE142" s="17">
        <f>P142*'IAA digestibility'!P142</f>
        <v>17.37</v>
      </c>
      <c r="AF142" s="17">
        <f>R142*'IAA digestibility'!R142</f>
        <v>9.2919999999999998</v>
      </c>
      <c r="AG142" s="25"/>
      <c r="AH142" s="17">
        <f t="shared" si="19"/>
        <v>7.8713968957871403</v>
      </c>
      <c r="AI142" s="17">
        <f t="shared" si="20"/>
        <v>26.246119733924616</v>
      </c>
      <c r="AJ142" s="17">
        <f t="shared" si="21"/>
        <v>30.266075388026607</v>
      </c>
      <c r="AK142" s="17">
        <f t="shared" si="22"/>
        <v>57.117516629711758</v>
      </c>
      <c r="AL142" s="17">
        <f t="shared" si="23"/>
        <v>20.212860310421284</v>
      </c>
      <c r="AM142" s="17">
        <f t="shared" si="24"/>
        <v>40.851441241685144</v>
      </c>
      <c r="AN142" s="18">
        <f t="shared" si="25"/>
        <v>67.855875831485591</v>
      </c>
      <c r="AO142" s="17">
        <f t="shared" si="26"/>
        <v>38.514412416851442</v>
      </c>
      <c r="AP142" s="17">
        <f t="shared" si="27"/>
        <v>20.603104212860309</v>
      </c>
    </row>
    <row r="143" spans="1:42" s="4" customFormat="1" x14ac:dyDescent="0.25">
      <c r="A143" s="4" t="s">
        <v>137</v>
      </c>
      <c r="B143" s="4" t="s">
        <v>123</v>
      </c>
      <c r="C143" s="4">
        <v>2</v>
      </c>
      <c r="E143" s="4" t="s">
        <v>12</v>
      </c>
      <c r="F143" s="7">
        <v>135</v>
      </c>
      <c r="G143" s="4">
        <v>1.9</v>
      </c>
      <c r="H143" s="4">
        <v>5.0999999999999996</v>
      </c>
      <c r="I143" s="4">
        <v>6</v>
      </c>
      <c r="J143" s="4">
        <v>10.199999999999999</v>
      </c>
      <c r="K143" s="4">
        <v>5.3</v>
      </c>
      <c r="L143" s="4">
        <v>2.8</v>
      </c>
      <c r="M143" s="4">
        <v>2.2000000000000002</v>
      </c>
      <c r="N143" s="4">
        <v>4.9000000000000004</v>
      </c>
      <c r="O143" s="4">
        <v>4.2</v>
      </c>
      <c r="P143" s="4">
        <v>7.5</v>
      </c>
      <c r="Q143" s="4">
        <v>11.3</v>
      </c>
      <c r="R143" s="4">
        <v>3.7</v>
      </c>
      <c r="S143" s="4" t="s">
        <v>138</v>
      </c>
      <c r="T143" s="10"/>
      <c r="V143" s="17">
        <f>G143*'IAA digestibility'!G143</f>
        <v>1.3109999999999999</v>
      </c>
      <c r="W143" s="17">
        <f>H143*'IAA digestibility'!H143</f>
        <v>3.468</v>
      </c>
      <c r="X143" s="17">
        <f>I143*'IAA digestibility'!I143</f>
        <v>4.5</v>
      </c>
      <c r="Y143" s="17">
        <f>J143*'IAA digestibility'!J143</f>
        <v>7.8539999999999992</v>
      </c>
      <c r="Z143" s="17">
        <f>K143*'IAA digestibility'!K143</f>
        <v>3.5510000000000002</v>
      </c>
      <c r="AA143" s="17">
        <f>L143*'IAA digestibility'!L143</f>
        <v>2.2119999999999997</v>
      </c>
      <c r="AB143" s="17">
        <f>M143*'IAA digestibility'!M143</f>
        <v>1.4300000000000002</v>
      </c>
      <c r="AC143" s="17">
        <f>N143*'IAA digestibility'!N143</f>
        <v>3.8710000000000004</v>
      </c>
      <c r="AD143" s="17">
        <f>O143*'IAA digestibility'!O143</f>
        <v>3.1920000000000002</v>
      </c>
      <c r="AE143" s="17">
        <f>P143*'IAA digestibility'!P143</f>
        <v>5.4749999999999996</v>
      </c>
      <c r="AF143" s="17">
        <f>R143*'IAA digestibility'!R143</f>
        <v>2.7750000000000004</v>
      </c>
      <c r="AG143" s="25"/>
      <c r="AH143" s="17">
        <f t="shared" si="19"/>
        <v>9.7111111111111121</v>
      </c>
      <c r="AI143" s="17">
        <f t="shared" si="20"/>
        <v>25.68888888888889</v>
      </c>
      <c r="AJ143" s="17">
        <f t="shared" si="21"/>
        <v>33.333333333333336</v>
      </c>
      <c r="AK143" s="17">
        <f t="shared" si="22"/>
        <v>58.17777777777777</v>
      </c>
      <c r="AL143" s="17">
        <f t="shared" si="23"/>
        <v>26.303703703703704</v>
      </c>
      <c r="AM143" s="17">
        <f t="shared" si="24"/>
        <v>26.977777777777778</v>
      </c>
      <c r="AN143" s="18">
        <f t="shared" si="25"/>
        <v>52.318518518518523</v>
      </c>
      <c r="AO143" s="17">
        <f t="shared" si="26"/>
        <v>40.55555555555555</v>
      </c>
      <c r="AP143" s="17">
        <f t="shared" si="27"/>
        <v>20.555555555555561</v>
      </c>
    </row>
    <row r="144" spans="1:42" s="4" customFormat="1" x14ac:dyDescent="0.25">
      <c r="A144" s="4" t="s">
        <v>63</v>
      </c>
      <c r="B144" s="4" t="s">
        <v>123</v>
      </c>
      <c r="C144" s="4">
        <v>2</v>
      </c>
      <c r="E144" s="4" t="s">
        <v>12</v>
      </c>
      <c r="F144" s="4">
        <v>470</v>
      </c>
      <c r="G144" s="4">
        <v>6.3</v>
      </c>
      <c r="H144" s="4">
        <v>18.3</v>
      </c>
      <c r="I144" s="4">
        <v>21.6</v>
      </c>
      <c r="J144" s="4">
        <v>35.700000000000003</v>
      </c>
      <c r="K144" s="4">
        <v>29.2</v>
      </c>
      <c r="L144" s="4">
        <v>6.7</v>
      </c>
      <c r="M144" s="4">
        <v>7.2</v>
      </c>
      <c r="N144" s="4">
        <v>23.7</v>
      </c>
      <c r="O144" s="4">
        <v>16.600000000000001</v>
      </c>
      <c r="P144" s="4">
        <v>22.6</v>
      </c>
      <c r="Q144" s="4">
        <v>34.299999999999997</v>
      </c>
      <c r="R144" s="4">
        <v>12.7</v>
      </c>
      <c r="S144" s="4" t="s">
        <v>66</v>
      </c>
      <c r="T144" s="10"/>
      <c r="V144" s="17">
        <f>G144*'IAA digestibility'!G144</f>
        <v>5.6070000000000002</v>
      </c>
      <c r="W144" s="17">
        <f>H144*'IAA digestibility'!H144</f>
        <v>15.921000000000001</v>
      </c>
      <c r="X144" s="17">
        <f>I144*'IAA digestibility'!I144</f>
        <v>19.440000000000001</v>
      </c>
      <c r="Y144" s="17">
        <f>J144*'IAA digestibility'!J144</f>
        <v>32.130000000000003</v>
      </c>
      <c r="Z144" s="17">
        <f>K144*'IAA digestibility'!K144</f>
        <v>26.28</v>
      </c>
      <c r="AA144" s="17">
        <f>L144*'IAA digestibility'!L144</f>
        <v>6.1640000000000006</v>
      </c>
      <c r="AB144" s="17">
        <f>M144*'IAA digestibility'!M144</f>
        <v>6.2640000000000002</v>
      </c>
      <c r="AC144" s="17">
        <f>N144*'IAA digestibility'!N144</f>
        <v>21.567</v>
      </c>
      <c r="AD144" s="17">
        <f>O144*'IAA digestibility'!O144</f>
        <v>15.272000000000002</v>
      </c>
      <c r="AE144" s="17">
        <f>P144*'IAA digestibility'!P144</f>
        <v>19.888000000000002</v>
      </c>
      <c r="AF144" s="17">
        <f>R144*'IAA digestibility'!R144</f>
        <v>11.557</v>
      </c>
      <c r="AG144" s="25"/>
      <c r="AH144" s="17">
        <f t="shared" si="19"/>
        <v>11.929787234042553</v>
      </c>
      <c r="AI144" s="17">
        <f t="shared" si="20"/>
        <v>33.874468085106386</v>
      </c>
      <c r="AJ144" s="17">
        <f t="shared" si="21"/>
        <v>41.361702127659576</v>
      </c>
      <c r="AK144" s="17">
        <f t="shared" si="22"/>
        <v>68.361702127659569</v>
      </c>
      <c r="AL144" s="17">
        <f t="shared" si="23"/>
        <v>55.914893617021285</v>
      </c>
      <c r="AM144" s="17">
        <f t="shared" si="24"/>
        <v>26.442553191489363</v>
      </c>
      <c r="AN144" s="18">
        <f t="shared" si="25"/>
        <v>78.380851063829795</v>
      </c>
      <c r="AO144" s="17">
        <f t="shared" si="26"/>
        <v>42.314893617021283</v>
      </c>
      <c r="AP144" s="17">
        <f t="shared" si="27"/>
        <v>24.589361702127661</v>
      </c>
    </row>
    <row r="145" spans="1:43" s="4" customFormat="1" x14ac:dyDescent="0.25">
      <c r="A145" s="4" t="s">
        <v>64</v>
      </c>
      <c r="B145" s="4" t="s">
        <v>123</v>
      </c>
      <c r="C145" s="4">
        <v>2</v>
      </c>
      <c r="E145" s="4" t="s">
        <v>12</v>
      </c>
      <c r="F145" s="4">
        <v>495</v>
      </c>
      <c r="G145" s="4">
        <v>6.8</v>
      </c>
      <c r="H145" s="4">
        <v>19.100000000000001</v>
      </c>
      <c r="I145" s="4">
        <v>22.7</v>
      </c>
      <c r="J145" s="4">
        <v>37.700000000000003</v>
      </c>
      <c r="K145" s="4">
        <v>30.8</v>
      </c>
      <c r="L145" s="4">
        <v>7.1</v>
      </c>
      <c r="M145" s="4">
        <v>7.7</v>
      </c>
      <c r="N145" s="4">
        <v>25</v>
      </c>
      <c r="O145" s="4">
        <v>17.5</v>
      </c>
      <c r="P145" s="4">
        <v>23.9</v>
      </c>
      <c r="Q145" s="4">
        <v>36.200000000000003</v>
      </c>
      <c r="R145" s="4">
        <v>13.3</v>
      </c>
      <c r="S145" s="4" t="s">
        <v>65</v>
      </c>
      <c r="T145" s="10"/>
      <c r="V145" s="17">
        <f>G145*'IAA digestibility'!G145</f>
        <v>6.0519999999999996</v>
      </c>
      <c r="W145" s="17">
        <f>H145*'IAA digestibility'!H145</f>
        <v>16.426000000000002</v>
      </c>
      <c r="X145" s="17">
        <f>I145*'IAA digestibility'!I145</f>
        <v>20.202999999999999</v>
      </c>
      <c r="Y145" s="17">
        <f>J145*'IAA digestibility'!J145</f>
        <v>33.553000000000004</v>
      </c>
      <c r="Z145" s="17">
        <f>K145*'IAA digestibility'!K145</f>
        <v>27.412000000000003</v>
      </c>
      <c r="AA145" s="17">
        <f>L145*'IAA digestibility'!L145</f>
        <v>6.4610000000000003</v>
      </c>
      <c r="AB145" s="17">
        <f>M145*'IAA digestibility'!M145</f>
        <v>6.6219999999999999</v>
      </c>
      <c r="AC145" s="17">
        <f>N145*'IAA digestibility'!N145</f>
        <v>22.5</v>
      </c>
      <c r="AD145" s="17">
        <f>O145*'IAA digestibility'!O145</f>
        <v>15.925000000000001</v>
      </c>
      <c r="AE145" s="17">
        <f>P145*'IAA digestibility'!P145</f>
        <v>21.032</v>
      </c>
      <c r="AF145" s="17">
        <f>R145*'IAA digestibility'!R145</f>
        <v>11.97</v>
      </c>
      <c r="AG145" s="25"/>
      <c r="AH145" s="17">
        <f t="shared" si="19"/>
        <v>12.226262626262624</v>
      </c>
      <c r="AI145" s="17">
        <f t="shared" si="20"/>
        <v>33.183838383838385</v>
      </c>
      <c r="AJ145" s="17">
        <f t="shared" si="21"/>
        <v>40.814141414141417</v>
      </c>
      <c r="AK145" s="17">
        <f t="shared" si="22"/>
        <v>67.783838383838386</v>
      </c>
      <c r="AL145" s="17">
        <f t="shared" si="23"/>
        <v>55.37777777777778</v>
      </c>
      <c r="AM145" s="17">
        <f t="shared" si="24"/>
        <v>26.43030303030303</v>
      </c>
      <c r="AN145" s="18">
        <f t="shared" si="25"/>
        <v>77.62626262626263</v>
      </c>
      <c r="AO145" s="17">
        <f t="shared" si="26"/>
        <v>42.488888888888887</v>
      </c>
      <c r="AP145" s="17">
        <f t="shared" si="27"/>
        <v>24.181818181818183</v>
      </c>
    </row>
    <row r="146" spans="1:43" s="4" customFormat="1" x14ac:dyDescent="0.25">
      <c r="A146" s="4" t="s">
        <v>67</v>
      </c>
      <c r="B146" s="4" t="s">
        <v>123</v>
      </c>
      <c r="C146" s="4">
        <v>2</v>
      </c>
      <c r="E146" s="4" t="s">
        <v>12</v>
      </c>
      <c r="F146" s="4">
        <v>526</v>
      </c>
      <c r="G146" s="4">
        <v>7.3</v>
      </c>
      <c r="H146" s="4">
        <v>20.100000000000001</v>
      </c>
      <c r="I146" s="4">
        <v>24</v>
      </c>
      <c r="J146" s="4">
        <v>40.200000000000003</v>
      </c>
      <c r="K146" s="4">
        <v>32.700000000000003</v>
      </c>
      <c r="L146" s="4">
        <v>7.5</v>
      </c>
      <c r="M146" s="4">
        <v>8.1999999999999993</v>
      </c>
      <c r="N146" s="4">
        <v>26.6</v>
      </c>
      <c r="O146" s="4">
        <v>18.5</v>
      </c>
      <c r="P146" s="4">
        <v>25.3</v>
      </c>
      <c r="Q146" s="4">
        <v>38.4</v>
      </c>
      <c r="R146" s="4">
        <v>14.1</v>
      </c>
      <c r="S146" s="4" t="s">
        <v>68</v>
      </c>
      <c r="T146" s="10"/>
      <c r="V146" s="17">
        <f>G146*'IAA digestibility'!G146</f>
        <v>6.4969999999999999</v>
      </c>
      <c r="W146" s="17">
        <f>H146*'IAA digestibility'!H146</f>
        <v>17.487000000000002</v>
      </c>
      <c r="X146" s="17">
        <f>I146*'IAA digestibility'!I146</f>
        <v>21.36</v>
      </c>
      <c r="Y146" s="17">
        <f>J146*'IAA digestibility'!J146</f>
        <v>35.778000000000006</v>
      </c>
      <c r="Z146" s="17">
        <f>K146*'IAA digestibility'!K146</f>
        <v>29.430000000000003</v>
      </c>
      <c r="AA146" s="17">
        <f>L146*'IAA digestibility'!L146</f>
        <v>6.8250000000000002</v>
      </c>
      <c r="AB146" s="17">
        <f>M146*'IAA digestibility'!M146</f>
        <v>7.0519999999999996</v>
      </c>
      <c r="AC146" s="17">
        <f>N146*'IAA digestibility'!N146</f>
        <v>23.94</v>
      </c>
      <c r="AD146" s="17">
        <f>O146*'IAA digestibility'!O146</f>
        <v>16.835000000000001</v>
      </c>
      <c r="AE146" s="17">
        <f>P146*'IAA digestibility'!P146</f>
        <v>22.263999999999999</v>
      </c>
      <c r="AF146" s="17">
        <f>R146*'IAA digestibility'!R146</f>
        <v>12.831</v>
      </c>
      <c r="AG146" s="25"/>
      <c r="AH146" s="17">
        <f t="shared" si="19"/>
        <v>12.35171102661597</v>
      </c>
      <c r="AI146" s="17">
        <f t="shared" si="20"/>
        <v>33.245247148288975</v>
      </c>
      <c r="AJ146" s="17">
        <f t="shared" si="21"/>
        <v>40.608365019011401</v>
      </c>
      <c r="AK146" s="17">
        <f t="shared" si="22"/>
        <v>68.019011406844115</v>
      </c>
      <c r="AL146" s="17">
        <f t="shared" si="23"/>
        <v>55.950570342205332</v>
      </c>
      <c r="AM146" s="17">
        <f t="shared" si="24"/>
        <v>26.382129277566538</v>
      </c>
      <c r="AN146" s="18">
        <f t="shared" si="25"/>
        <v>77.519011406844115</v>
      </c>
      <c r="AO146" s="17">
        <f t="shared" si="26"/>
        <v>42.326996197718628</v>
      </c>
      <c r="AP146" s="17">
        <f t="shared" si="27"/>
        <v>24.393536121673002</v>
      </c>
    </row>
    <row r="147" spans="1:43" s="4" customFormat="1" x14ac:dyDescent="0.25">
      <c r="A147" s="4" t="s">
        <v>69</v>
      </c>
      <c r="B147" s="4" t="s">
        <v>123</v>
      </c>
      <c r="C147" s="4">
        <v>2</v>
      </c>
      <c r="E147" s="4" t="s">
        <v>12</v>
      </c>
      <c r="F147" s="4">
        <v>526</v>
      </c>
      <c r="G147" s="4">
        <v>7.3</v>
      </c>
      <c r="H147" s="4">
        <v>20.100000000000001</v>
      </c>
      <c r="I147" s="4">
        <v>24</v>
      </c>
      <c r="J147" s="4">
        <v>40.200000000000003</v>
      </c>
      <c r="K147" s="4">
        <v>32.700000000000003</v>
      </c>
      <c r="L147" s="4">
        <v>7.5</v>
      </c>
      <c r="M147" s="4">
        <v>8.1999999999999993</v>
      </c>
      <c r="N147" s="4">
        <v>26.6</v>
      </c>
      <c r="O147" s="4">
        <v>18.5</v>
      </c>
      <c r="P147" s="4">
        <v>25.3</v>
      </c>
      <c r="Q147" s="4">
        <v>38.4</v>
      </c>
      <c r="R147" s="4">
        <v>14.1</v>
      </c>
      <c r="S147" s="4" t="s">
        <v>70</v>
      </c>
      <c r="T147" s="10"/>
      <c r="V147" s="17">
        <f>G147*'IAA digestibility'!G147</f>
        <v>6.4969999999999999</v>
      </c>
      <c r="W147" s="17">
        <f>H147*'IAA digestibility'!H147</f>
        <v>17.487000000000002</v>
      </c>
      <c r="X147" s="17">
        <f>I147*'IAA digestibility'!I147</f>
        <v>21.36</v>
      </c>
      <c r="Y147" s="17">
        <f>J147*'IAA digestibility'!J147</f>
        <v>35.778000000000006</v>
      </c>
      <c r="Z147" s="17">
        <f>K147*'IAA digestibility'!K147</f>
        <v>29.430000000000003</v>
      </c>
      <c r="AA147" s="17">
        <f>L147*'IAA digestibility'!L147</f>
        <v>6.8250000000000002</v>
      </c>
      <c r="AB147" s="17">
        <f>M147*'IAA digestibility'!M147</f>
        <v>7.0519999999999996</v>
      </c>
      <c r="AC147" s="17">
        <f>N147*'IAA digestibility'!N147</f>
        <v>23.94</v>
      </c>
      <c r="AD147" s="17">
        <f>O147*'IAA digestibility'!O147</f>
        <v>16.835000000000001</v>
      </c>
      <c r="AE147" s="17">
        <f>P147*'IAA digestibility'!P147</f>
        <v>22.263999999999999</v>
      </c>
      <c r="AF147" s="17">
        <f>R147*'IAA digestibility'!R147</f>
        <v>12.831</v>
      </c>
      <c r="AG147" s="25"/>
      <c r="AH147" s="17">
        <f t="shared" si="19"/>
        <v>12.35171102661597</v>
      </c>
      <c r="AI147" s="17">
        <f t="shared" si="20"/>
        <v>33.245247148288975</v>
      </c>
      <c r="AJ147" s="17">
        <f t="shared" si="21"/>
        <v>40.608365019011401</v>
      </c>
      <c r="AK147" s="17">
        <f t="shared" si="22"/>
        <v>68.019011406844115</v>
      </c>
      <c r="AL147" s="17">
        <f t="shared" si="23"/>
        <v>55.950570342205332</v>
      </c>
      <c r="AM147" s="17">
        <f t="shared" si="24"/>
        <v>26.382129277566538</v>
      </c>
      <c r="AN147" s="18">
        <f t="shared" si="25"/>
        <v>77.519011406844115</v>
      </c>
      <c r="AO147" s="17">
        <f t="shared" si="26"/>
        <v>42.326996197718628</v>
      </c>
      <c r="AP147" s="17">
        <f t="shared" si="27"/>
        <v>24.393536121673002</v>
      </c>
    </row>
    <row r="148" spans="1:43" s="4" customFormat="1" x14ac:dyDescent="0.25">
      <c r="A148" s="4" t="s">
        <v>71</v>
      </c>
      <c r="B148" s="4" t="s">
        <v>123</v>
      </c>
      <c r="C148" s="4">
        <v>2</v>
      </c>
      <c r="E148" s="4" t="s">
        <v>12</v>
      </c>
      <c r="F148" s="4">
        <v>552</v>
      </c>
      <c r="G148" s="4">
        <v>7.7</v>
      </c>
      <c r="H148" s="4">
        <v>20.9</v>
      </c>
      <c r="I148" s="4">
        <v>25.1</v>
      </c>
      <c r="J148" s="4">
        <v>42.2</v>
      </c>
      <c r="K148" s="4">
        <v>34.299999999999997</v>
      </c>
      <c r="L148" s="4">
        <v>7.9</v>
      </c>
      <c r="M148" s="4">
        <v>8.6999999999999993</v>
      </c>
      <c r="N148" s="4">
        <v>27.9</v>
      </c>
      <c r="O148" s="4">
        <v>19.399999999999999</v>
      </c>
      <c r="P148" s="4">
        <v>26.6</v>
      </c>
      <c r="Q148" s="4">
        <v>40.299999999999997</v>
      </c>
      <c r="R148" s="4">
        <v>14.7</v>
      </c>
      <c r="S148" s="4" t="s">
        <v>72</v>
      </c>
      <c r="T148" s="10"/>
      <c r="V148" s="17">
        <f>G148*'IAA digestibility'!G148</f>
        <v>7.0070000000000006</v>
      </c>
      <c r="W148" s="17">
        <f>H148*'IAA digestibility'!H148</f>
        <v>18.600999999999999</v>
      </c>
      <c r="X148" s="17">
        <f>I148*'IAA digestibility'!I148</f>
        <v>22.841000000000001</v>
      </c>
      <c r="Y148" s="17">
        <f>J148*'IAA digestibility'!J148</f>
        <v>38.402000000000001</v>
      </c>
      <c r="Z148" s="17">
        <f>K148*'IAA digestibility'!K148</f>
        <v>31.555999999999997</v>
      </c>
      <c r="AA148" s="17">
        <f>L148*'IAA digestibility'!L148</f>
        <v>7.2680000000000007</v>
      </c>
      <c r="AB148" s="17">
        <f>M148*'IAA digestibility'!M148</f>
        <v>7.7429999999999994</v>
      </c>
      <c r="AC148" s="17">
        <f>N148*'IAA digestibility'!N148</f>
        <v>25.667999999999999</v>
      </c>
      <c r="AD148" s="17">
        <f>O148*'IAA digestibility'!O148</f>
        <v>18.041999999999998</v>
      </c>
      <c r="AE148" s="17">
        <f>P148*'IAA digestibility'!P148</f>
        <v>23.94</v>
      </c>
      <c r="AF148" s="17">
        <f>R148*'IAA digestibility'!R148</f>
        <v>13.523999999999999</v>
      </c>
      <c r="AG148" s="25"/>
      <c r="AH148" s="17">
        <f t="shared" si="19"/>
        <v>12.693840579710146</v>
      </c>
      <c r="AI148" s="17">
        <f t="shared" si="20"/>
        <v>33.697463768115945</v>
      </c>
      <c r="AJ148" s="17">
        <f t="shared" si="21"/>
        <v>41.378623188405804</v>
      </c>
      <c r="AK148" s="17">
        <f t="shared" si="22"/>
        <v>69.568840579710141</v>
      </c>
      <c r="AL148" s="17">
        <f t="shared" si="23"/>
        <v>57.166666666666664</v>
      </c>
      <c r="AM148" s="17">
        <f t="shared" si="24"/>
        <v>27.193840579710145</v>
      </c>
      <c r="AN148" s="18">
        <f t="shared" si="25"/>
        <v>79.184782608695642</v>
      </c>
      <c r="AO148" s="17">
        <f t="shared" si="26"/>
        <v>43.369565217391305</v>
      </c>
      <c r="AP148" s="17">
        <f t="shared" si="27"/>
        <v>24.499999999999996</v>
      </c>
    </row>
    <row r="149" spans="1:43" s="4" customFormat="1" x14ac:dyDescent="0.25">
      <c r="A149" s="4" t="s">
        <v>265</v>
      </c>
      <c r="B149" s="4" t="s">
        <v>123</v>
      </c>
      <c r="C149" s="4">
        <v>12</v>
      </c>
      <c r="E149" s="4" t="s">
        <v>12</v>
      </c>
      <c r="F149" s="4">
        <v>433</v>
      </c>
      <c r="G149" s="4">
        <v>5.9</v>
      </c>
      <c r="H149" s="4">
        <v>17</v>
      </c>
      <c r="I149" s="4">
        <v>20.8</v>
      </c>
      <c r="J149" s="4">
        <v>34</v>
      </c>
      <c r="K149" s="4">
        <v>28.1</v>
      </c>
      <c r="L149" s="4">
        <v>6</v>
      </c>
      <c r="M149" s="4">
        <v>5.8</v>
      </c>
      <c r="N149" s="4">
        <v>22.5</v>
      </c>
      <c r="O149" s="4">
        <v>16.100000000000001</v>
      </c>
      <c r="P149" s="4">
        <v>21.4</v>
      </c>
      <c r="Q149" s="4">
        <v>31.3</v>
      </c>
      <c r="R149" s="4">
        <v>11.4</v>
      </c>
      <c r="S149" s="4" t="s">
        <v>264</v>
      </c>
      <c r="T149" s="10"/>
      <c r="V149" s="17">
        <f>G149*'IAA digestibility'!G149</f>
        <v>5.3749000000000002</v>
      </c>
      <c r="W149" s="17">
        <f>H149*'IAA digestibility'!H149</f>
        <v>14.245999999999999</v>
      </c>
      <c r="X149" s="17">
        <f>I149*'IAA digestibility'!I149</f>
        <v>18.241600000000002</v>
      </c>
      <c r="Y149" s="17">
        <f>J149*'IAA digestibility'!J149</f>
        <v>29.648</v>
      </c>
      <c r="Z149" s="17">
        <f>K149*'IAA digestibility'!K149</f>
        <v>24.447000000000003</v>
      </c>
      <c r="AA149" s="17">
        <f>L149*'IAA digestibility'!L149</f>
        <v>5.3639999999999999</v>
      </c>
      <c r="AB149" s="17">
        <f>M149*'IAA digestibility'!M149</f>
        <v>4.7038000000000002</v>
      </c>
      <c r="AC149" s="17">
        <f>N149*'IAA digestibility'!N149</f>
        <v>19.7775</v>
      </c>
      <c r="AD149" s="17">
        <f>O149*'IAA digestibility'!O149</f>
        <v>14.071400000000001</v>
      </c>
      <c r="AE149" s="17">
        <f>P149*'IAA digestibility'!P149</f>
        <v>18.339799999999997</v>
      </c>
      <c r="AF149" s="17">
        <f>R149*'IAA digestibility'!R149</f>
        <v>10.0434</v>
      </c>
      <c r="AG149" s="25"/>
      <c r="AH149" s="17">
        <f t="shared" si="19"/>
        <v>12.413163972286375</v>
      </c>
      <c r="AI149" s="17">
        <f t="shared" si="20"/>
        <v>32.900692840646641</v>
      </c>
      <c r="AJ149" s="17">
        <f t="shared" si="21"/>
        <v>42.1284064665127</v>
      </c>
      <c r="AK149" s="17">
        <f t="shared" si="22"/>
        <v>68.471131639722856</v>
      </c>
      <c r="AL149" s="17">
        <f t="shared" si="23"/>
        <v>56.459584295612011</v>
      </c>
      <c r="AM149" s="17">
        <f t="shared" si="24"/>
        <v>23.251270207852194</v>
      </c>
      <c r="AN149" s="18">
        <f t="shared" si="25"/>
        <v>78.172979214780597</v>
      </c>
      <c r="AO149" s="17">
        <f t="shared" si="26"/>
        <v>42.355196304849876</v>
      </c>
      <c r="AP149" s="17">
        <f t="shared" si="27"/>
        <v>23.194919168591227</v>
      </c>
    </row>
    <row r="150" spans="1:43" s="4" customFormat="1" x14ac:dyDescent="0.25">
      <c r="A150" s="4" t="s">
        <v>266</v>
      </c>
      <c r="B150" s="4" t="s">
        <v>123</v>
      </c>
      <c r="C150" s="4">
        <v>12</v>
      </c>
      <c r="E150" s="4" t="s">
        <v>12</v>
      </c>
      <c r="F150" s="4">
        <v>467</v>
      </c>
      <c r="G150" s="4">
        <v>6.5</v>
      </c>
      <c r="H150" s="4">
        <v>18.100000000000001</v>
      </c>
      <c r="I150" s="4">
        <v>23.6</v>
      </c>
      <c r="J150" s="4">
        <v>37.799999999999997</v>
      </c>
      <c r="K150" s="4">
        <v>30.7</v>
      </c>
      <c r="L150" s="4">
        <v>6.6</v>
      </c>
      <c r="M150" s="4">
        <v>6.6</v>
      </c>
      <c r="N150" s="4">
        <v>24.9</v>
      </c>
      <c r="O150" s="4">
        <v>17.2</v>
      </c>
      <c r="P150" s="4">
        <v>24.4</v>
      </c>
      <c r="Q150" s="4">
        <v>35.5</v>
      </c>
      <c r="R150" s="4">
        <v>12.8</v>
      </c>
      <c r="S150" s="4" t="s">
        <v>264</v>
      </c>
      <c r="T150" s="10"/>
      <c r="V150" s="17">
        <f>G150*'IAA digestibility'!G150</f>
        <v>5.9215</v>
      </c>
      <c r="W150" s="17">
        <f>H150*'IAA digestibility'!H150</f>
        <v>15.511700000000001</v>
      </c>
      <c r="X150" s="17">
        <f>I150*'IAA digestibility'!I150</f>
        <v>21.074800000000003</v>
      </c>
      <c r="Y150" s="17">
        <f>J150*'IAA digestibility'!J150</f>
        <v>33.641999999999996</v>
      </c>
      <c r="Z150" s="17">
        <f>K150*'IAA digestibility'!K150</f>
        <v>27.261600000000001</v>
      </c>
      <c r="AA150" s="17">
        <f>L150*'IAA digestibility'!L150</f>
        <v>5.9729999999999999</v>
      </c>
      <c r="AB150" s="17">
        <f>M150*'IAA digestibility'!M150</f>
        <v>5.4779999999999998</v>
      </c>
      <c r="AC150" s="17">
        <f>N150*'IAA digestibility'!N150</f>
        <v>22.285499999999999</v>
      </c>
      <c r="AD150" s="17">
        <f>O150*'IAA digestibility'!O150</f>
        <v>15.48</v>
      </c>
      <c r="AE150" s="17">
        <f>P150*'IAA digestibility'!P150</f>
        <v>21.398799999999998</v>
      </c>
      <c r="AF150" s="17">
        <f>R150*'IAA digestibility'!R150</f>
        <v>11.558400000000001</v>
      </c>
      <c r="AG150" s="25"/>
      <c r="AH150" s="17">
        <f t="shared" si="19"/>
        <v>12.679871520342612</v>
      </c>
      <c r="AI150" s="17">
        <f t="shared" si="20"/>
        <v>33.215631691648824</v>
      </c>
      <c r="AJ150" s="17">
        <f t="shared" si="21"/>
        <v>45.128051391862961</v>
      </c>
      <c r="AK150" s="17">
        <f t="shared" si="22"/>
        <v>72.038543897216272</v>
      </c>
      <c r="AL150" s="17">
        <f t="shared" si="23"/>
        <v>58.376017130620987</v>
      </c>
      <c r="AM150" s="17">
        <f t="shared" si="24"/>
        <v>24.520342612419704</v>
      </c>
      <c r="AN150" s="18">
        <f t="shared" si="25"/>
        <v>80.868308351177745</v>
      </c>
      <c r="AO150" s="17">
        <f t="shared" si="26"/>
        <v>45.821841541755887</v>
      </c>
      <c r="AP150" s="17">
        <f t="shared" si="27"/>
        <v>24.750321199143471</v>
      </c>
    </row>
    <row r="151" spans="1:43" s="4" customFormat="1" x14ac:dyDescent="0.25">
      <c r="A151" s="4" t="s">
        <v>103</v>
      </c>
      <c r="B151" s="4" t="s">
        <v>123</v>
      </c>
      <c r="C151" s="4">
        <v>2</v>
      </c>
      <c r="E151" s="4" t="s">
        <v>12</v>
      </c>
      <c r="F151" s="4">
        <v>360</v>
      </c>
      <c r="G151" s="4">
        <v>4.5999999999999996</v>
      </c>
      <c r="H151" s="4">
        <v>13</v>
      </c>
      <c r="I151" s="4">
        <v>14.7</v>
      </c>
      <c r="J151" s="4">
        <v>22</v>
      </c>
      <c r="K151" s="4">
        <v>12.9</v>
      </c>
      <c r="L151" s="4">
        <v>8.1</v>
      </c>
      <c r="M151" s="4">
        <v>6.1</v>
      </c>
      <c r="N151" s="4">
        <v>15.8</v>
      </c>
      <c r="O151" s="4">
        <v>8.4</v>
      </c>
      <c r="P151" s="4">
        <v>17.600000000000001</v>
      </c>
      <c r="Q151" s="4">
        <v>29.2</v>
      </c>
      <c r="R151" s="4">
        <v>8.6</v>
      </c>
      <c r="S151" s="4" t="s">
        <v>104</v>
      </c>
      <c r="T151" s="10"/>
      <c r="V151" s="17">
        <f>G151*'IAA digestibility'!G151</f>
        <v>3.8639999999999994</v>
      </c>
      <c r="W151" s="17">
        <f>H151*'IAA digestibility'!H151</f>
        <v>10.530000000000001</v>
      </c>
      <c r="X151" s="17">
        <f>I151*'IAA digestibility'!I151</f>
        <v>12.494999999999999</v>
      </c>
      <c r="Y151" s="17">
        <f>J151*'IAA digestibility'!J151</f>
        <v>18.7</v>
      </c>
      <c r="Z151" s="17">
        <f>K151*'IAA digestibility'!K151</f>
        <v>10.577999999999999</v>
      </c>
      <c r="AA151" s="17">
        <f>L151*'IAA digestibility'!L151</f>
        <v>7.452</v>
      </c>
      <c r="AB151" s="17">
        <f>M151*'IAA digestibility'!M151</f>
        <v>5.0019999999999998</v>
      </c>
      <c r="AC151" s="17">
        <f>N151*'IAA digestibility'!N151</f>
        <v>13.746</v>
      </c>
      <c r="AD151" s="17">
        <f>O151*'IAA digestibility'!O151</f>
        <v>7.4760000000000009</v>
      </c>
      <c r="AE151" s="17">
        <f>P151*'IAA digestibility'!P151</f>
        <v>14.608000000000001</v>
      </c>
      <c r="AF151" s="17">
        <f>R151*'IAA digestibility'!R151</f>
        <v>7.2239999999999993</v>
      </c>
      <c r="AG151" s="25"/>
      <c r="AH151" s="17">
        <f t="shared" si="19"/>
        <v>10.733333333333333</v>
      </c>
      <c r="AI151" s="17">
        <f t="shared" si="20"/>
        <v>29.25</v>
      </c>
      <c r="AJ151" s="17">
        <f t="shared" si="21"/>
        <v>34.708333333333336</v>
      </c>
      <c r="AK151" s="17">
        <f t="shared" si="22"/>
        <v>51.944444444444443</v>
      </c>
      <c r="AL151" s="17">
        <f t="shared" si="23"/>
        <v>29.383333333333329</v>
      </c>
      <c r="AM151" s="17">
        <f t="shared" si="24"/>
        <v>34.594444444444449</v>
      </c>
      <c r="AN151" s="18">
        <f t="shared" si="25"/>
        <v>58.95</v>
      </c>
      <c r="AO151" s="17">
        <f t="shared" si="26"/>
        <v>40.577777777777783</v>
      </c>
      <c r="AP151" s="17">
        <f t="shared" si="27"/>
        <v>20.066666666666663</v>
      </c>
    </row>
    <row r="152" spans="1:43" s="4" customFormat="1" x14ac:dyDescent="0.25">
      <c r="A152" s="4" t="s">
        <v>105</v>
      </c>
      <c r="B152" s="4" t="s">
        <v>123</v>
      </c>
      <c r="C152" s="4">
        <v>2</v>
      </c>
      <c r="E152" s="4" t="s">
        <v>12</v>
      </c>
      <c r="F152" s="4">
        <v>258</v>
      </c>
      <c r="G152" s="4">
        <v>3.4</v>
      </c>
      <c r="H152" s="4">
        <v>9.5</v>
      </c>
      <c r="I152" s="4">
        <v>10.5</v>
      </c>
      <c r="J152" s="4">
        <v>15.6</v>
      </c>
      <c r="K152" s="4">
        <v>9.6999999999999993</v>
      </c>
      <c r="L152" s="4">
        <v>5.8</v>
      </c>
      <c r="M152" s="4">
        <v>4.4000000000000004</v>
      </c>
      <c r="N152" s="4">
        <v>11.3</v>
      </c>
      <c r="O152" s="4">
        <v>6.1</v>
      </c>
      <c r="P152" s="4">
        <v>12.4</v>
      </c>
      <c r="Q152" s="4">
        <v>20.3</v>
      </c>
      <c r="R152" s="4">
        <v>6.3</v>
      </c>
      <c r="S152" s="4" t="s">
        <v>106</v>
      </c>
      <c r="T152" s="10"/>
      <c r="V152" s="17">
        <f>G152*'IAA digestibility'!G152</f>
        <v>2.5499999999999998</v>
      </c>
      <c r="W152" s="17">
        <f>H152*'IAA digestibility'!H152</f>
        <v>6.9349999999999996</v>
      </c>
      <c r="X152" s="17">
        <f>I152*'IAA digestibility'!I152</f>
        <v>8.19</v>
      </c>
      <c r="Y152" s="17">
        <f>J152*'IAA digestibility'!J152</f>
        <v>12.324</v>
      </c>
      <c r="Z152" s="17">
        <f>K152*'IAA digestibility'!K152</f>
        <v>7.3719999999999999</v>
      </c>
      <c r="AA152" s="17">
        <f>L152*'IAA digestibility'!L152</f>
        <v>4.9879999999999995</v>
      </c>
      <c r="AB152" s="17">
        <f>M152*'IAA digestibility'!M152</f>
        <v>3.1680000000000001</v>
      </c>
      <c r="AC152" s="17">
        <f>N152*'IAA digestibility'!N152</f>
        <v>9.266</v>
      </c>
      <c r="AD152" s="17">
        <f>O152*'IAA digestibility'!O152</f>
        <v>5.2459999999999996</v>
      </c>
      <c r="AE152" s="17">
        <f>P152*'IAA digestibility'!P152</f>
        <v>9.4240000000000013</v>
      </c>
      <c r="AF152" s="17">
        <f>R152*'IAA digestibility'!R152</f>
        <v>5.1029999999999998</v>
      </c>
      <c r="AG152" s="25"/>
      <c r="AH152" s="17">
        <f t="shared" si="19"/>
        <v>9.8837209302325579</v>
      </c>
      <c r="AI152" s="17">
        <f t="shared" si="20"/>
        <v>26.879844961240309</v>
      </c>
      <c r="AJ152" s="17">
        <f t="shared" si="21"/>
        <v>31.744186046511629</v>
      </c>
      <c r="AK152" s="17">
        <f t="shared" si="22"/>
        <v>47.767441860465119</v>
      </c>
      <c r="AL152" s="17">
        <f t="shared" si="23"/>
        <v>28.573643410852711</v>
      </c>
      <c r="AM152" s="17">
        <f t="shared" si="24"/>
        <v>31.61240310077519</v>
      </c>
      <c r="AN152" s="18">
        <f t="shared" si="25"/>
        <v>56.248062015503876</v>
      </c>
      <c r="AO152" s="17">
        <f t="shared" si="26"/>
        <v>36.527131782945737</v>
      </c>
      <c r="AP152" s="17">
        <f t="shared" si="27"/>
        <v>19.779069767441861</v>
      </c>
    </row>
    <row r="153" spans="1:43" s="4" customFormat="1" x14ac:dyDescent="0.25">
      <c r="A153" s="4" t="s">
        <v>107</v>
      </c>
      <c r="B153" s="4" t="s">
        <v>123</v>
      </c>
      <c r="C153" s="4">
        <v>2</v>
      </c>
      <c r="E153" s="4" t="s">
        <v>12</v>
      </c>
      <c r="F153" s="4">
        <v>404</v>
      </c>
      <c r="G153" s="4">
        <v>5.0999999999999996</v>
      </c>
      <c r="H153" s="4">
        <v>14.6</v>
      </c>
      <c r="I153" s="4">
        <v>16.600000000000001</v>
      </c>
      <c r="J153" s="4">
        <v>24.8</v>
      </c>
      <c r="K153" s="4">
        <v>14.4</v>
      </c>
      <c r="L153" s="4">
        <v>9.1</v>
      </c>
      <c r="M153" s="4">
        <v>6.8</v>
      </c>
      <c r="N153" s="4">
        <v>17.8</v>
      </c>
      <c r="O153" s="4">
        <v>9.3000000000000007</v>
      </c>
      <c r="P153" s="4">
        <v>19.899999999999999</v>
      </c>
      <c r="Q153" s="4">
        <v>33.200000000000003</v>
      </c>
      <c r="R153" s="4">
        <v>9.6999999999999993</v>
      </c>
      <c r="S153" s="4" t="s">
        <v>108</v>
      </c>
      <c r="T153" s="10"/>
      <c r="V153" s="17">
        <f>G153*'IAA digestibility'!G153</f>
        <v>4.2839999999999998</v>
      </c>
      <c r="W153" s="17">
        <f>H153*'IAA digestibility'!H153</f>
        <v>11.972</v>
      </c>
      <c r="X153" s="17">
        <f>I153*'IAA digestibility'!I153</f>
        <v>13.944000000000001</v>
      </c>
      <c r="Y153" s="17">
        <f>J153*'IAA digestibility'!J153</f>
        <v>21.08</v>
      </c>
      <c r="Z153" s="17">
        <f>K153*'IAA digestibility'!K153</f>
        <v>11.952</v>
      </c>
      <c r="AA153" s="17">
        <f>L153*'IAA digestibility'!L153</f>
        <v>8.2810000000000006</v>
      </c>
      <c r="AB153" s="17">
        <f>M153*'IAA digestibility'!M153</f>
        <v>5.5759999999999996</v>
      </c>
      <c r="AC153" s="17">
        <f>N153*'IAA digestibility'!N153</f>
        <v>15.486000000000001</v>
      </c>
      <c r="AD153" s="17">
        <f>O153*'IAA digestibility'!O153</f>
        <v>8.1840000000000011</v>
      </c>
      <c r="AE153" s="17">
        <f>P153*'IAA digestibility'!P153</f>
        <v>16.516999999999999</v>
      </c>
      <c r="AF153" s="17">
        <f>R153*'IAA digestibility'!R153</f>
        <v>8.1479999999999997</v>
      </c>
      <c r="AG153" s="25"/>
      <c r="AH153" s="17">
        <f t="shared" si="19"/>
        <v>10.603960396039604</v>
      </c>
      <c r="AI153" s="17">
        <f t="shared" si="20"/>
        <v>29.633663366336631</v>
      </c>
      <c r="AJ153" s="17">
        <f t="shared" si="21"/>
        <v>34.514851485148519</v>
      </c>
      <c r="AK153" s="17">
        <f t="shared" si="22"/>
        <v>52.178217821782177</v>
      </c>
      <c r="AL153" s="17">
        <f t="shared" si="23"/>
        <v>29.584158415841582</v>
      </c>
      <c r="AM153" s="17">
        <f t="shared" si="24"/>
        <v>34.299504950495049</v>
      </c>
      <c r="AN153" s="18">
        <f t="shared" si="25"/>
        <v>58.589108910891092</v>
      </c>
      <c r="AO153" s="17">
        <f t="shared" si="26"/>
        <v>40.883663366336634</v>
      </c>
      <c r="AP153" s="17">
        <f t="shared" si="27"/>
        <v>20.168316831683168</v>
      </c>
    </row>
    <row r="154" spans="1:43" s="4" customFormat="1" x14ac:dyDescent="0.25">
      <c r="A154" s="4" t="s">
        <v>109</v>
      </c>
      <c r="B154" s="4" t="s">
        <v>123</v>
      </c>
      <c r="C154" s="4">
        <v>2</v>
      </c>
      <c r="E154" s="4" t="s">
        <v>12</v>
      </c>
      <c r="F154" s="4">
        <v>307</v>
      </c>
      <c r="G154" s="4">
        <v>3.9</v>
      </c>
      <c r="H154" s="4">
        <v>11.2</v>
      </c>
      <c r="I154" s="4">
        <v>12.5</v>
      </c>
      <c r="J154" s="4">
        <v>18.7</v>
      </c>
      <c r="K154" s="4">
        <v>11.2</v>
      </c>
      <c r="L154" s="4">
        <v>6.9</v>
      </c>
      <c r="M154" s="4">
        <v>5.2</v>
      </c>
      <c r="N154" s="4">
        <v>13.5</v>
      </c>
      <c r="O154" s="4">
        <v>7.2</v>
      </c>
      <c r="P154" s="4">
        <v>14.9</v>
      </c>
      <c r="Q154" s="4">
        <v>24.6</v>
      </c>
      <c r="R154" s="4">
        <v>7.4</v>
      </c>
      <c r="S154" s="4" t="s">
        <v>110</v>
      </c>
      <c r="T154" s="10"/>
      <c r="V154" s="17">
        <f>G154*'IAA digestibility'!G154</f>
        <v>2.9249999999999998</v>
      </c>
      <c r="W154" s="17">
        <f>H154*'IAA digestibility'!H154</f>
        <v>8.1760000000000002</v>
      </c>
      <c r="X154" s="17">
        <f>I154*'IAA digestibility'!I154</f>
        <v>9.75</v>
      </c>
      <c r="Y154" s="17">
        <f>J154*'IAA digestibility'!J154</f>
        <v>14.773</v>
      </c>
      <c r="Z154" s="17">
        <f>K154*'IAA digestibility'!K154</f>
        <v>8.5119999999999987</v>
      </c>
      <c r="AA154" s="17">
        <f>L154*'IAA digestibility'!L154</f>
        <v>5.9340000000000002</v>
      </c>
      <c r="AB154" s="17">
        <f>M154*'IAA digestibility'!M154</f>
        <v>3.7439999999999998</v>
      </c>
      <c r="AC154" s="17">
        <f>N154*'IAA digestibility'!N154</f>
        <v>11.069999999999999</v>
      </c>
      <c r="AD154" s="17">
        <f>O154*'IAA digestibility'!O154</f>
        <v>6.1920000000000002</v>
      </c>
      <c r="AE154" s="17">
        <f>P154*'IAA digestibility'!P154</f>
        <v>11.324</v>
      </c>
      <c r="AF154" s="17">
        <f>R154*'IAA digestibility'!R154</f>
        <v>5.9940000000000007</v>
      </c>
      <c r="AG154" s="25"/>
      <c r="AH154" s="17">
        <f t="shared" si="19"/>
        <v>9.5276872964169375</v>
      </c>
      <c r="AI154" s="17">
        <f t="shared" si="20"/>
        <v>26.631921824104236</v>
      </c>
      <c r="AJ154" s="17">
        <f t="shared" si="21"/>
        <v>31.758957654723126</v>
      </c>
      <c r="AK154" s="17">
        <f t="shared" si="22"/>
        <v>48.120521172638441</v>
      </c>
      <c r="AL154" s="17">
        <f t="shared" si="23"/>
        <v>27.726384364820845</v>
      </c>
      <c r="AM154" s="17">
        <f t="shared" si="24"/>
        <v>31.524429967426716</v>
      </c>
      <c r="AN154" s="18">
        <f t="shared" si="25"/>
        <v>56.22801302931596</v>
      </c>
      <c r="AO154" s="17">
        <f t="shared" si="26"/>
        <v>36.88599348534202</v>
      </c>
      <c r="AP154" s="17">
        <f t="shared" si="27"/>
        <v>19.524429967426713</v>
      </c>
    </row>
    <row r="155" spans="1:43" s="6" customFormat="1" x14ac:dyDescent="0.25">
      <c r="V155" s="31"/>
      <c r="W155" s="31"/>
      <c r="X155" s="31"/>
      <c r="Y155" s="31"/>
      <c r="Z155" s="31"/>
      <c r="AA155" s="31"/>
      <c r="AB155" s="31"/>
      <c r="AC155" s="31"/>
      <c r="AD155" s="31"/>
      <c r="AE155" s="31"/>
      <c r="AF155" s="31"/>
      <c r="AG155" s="31"/>
      <c r="AH155" s="31"/>
      <c r="AI155" s="31"/>
      <c r="AJ155" s="31"/>
      <c r="AK155" s="31"/>
      <c r="AL155" s="31"/>
      <c r="AM155" s="31"/>
      <c r="AN155" s="30"/>
      <c r="AO155" s="31"/>
      <c r="AP155" s="31"/>
    </row>
    <row r="156" spans="1:43" s="4" customFormat="1" x14ac:dyDescent="0.25">
      <c r="A156" s="4" t="s">
        <v>192</v>
      </c>
      <c r="B156" s="4" t="s">
        <v>212</v>
      </c>
      <c r="C156" s="4">
        <v>2</v>
      </c>
      <c r="E156" s="4" t="s">
        <v>12</v>
      </c>
      <c r="F156" s="4">
        <v>678</v>
      </c>
      <c r="G156" s="4">
        <v>6.6</v>
      </c>
      <c r="H156" s="4">
        <v>28.1</v>
      </c>
      <c r="I156" s="4">
        <v>27.7</v>
      </c>
      <c r="J156" s="4">
        <v>48.5</v>
      </c>
      <c r="K156" s="4">
        <v>50.7</v>
      </c>
      <c r="L156" s="4">
        <v>18</v>
      </c>
      <c r="M156" s="4">
        <v>6</v>
      </c>
      <c r="N156" s="4">
        <v>26.5</v>
      </c>
      <c r="O156" s="4">
        <v>20.399999999999999</v>
      </c>
      <c r="P156" s="4">
        <v>33.799999999999997</v>
      </c>
      <c r="Q156" s="4">
        <v>40.5</v>
      </c>
      <c r="R156" s="4">
        <v>17.600000000000001</v>
      </c>
      <c r="S156" s="4" t="s">
        <v>193</v>
      </c>
      <c r="T156" s="10"/>
      <c r="V156" s="17">
        <f>G156*'IAA digestibility'!G156</f>
        <v>5.6759999999999993</v>
      </c>
      <c r="W156" s="17">
        <f>H156*'IAA digestibility'!H156</f>
        <v>25.009</v>
      </c>
      <c r="X156" s="17">
        <f>I156*'IAA digestibility'!I156</f>
        <v>25.207000000000001</v>
      </c>
      <c r="Y156" s="17">
        <f>J156*'IAA digestibility'!J156</f>
        <v>44.620000000000005</v>
      </c>
      <c r="Z156" s="17">
        <f>K156*'IAA digestibility'!K156</f>
        <v>46.137000000000008</v>
      </c>
      <c r="AA156" s="17">
        <f>L156*'IAA digestibility'!L156</f>
        <v>16.560000000000002</v>
      </c>
      <c r="AB156" s="17">
        <f>M156*'IAA digestibility'!M156</f>
        <v>5.16</v>
      </c>
      <c r="AC156" s="17">
        <f>N156*'IAA digestibility'!N156</f>
        <v>24.115000000000002</v>
      </c>
      <c r="AD156" s="17">
        <f>O156*'IAA digestibility'!O156</f>
        <v>18.564</v>
      </c>
      <c r="AE156" s="17">
        <f>P156*'IAA digestibility'!P156</f>
        <v>30.419999999999998</v>
      </c>
      <c r="AF156" s="17">
        <f>R156*'IAA digestibility'!R156</f>
        <v>15.664000000000001</v>
      </c>
      <c r="AG156" s="25"/>
      <c r="AH156" s="17">
        <f t="shared" si="19"/>
        <v>8.3716814159292028</v>
      </c>
      <c r="AI156" s="17">
        <f t="shared" si="20"/>
        <v>36.886430678466077</v>
      </c>
      <c r="AJ156" s="17">
        <f t="shared" si="21"/>
        <v>37.178466076696161</v>
      </c>
      <c r="AK156" s="17">
        <f t="shared" si="22"/>
        <v>65.811209439528028</v>
      </c>
      <c r="AL156" s="17">
        <f t="shared" si="23"/>
        <v>68.048672566371692</v>
      </c>
      <c r="AM156" s="17">
        <f t="shared" si="24"/>
        <v>32.035398230088497</v>
      </c>
      <c r="AN156" s="18">
        <f t="shared" si="25"/>
        <v>62.948377581120944</v>
      </c>
      <c r="AO156" s="17">
        <f t="shared" si="26"/>
        <v>44.86725663716814</v>
      </c>
      <c r="AP156" s="17">
        <f t="shared" si="27"/>
        <v>23.103244837758115</v>
      </c>
    </row>
    <row r="157" spans="1:43" s="4" customFormat="1" x14ac:dyDescent="0.25">
      <c r="A157" s="4" t="s">
        <v>196</v>
      </c>
      <c r="B157" s="4" t="s">
        <v>212</v>
      </c>
      <c r="C157" s="4">
        <v>2</v>
      </c>
      <c r="E157" s="4" t="s">
        <v>12</v>
      </c>
      <c r="F157" s="4">
        <v>707</v>
      </c>
      <c r="G157" s="4">
        <v>7.1</v>
      </c>
      <c r="H157" s="4">
        <v>29.3</v>
      </c>
      <c r="I157" s="4">
        <v>29.3</v>
      </c>
      <c r="J157" s="4">
        <v>50.7</v>
      </c>
      <c r="K157" s="4">
        <v>53.1</v>
      </c>
      <c r="L157" s="4">
        <v>19.2</v>
      </c>
      <c r="M157" s="4">
        <v>6.1</v>
      </c>
      <c r="N157" s="4">
        <v>27.6</v>
      </c>
      <c r="O157" s="4">
        <v>21.5</v>
      </c>
      <c r="P157" s="4">
        <v>35.200000000000003</v>
      </c>
      <c r="Q157" s="4">
        <v>43.9</v>
      </c>
      <c r="R157" s="4">
        <v>17.7</v>
      </c>
      <c r="S157" s="4" t="s">
        <v>197</v>
      </c>
      <c r="T157" s="10"/>
      <c r="V157" s="17">
        <f>G157*'IAA digestibility'!G157</f>
        <v>6.319</v>
      </c>
      <c r="W157" s="17">
        <f>H157*'IAA digestibility'!H157</f>
        <v>26.956000000000003</v>
      </c>
      <c r="X157" s="17">
        <f>I157*'IAA digestibility'!I157</f>
        <v>27.249000000000002</v>
      </c>
      <c r="Y157" s="17">
        <f>J157*'IAA digestibility'!J157</f>
        <v>47.658000000000001</v>
      </c>
      <c r="Z157" s="17">
        <f>K157*'IAA digestibility'!K157</f>
        <v>49.383000000000003</v>
      </c>
      <c r="AA157" s="17">
        <f>L157*'IAA digestibility'!L157</f>
        <v>17.856000000000002</v>
      </c>
      <c r="AB157" s="17">
        <f>M157*'IAA digestibility'!M157</f>
        <v>5.2459999999999996</v>
      </c>
      <c r="AC157" s="17">
        <f>N157*'IAA digestibility'!N157</f>
        <v>25.392000000000003</v>
      </c>
      <c r="AD157" s="17">
        <f>O157*'IAA digestibility'!O157</f>
        <v>19.78</v>
      </c>
      <c r="AE157" s="17">
        <f>P157*'IAA digestibility'!P157</f>
        <v>32.384000000000007</v>
      </c>
      <c r="AF157" s="17">
        <f>R157*'IAA digestibility'!R157</f>
        <v>15.753</v>
      </c>
      <c r="AG157" s="25"/>
      <c r="AH157" s="17">
        <f t="shared" si="19"/>
        <v>8.9377652050919387</v>
      </c>
      <c r="AI157" s="17">
        <f t="shared" si="20"/>
        <v>38.127298444130133</v>
      </c>
      <c r="AJ157" s="17">
        <f t="shared" si="21"/>
        <v>38.541725601131546</v>
      </c>
      <c r="AK157" s="17">
        <f t="shared" si="22"/>
        <v>67.40876944837342</v>
      </c>
      <c r="AL157" s="17">
        <f t="shared" si="23"/>
        <v>69.84865629420085</v>
      </c>
      <c r="AM157" s="17">
        <f t="shared" si="24"/>
        <v>32.676096181046681</v>
      </c>
      <c r="AN157" s="18">
        <f t="shared" si="25"/>
        <v>63.892503536067899</v>
      </c>
      <c r="AO157" s="17">
        <f t="shared" si="26"/>
        <v>45.804809052333816</v>
      </c>
      <c r="AP157" s="17">
        <f t="shared" si="27"/>
        <v>22.281471004243279</v>
      </c>
    </row>
    <row r="158" spans="1:43" s="4" customFormat="1" x14ac:dyDescent="0.25">
      <c r="A158" s="4" t="s">
        <v>198</v>
      </c>
      <c r="B158" s="4" t="s">
        <v>212</v>
      </c>
      <c r="C158" s="4">
        <v>2</v>
      </c>
      <c r="E158" s="4" t="s">
        <v>12</v>
      </c>
      <c r="F158" s="4">
        <v>748</v>
      </c>
      <c r="G158" s="4">
        <v>7.7</v>
      </c>
      <c r="H158" s="4">
        <v>31</v>
      </c>
      <c r="I158" s="4">
        <v>31.5</v>
      </c>
      <c r="J158" s="4">
        <v>53.7</v>
      </c>
      <c r="K158" s="4">
        <v>56.4</v>
      </c>
      <c r="L158" s="4">
        <v>20.8</v>
      </c>
      <c r="M158" s="4">
        <v>6.3</v>
      </c>
      <c r="N158" s="4">
        <v>29.1</v>
      </c>
      <c r="O158" s="4">
        <v>23.1</v>
      </c>
      <c r="P158" s="4">
        <v>37.200000000000003</v>
      </c>
      <c r="Q158" s="4">
        <v>48.8</v>
      </c>
      <c r="R158" s="4">
        <v>17.8</v>
      </c>
      <c r="S158" s="4" t="s">
        <v>199</v>
      </c>
      <c r="T158" s="10"/>
      <c r="V158" s="17">
        <f>G158*'IAA digestibility'!G158</f>
        <v>7.0840000000000005</v>
      </c>
      <c r="W158" s="17">
        <f>H158*'IAA digestibility'!H158</f>
        <v>29.139999999999997</v>
      </c>
      <c r="X158" s="17">
        <f>I158*'IAA digestibility'!I158</f>
        <v>29.61</v>
      </c>
      <c r="Y158" s="17">
        <f>J158*'IAA digestibility'!J158</f>
        <v>51.015000000000001</v>
      </c>
      <c r="Z158" s="17">
        <f>K158*'IAA digestibility'!K158</f>
        <v>53.58</v>
      </c>
      <c r="AA158" s="17">
        <f>L158*'IAA digestibility'!L158</f>
        <v>19.759999999999998</v>
      </c>
      <c r="AB158" s="17">
        <f>M158*'IAA digestibility'!M158</f>
        <v>5.4180000000000001</v>
      </c>
      <c r="AC158" s="17">
        <f>N158*'IAA digestibility'!N158</f>
        <v>27.063000000000002</v>
      </c>
      <c r="AD158" s="17">
        <f>O158*'IAA digestibility'!O158</f>
        <v>21.483000000000004</v>
      </c>
      <c r="AE158" s="17">
        <f>P158*'IAA digestibility'!P158</f>
        <v>34.596000000000004</v>
      </c>
      <c r="AF158" s="17">
        <f>R158*'IAA digestibility'!R158</f>
        <v>16.376000000000001</v>
      </c>
      <c r="AG158" s="25"/>
      <c r="AH158" s="17">
        <f t="shared" si="19"/>
        <v>9.4705882352941178</v>
      </c>
      <c r="AI158" s="17">
        <f t="shared" si="20"/>
        <v>38.957219251336895</v>
      </c>
      <c r="AJ158" s="17">
        <f t="shared" si="21"/>
        <v>39.585561497326196</v>
      </c>
      <c r="AK158" s="17">
        <f t="shared" si="22"/>
        <v>68.201871657754012</v>
      </c>
      <c r="AL158" s="17">
        <f t="shared" si="23"/>
        <v>71.631016042780743</v>
      </c>
      <c r="AM158" s="17">
        <f t="shared" si="24"/>
        <v>33.660427807486627</v>
      </c>
      <c r="AN158" s="18">
        <f t="shared" si="25"/>
        <v>64.901069518716582</v>
      </c>
      <c r="AO158" s="17">
        <f t="shared" si="26"/>
        <v>46.251336898395728</v>
      </c>
      <c r="AP158" s="17">
        <f t="shared" si="27"/>
        <v>21.893048128342247</v>
      </c>
    </row>
    <row r="159" spans="1:43" s="4" customFormat="1" x14ac:dyDescent="0.25">
      <c r="A159" s="4" t="s">
        <v>25</v>
      </c>
      <c r="B159" s="4" t="s">
        <v>212</v>
      </c>
      <c r="C159" s="4">
        <v>1</v>
      </c>
      <c r="E159" s="4" t="s">
        <v>12</v>
      </c>
      <c r="G159" s="11"/>
      <c r="M159" s="11"/>
      <c r="O159" s="11"/>
      <c r="T159" s="10"/>
      <c r="V159" s="17"/>
      <c r="W159" s="17"/>
      <c r="X159" s="17"/>
      <c r="Y159" s="17"/>
      <c r="Z159" s="17"/>
      <c r="AA159" s="17"/>
      <c r="AB159" s="17"/>
      <c r="AC159" s="17"/>
      <c r="AD159" s="17"/>
      <c r="AE159" s="17"/>
      <c r="AF159" s="17"/>
      <c r="AG159" s="25"/>
      <c r="AH159" s="17"/>
      <c r="AI159" s="17"/>
      <c r="AJ159" s="17"/>
      <c r="AK159" s="17"/>
      <c r="AL159" s="17"/>
      <c r="AM159" s="17"/>
      <c r="AN159" s="18"/>
      <c r="AO159" s="17"/>
      <c r="AP159" s="17"/>
      <c r="AQ159" s="4" t="s">
        <v>522</v>
      </c>
    </row>
    <row r="160" spans="1:43" s="4" customFormat="1" x14ac:dyDescent="0.25">
      <c r="A160" s="4" t="s">
        <v>279</v>
      </c>
      <c r="B160" s="4" t="s">
        <v>212</v>
      </c>
      <c r="C160" s="4">
        <v>15</v>
      </c>
      <c r="E160" s="4" t="s">
        <v>12</v>
      </c>
      <c r="F160" s="4">
        <v>890.4</v>
      </c>
      <c r="H160" s="4">
        <v>20.301119999999997</v>
      </c>
      <c r="I160" s="4">
        <v>13.08888</v>
      </c>
      <c r="J160" s="4">
        <v>25.8216</v>
      </c>
      <c r="K160" s="4">
        <v>53.423999999999999</v>
      </c>
      <c r="L160" s="4">
        <v>12.109440000000001</v>
      </c>
      <c r="M160" s="4">
        <v>1.3355999999999999</v>
      </c>
      <c r="N160" s="4">
        <v>15.67104</v>
      </c>
      <c r="O160" s="4">
        <v>0</v>
      </c>
      <c r="P160" s="4">
        <v>16.027200000000001</v>
      </c>
      <c r="Q160" s="4">
        <v>43.896719999999995</v>
      </c>
      <c r="R160" s="4">
        <v>13.534079999999999</v>
      </c>
      <c r="T160" s="10"/>
      <c r="V160" s="17"/>
      <c r="W160" s="17">
        <f>H160*'IAA digestibility'!H160</f>
        <v>16.789026239999998</v>
      </c>
      <c r="X160" s="17">
        <f>I160*'IAA digestibility'!I160</f>
        <v>9.9999043200000006</v>
      </c>
      <c r="Y160" s="17">
        <f>J160*'IAA digestibility'!J160</f>
        <v>20.579815200000002</v>
      </c>
      <c r="Z160" s="17">
        <f>K160*'IAA digestibility'!K160</f>
        <v>44.128223999999996</v>
      </c>
      <c r="AA160" s="17">
        <f>L160*'IAA digestibility'!L160</f>
        <v>10.03872576</v>
      </c>
      <c r="AB160" s="17">
        <f>M160*'IAA digestibility'!M160</f>
        <v>1.0684799999999999</v>
      </c>
      <c r="AC160" s="17">
        <f>N160*'IAA digestibility'!N160</f>
        <v>12.677871360000001</v>
      </c>
      <c r="AD160" s="17">
        <f>O160*'IAA digestibility'!O160</f>
        <v>0</v>
      </c>
      <c r="AE160" s="17">
        <f>P160*'IAA digestibility'!P160</f>
        <v>11.779992</v>
      </c>
      <c r="AF160" s="17">
        <f>R160*'IAA digestibility'!R160</f>
        <v>10.63778688</v>
      </c>
      <c r="AG160" s="25"/>
      <c r="AH160" s="17"/>
      <c r="AI160" s="17">
        <f t="shared" si="20"/>
        <v>18.855599999999999</v>
      </c>
      <c r="AJ160" s="17">
        <f t="shared" si="21"/>
        <v>11.2308</v>
      </c>
      <c r="AK160" s="17">
        <f t="shared" si="22"/>
        <v>23.113000000000003</v>
      </c>
      <c r="AL160" s="17">
        <f t="shared" si="23"/>
        <v>49.56</v>
      </c>
      <c r="AM160" s="17">
        <f t="shared" si="24"/>
        <v>12.474399999999999</v>
      </c>
      <c r="AN160" s="18">
        <f t="shared" si="25"/>
        <v>14.238400000000002</v>
      </c>
      <c r="AO160" s="17">
        <f t="shared" si="26"/>
        <v>13.23</v>
      </c>
      <c r="AP160" s="17">
        <f t="shared" si="27"/>
        <v>11.9472</v>
      </c>
    </row>
    <row r="161" spans="1:43" s="4" customFormat="1" x14ac:dyDescent="0.25">
      <c r="A161" s="4" t="s">
        <v>207</v>
      </c>
      <c r="B161" s="4" t="s">
        <v>212</v>
      </c>
      <c r="C161" s="4">
        <v>2</v>
      </c>
      <c r="E161" s="4" t="s">
        <v>12</v>
      </c>
      <c r="F161" s="4">
        <v>433</v>
      </c>
      <c r="G161" s="4">
        <v>4.3</v>
      </c>
      <c r="H161" s="4">
        <v>15.9</v>
      </c>
      <c r="I161" s="4">
        <v>16.3</v>
      </c>
      <c r="J161" s="4">
        <v>26.1</v>
      </c>
      <c r="K161" s="4">
        <v>22</v>
      </c>
      <c r="L161" s="4">
        <v>9.6</v>
      </c>
      <c r="M161" s="4">
        <v>3.9</v>
      </c>
      <c r="N161" s="4">
        <v>23.3</v>
      </c>
      <c r="O161" s="4">
        <v>16.100000000000001</v>
      </c>
      <c r="P161" s="4">
        <v>20.100000000000001</v>
      </c>
      <c r="Q161" s="4">
        <v>25.8</v>
      </c>
      <c r="R161" s="4">
        <v>9.1</v>
      </c>
      <c r="S161" s="4" t="s">
        <v>208</v>
      </c>
      <c r="T161" s="10"/>
      <c r="V161" s="17">
        <f>G161*'IAA digestibility'!G161</f>
        <v>3.1819999999999999</v>
      </c>
      <c r="W161" s="17">
        <f>H161*'IAA digestibility'!H161</f>
        <v>11.606999999999999</v>
      </c>
      <c r="X161" s="17">
        <f>I161*'IAA digestibility'!I161</f>
        <v>12.877000000000001</v>
      </c>
      <c r="Y161" s="17">
        <f>J161*'IAA digestibility'!J161</f>
        <v>21.141000000000002</v>
      </c>
      <c r="Z161" s="17">
        <f>K161*'IAA digestibility'!K161</f>
        <v>16.059999999999999</v>
      </c>
      <c r="AA161" s="17">
        <f>L161*'IAA digestibility'!L161</f>
        <v>7.871999999999999</v>
      </c>
      <c r="AB161" s="17">
        <f>M161*'IAA digestibility'!M161</f>
        <v>2.7689999999999997</v>
      </c>
      <c r="AC161" s="17">
        <f>N161*'IAA digestibility'!N161</f>
        <v>19.105999999999998</v>
      </c>
      <c r="AD161" s="17">
        <f>O161*'IAA digestibility'!O161</f>
        <v>12.880000000000003</v>
      </c>
      <c r="AE161" s="17">
        <f>P161*'IAA digestibility'!P161</f>
        <v>15.477000000000002</v>
      </c>
      <c r="AF161" s="17">
        <f>R161*'IAA digestibility'!R161</f>
        <v>7.1890000000000001</v>
      </c>
      <c r="AG161" s="25"/>
      <c r="AH161" s="17">
        <f t="shared" si="19"/>
        <v>7.3487297921478056</v>
      </c>
      <c r="AI161" s="17">
        <f t="shared" si="20"/>
        <v>26.806004618937642</v>
      </c>
      <c r="AJ161" s="17">
        <f t="shared" si="21"/>
        <v>29.739030023094688</v>
      </c>
      <c r="AK161" s="17">
        <f t="shared" si="22"/>
        <v>48.824480369515015</v>
      </c>
      <c r="AL161" s="17">
        <f t="shared" si="23"/>
        <v>37.090069284064661</v>
      </c>
      <c r="AM161" s="17">
        <f t="shared" si="24"/>
        <v>24.575057736720549</v>
      </c>
      <c r="AN161" s="18">
        <f t="shared" si="25"/>
        <v>73.870669745958438</v>
      </c>
      <c r="AO161" s="17">
        <f t="shared" si="26"/>
        <v>35.74364896073903</v>
      </c>
      <c r="AP161" s="17">
        <f t="shared" si="27"/>
        <v>16.602771362586605</v>
      </c>
    </row>
    <row r="162" spans="1:43" s="6" customFormat="1" x14ac:dyDescent="0.25">
      <c r="G162" s="9"/>
      <c r="M162" s="9"/>
      <c r="O162" s="9"/>
      <c r="V162" s="31"/>
      <c r="W162" s="31"/>
      <c r="X162" s="31"/>
      <c r="Y162" s="31"/>
      <c r="Z162" s="31"/>
      <c r="AA162" s="31"/>
      <c r="AB162" s="31"/>
      <c r="AC162" s="31"/>
      <c r="AD162" s="31"/>
      <c r="AE162" s="31"/>
      <c r="AF162" s="31"/>
      <c r="AG162" s="31"/>
      <c r="AH162" s="31"/>
      <c r="AI162" s="31"/>
      <c r="AJ162" s="31"/>
      <c r="AK162" s="31"/>
      <c r="AL162" s="31"/>
      <c r="AM162" s="31"/>
      <c r="AN162" s="30"/>
      <c r="AO162" s="31"/>
      <c r="AP162" s="31"/>
    </row>
    <row r="163" spans="1:43" s="4" customFormat="1" x14ac:dyDescent="0.25">
      <c r="A163" s="4" t="s">
        <v>232</v>
      </c>
      <c r="B163" s="4" t="s">
        <v>24</v>
      </c>
      <c r="C163" s="4">
        <v>5</v>
      </c>
      <c r="E163" s="4" t="s">
        <v>15</v>
      </c>
      <c r="F163" s="4">
        <v>863</v>
      </c>
      <c r="G163" s="11"/>
      <c r="H163" s="4">
        <v>39.4</v>
      </c>
      <c r="I163" s="4">
        <v>35</v>
      </c>
      <c r="J163" s="4">
        <v>63.8</v>
      </c>
      <c r="K163" s="4">
        <v>60.7</v>
      </c>
      <c r="L163" s="4">
        <v>22.3</v>
      </c>
      <c r="M163" s="11"/>
      <c r="N163" s="4">
        <v>29.1</v>
      </c>
      <c r="O163" s="4">
        <v>27</v>
      </c>
      <c r="P163" s="4">
        <v>37.299999999999997</v>
      </c>
      <c r="Q163" s="4">
        <v>58.2</v>
      </c>
      <c r="R163" s="4">
        <v>28.4</v>
      </c>
      <c r="T163" s="10"/>
      <c r="V163" s="17"/>
      <c r="W163" s="17">
        <f>H163*'IAA digestibility'!H163</f>
        <v>37.784599999999998</v>
      </c>
      <c r="X163" s="17">
        <f>I163*'IAA digestibility'!I163</f>
        <v>34.79</v>
      </c>
      <c r="Y163" s="17">
        <f>J163*'IAA digestibility'!J163</f>
        <v>63.353399999999993</v>
      </c>
      <c r="Z163" s="17">
        <f>K163*'IAA digestibility'!K163</f>
        <v>60.093000000000004</v>
      </c>
      <c r="AA163" s="17">
        <f>L163*'IAA digestibility'!L163</f>
        <v>22.121600000000001</v>
      </c>
      <c r="AB163" s="17"/>
      <c r="AC163" s="17">
        <f>N163*'IAA digestibility'!N163</f>
        <v>28.721700000000002</v>
      </c>
      <c r="AD163" s="17">
        <f>O163*'IAA digestibility'!O163</f>
        <v>26.702999999999999</v>
      </c>
      <c r="AE163" s="17">
        <f>P163*'IAA digestibility'!P163</f>
        <v>36.815099999999994</v>
      </c>
      <c r="AF163" s="17">
        <f>R163*'IAA digestibility'!R163</f>
        <v>27.689999999999998</v>
      </c>
      <c r="AG163" s="25"/>
      <c r="AH163" s="17"/>
      <c r="AI163" s="17">
        <f t="shared" si="20"/>
        <v>43.782850521436842</v>
      </c>
      <c r="AJ163" s="17">
        <f t="shared" si="21"/>
        <v>40.31286210892236</v>
      </c>
      <c r="AK163" s="17">
        <f t="shared" si="22"/>
        <v>73.410660486674388</v>
      </c>
      <c r="AL163" s="17">
        <f t="shared" si="23"/>
        <v>69.632676709154111</v>
      </c>
      <c r="AM163" s="17"/>
      <c r="AN163" s="18">
        <f t="shared" si="25"/>
        <v>64.223290845886453</v>
      </c>
      <c r="AO163" s="17">
        <f t="shared" si="26"/>
        <v>42.659443800695243</v>
      </c>
      <c r="AP163" s="17">
        <f t="shared" si="27"/>
        <v>32.085747392815755</v>
      </c>
    </row>
    <row r="164" spans="1:43" s="4" customFormat="1" x14ac:dyDescent="0.25">
      <c r="A164" s="4" t="s">
        <v>233</v>
      </c>
      <c r="B164" s="4" t="s">
        <v>24</v>
      </c>
      <c r="C164" s="4">
        <v>5</v>
      </c>
      <c r="E164" s="4" t="s">
        <v>15</v>
      </c>
      <c r="F164" s="4">
        <v>812</v>
      </c>
      <c r="G164" s="11"/>
      <c r="H164" s="4">
        <v>34.9</v>
      </c>
      <c r="I164" s="4">
        <v>31.9</v>
      </c>
      <c r="J164" s="4">
        <v>57.3</v>
      </c>
      <c r="K164" s="4">
        <v>58.6</v>
      </c>
      <c r="L164" s="4">
        <v>19.899999999999999</v>
      </c>
      <c r="M164" s="11"/>
      <c r="N164" s="4">
        <v>27</v>
      </c>
      <c r="O164" s="4">
        <v>24.4</v>
      </c>
      <c r="P164" s="4">
        <v>33.700000000000003</v>
      </c>
      <c r="Q164" s="4">
        <v>52</v>
      </c>
      <c r="R164" s="4">
        <v>30.1</v>
      </c>
      <c r="T164" s="10"/>
      <c r="V164" s="17"/>
      <c r="W164" s="17">
        <f>H164*'IAA digestibility'!H164</f>
        <v>33.503999999999998</v>
      </c>
      <c r="X164" s="17">
        <f>I164*'IAA digestibility'!I164</f>
        <v>30.623999999999999</v>
      </c>
      <c r="Y164" s="17">
        <f>J164*'IAA digestibility'!J164</f>
        <v>57.3</v>
      </c>
      <c r="Z164" s="17">
        <f>K164*'IAA digestibility'!K164</f>
        <v>58.014000000000003</v>
      </c>
      <c r="AA164" s="17">
        <f>L164*'IAA digestibility'!L164</f>
        <v>19.700999999999997</v>
      </c>
      <c r="AB164" s="17"/>
      <c r="AC164" s="17">
        <f>N164*'IAA digestibility'!N164</f>
        <v>26.73</v>
      </c>
      <c r="AD164" s="17">
        <f>O164*'IAA digestibility'!O164</f>
        <v>24.155999999999999</v>
      </c>
      <c r="AE164" s="17">
        <f>P164*'IAA digestibility'!P164</f>
        <v>33.026000000000003</v>
      </c>
      <c r="AF164" s="17">
        <f>R164*'IAA digestibility'!R164</f>
        <v>29.196999999999999</v>
      </c>
      <c r="AG164" s="25"/>
      <c r="AH164" s="17"/>
      <c r="AI164" s="17">
        <f t="shared" si="20"/>
        <v>41.261083743842363</v>
      </c>
      <c r="AJ164" s="17">
        <f t="shared" si="21"/>
        <v>37.714285714285715</v>
      </c>
      <c r="AK164" s="17">
        <f t="shared" si="22"/>
        <v>70.566502463054178</v>
      </c>
      <c r="AL164" s="17">
        <f t="shared" si="23"/>
        <v>71.445812807881779</v>
      </c>
      <c r="AM164" s="17"/>
      <c r="AN164" s="18">
        <f t="shared" si="25"/>
        <v>62.667487684729061</v>
      </c>
      <c r="AO164" s="17">
        <f t="shared" si="26"/>
        <v>40.672413793103452</v>
      </c>
      <c r="AP164" s="17">
        <f t="shared" si="27"/>
        <v>35.956896551724135</v>
      </c>
    </row>
    <row r="165" spans="1:43" s="4" customFormat="1" x14ac:dyDescent="0.25">
      <c r="A165" s="4" t="s">
        <v>234</v>
      </c>
      <c r="B165" s="4" t="s">
        <v>24</v>
      </c>
      <c r="C165" s="4">
        <v>5</v>
      </c>
      <c r="E165" s="4" t="s">
        <v>15</v>
      </c>
      <c r="F165" s="4">
        <v>884</v>
      </c>
      <c r="G165" s="11"/>
      <c r="H165" s="4">
        <v>35.4</v>
      </c>
      <c r="I165" s="4">
        <v>31.9</v>
      </c>
      <c r="J165" s="4">
        <v>57.5</v>
      </c>
      <c r="K165" s="4">
        <v>57.3</v>
      </c>
      <c r="L165" s="4">
        <v>19.7</v>
      </c>
      <c r="M165" s="11"/>
      <c r="N165" s="4">
        <v>26.8</v>
      </c>
      <c r="O165" s="4">
        <v>24.3</v>
      </c>
      <c r="P165" s="4">
        <v>31.3</v>
      </c>
      <c r="Q165" s="4">
        <v>53.5</v>
      </c>
      <c r="R165" s="4">
        <v>29.3</v>
      </c>
      <c r="T165" s="10"/>
      <c r="V165" s="17"/>
      <c r="W165" s="17">
        <f>H165*'IAA digestibility'!H165</f>
        <v>32.921999999999997</v>
      </c>
      <c r="X165" s="17">
        <f>I165*'IAA digestibility'!I165</f>
        <v>31.261999999999997</v>
      </c>
      <c r="Y165" s="17">
        <f>J165*'IAA digestibility'!J165</f>
        <v>56.35</v>
      </c>
      <c r="Z165" s="17">
        <f>K165*'IAA digestibility'!K165</f>
        <v>56.153999999999996</v>
      </c>
      <c r="AA165" s="17">
        <f>L165*'IAA digestibility'!L165</f>
        <v>19.305999999999997</v>
      </c>
      <c r="AB165" s="17"/>
      <c r="AC165" s="17">
        <f>N165*'IAA digestibility'!N165</f>
        <v>26.263999999999999</v>
      </c>
      <c r="AD165" s="17">
        <f>O165*'IAA digestibility'!O165</f>
        <v>23.814</v>
      </c>
      <c r="AE165" s="17">
        <f>P165*'IAA digestibility'!P165</f>
        <v>30.361000000000001</v>
      </c>
      <c r="AF165" s="17">
        <f>R165*'IAA digestibility'!R165</f>
        <v>28.713999999999999</v>
      </c>
      <c r="AG165" s="25"/>
      <c r="AH165" s="17"/>
      <c r="AI165" s="17">
        <f t="shared" si="20"/>
        <v>37.242081447963791</v>
      </c>
      <c r="AJ165" s="17">
        <f t="shared" si="21"/>
        <v>35.364253393665152</v>
      </c>
      <c r="AK165" s="17">
        <f t="shared" si="22"/>
        <v>63.744343891402707</v>
      </c>
      <c r="AL165" s="17">
        <f t="shared" si="23"/>
        <v>63.522624434389137</v>
      </c>
      <c r="AM165" s="17"/>
      <c r="AN165" s="18">
        <f t="shared" si="25"/>
        <v>56.649321266968329</v>
      </c>
      <c r="AO165" s="17">
        <f t="shared" si="26"/>
        <v>34.345022624434392</v>
      </c>
      <c r="AP165" s="17">
        <f t="shared" si="27"/>
        <v>32.481900452488688</v>
      </c>
    </row>
    <row r="166" spans="1:43" s="4" customFormat="1" x14ac:dyDescent="0.25">
      <c r="A166" s="4" t="s">
        <v>235</v>
      </c>
      <c r="B166" s="4" t="s">
        <v>24</v>
      </c>
      <c r="C166" s="4">
        <v>5</v>
      </c>
      <c r="E166" s="4" t="s">
        <v>15</v>
      </c>
      <c r="F166" s="4">
        <v>838</v>
      </c>
      <c r="G166" s="11"/>
      <c r="H166" s="4">
        <v>38.799999999999997</v>
      </c>
      <c r="I166" s="4">
        <v>35.200000000000003</v>
      </c>
      <c r="J166" s="4">
        <v>60.9</v>
      </c>
      <c r="K166" s="4">
        <v>54.1</v>
      </c>
      <c r="L166" s="4">
        <v>21.3</v>
      </c>
      <c r="M166" s="11"/>
      <c r="N166" s="4">
        <v>27.5</v>
      </c>
      <c r="O166" s="4">
        <v>25.4</v>
      </c>
      <c r="P166" s="4">
        <v>36.4</v>
      </c>
      <c r="Q166" s="4">
        <v>58.6</v>
      </c>
      <c r="R166" s="4">
        <v>31.9</v>
      </c>
      <c r="T166" s="10"/>
      <c r="V166" s="17"/>
      <c r="W166" s="17">
        <f>H166*'IAA digestibility'!H166</f>
        <v>37.247999999999998</v>
      </c>
      <c r="X166" s="17">
        <f>I166*'IAA digestibility'!I166</f>
        <v>33.088000000000001</v>
      </c>
      <c r="Y166" s="17">
        <f>J166*'IAA digestibility'!J166</f>
        <v>60.290999999999997</v>
      </c>
      <c r="Z166" s="17">
        <f>K166*'IAA digestibility'!K166</f>
        <v>53.558999999999997</v>
      </c>
      <c r="AA166" s="17">
        <f>L166*'IAA digestibility'!L166</f>
        <v>21.087</v>
      </c>
      <c r="AB166" s="17"/>
      <c r="AC166" s="17">
        <f>N166*'IAA digestibility'!N166</f>
        <v>27.225000000000001</v>
      </c>
      <c r="AD166" s="17">
        <f>O166*'IAA digestibility'!O166</f>
        <v>25.145999999999997</v>
      </c>
      <c r="AE166" s="17">
        <f>P166*'IAA digestibility'!P166</f>
        <v>35.671999999999997</v>
      </c>
      <c r="AF166" s="17">
        <f>R166*'IAA digestibility'!R166</f>
        <v>30.304999999999996</v>
      </c>
      <c r="AG166" s="25"/>
      <c r="AH166" s="17"/>
      <c r="AI166" s="17">
        <f t="shared" si="20"/>
        <v>44.448687350835321</v>
      </c>
      <c r="AJ166" s="17">
        <f t="shared" si="21"/>
        <v>39.484486873508352</v>
      </c>
      <c r="AK166" s="17">
        <f t="shared" si="22"/>
        <v>71.946300715990446</v>
      </c>
      <c r="AL166" s="17">
        <f t="shared" si="23"/>
        <v>63.91288782816229</v>
      </c>
      <c r="AM166" s="17"/>
      <c r="AN166" s="18">
        <f t="shared" si="25"/>
        <v>62.495226730310257</v>
      </c>
      <c r="AO166" s="17">
        <f t="shared" si="26"/>
        <v>42.56801909307876</v>
      </c>
      <c r="AP166" s="17">
        <f t="shared" si="27"/>
        <v>36.1634844868735</v>
      </c>
    </row>
    <row r="167" spans="1:43" s="4" customFormat="1" x14ac:dyDescent="0.25">
      <c r="A167" s="4" t="s">
        <v>236</v>
      </c>
      <c r="B167" s="4" t="s">
        <v>24</v>
      </c>
      <c r="C167" s="4">
        <v>5</v>
      </c>
      <c r="E167" s="4" t="s">
        <v>15</v>
      </c>
      <c r="F167" s="4">
        <v>846</v>
      </c>
      <c r="G167" s="11"/>
      <c r="H167" s="4">
        <v>33.6</v>
      </c>
      <c r="I167" s="4">
        <v>31.1</v>
      </c>
      <c r="J167" s="4">
        <v>55.4</v>
      </c>
      <c r="K167" s="4">
        <v>54.2</v>
      </c>
      <c r="L167" s="4">
        <v>19.2</v>
      </c>
      <c r="M167" s="11"/>
      <c r="N167" s="4">
        <v>26.2</v>
      </c>
      <c r="O167" s="4">
        <v>23.8</v>
      </c>
      <c r="P167" s="4">
        <v>33.299999999999997</v>
      </c>
      <c r="Q167" s="4">
        <v>50.7</v>
      </c>
      <c r="R167" s="4">
        <v>29.6</v>
      </c>
      <c r="T167" s="10"/>
      <c r="V167" s="17"/>
      <c r="W167" s="17">
        <f>H167*'IAA digestibility'!H167</f>
        <v>31.919999999999998</v>
      </c>
      <c r="X167" s="17">
        <f>I167*'IAA digestibility'!I167</f>
        <v>30.789000000000001</v>
      </c>
      <c r="Y167" s="17">
        <f>J167*'IAA digestibility'!J167</f>
        <v>54.845999999999997</v>
      </c>
      <c r="Z167" s="17">
        <f>K167*'IAA digestibility'!K167</f>
        <v>53.658000000000001</v>
      </c>
      <c r="AA167" s="17">
        <f>L167*'IAA digestibility'!L167</f>
        <v>19.007999999999999</v>
      </c>
      <c r="AB167" s="17"/>
      <c r="AC167" s="17">
        <f>N167*'IAA digestibility'!N167</f>
        <v>25.675999999999998</v>
      </c>
      <c r="AD167" s="17">
        <f>O167*'IAA digestibility'!O167</f>
        <v>23.324000000000002</v>
      </c>
      <c r="AE167" s="17">
        <f>P167*'IAA digestibility'!P167</f>
        <v>32.633999999999993</v>
      </c>
      <c r="AF167" s="17">
        <f>R167*'IAA digestibility'!R167</f>
        <v>28.712</v>
      </c>
      <c r="AG167" s="25"/>
      <c r="AH167" s="17"/>
      <c r="AI167" s="17">
        <f t="shared" si="20"/>
        <v>37.730496453900706</v>
      </c>
      <c r="AJ167" s="17">
        <f t="shared" si="21"/>
        <v>36.393617021276597</v>
      </c>
      <c r="AK167" s="17">
        <f t="shared" si="22"/>
        <v>64.829787234042556</v>
      </c>
      <c r="AL167" s="17">
        <f t="shared" si="23"/>
        <v>63.425531914893611</v>
      </c>
      <c r="AM167" s="17"/>
      <c r="AN167" s="18">
        <f t="shared" si="25"/>
        <v>57.919621749408982</v>
      </c>
      <c r="AO167" s="17">
        <f t="shared" si="26"/>
        <v>38.574468085106375</v>
      </c>
      <c r="AP167" s="17">
        <f t="shared" si="27"/>
        <v>33.938534278959814</v>
      </c>
    </row>
    <row r="168" spans="1:43" s="4" customFormat="1" x14ac:dyDescent="0.25">
      <c r="A168" s="4" t="s">
        <v>190</v>
      </c>
      <c r="B168" s="4" t="s">
        <v>24</v>
      </c>
      <c r="C168" s="4">
        <v>2</v>
      </c>
      <c r="E168" s="4" t="s">
        <v>12</v>
      </c>
      <c r="F168" s="4">
        <v>566</v>
      </c>
      <c r="G168" s="4">
        <v>8.1</v>
      </c>
      <c r="H168" s="4">
        <v>21.6</v>
      </c>
      <c r="I168" s="4">
        <v>24.5</v>
      </c>
      <c r="J168" s="4">
        <v>39.1</v>
      </c>
      <c r="K168" s="4">
        <v>31.2</v>
      </c>
      <c r="L168" s="4">
        <v>10.4</v>
      </c>
      <c r="M168" s="4">
        <v>3.1</v>
      </c>
      <c r="N168" s="4">
        <v>21.7</v>
      </c>
      <c r="O168" s="4">
        <v>34.5</v>
      </c>
      <c r="P168" s="4">
        <v>34.200000000000003</v>
      </c>
      <c r="Q168" s="4">
        <v>26.9</v>
      </c>
      <c r="R168" s="4">
        <v>26.7</v>
      </c>
      <c r="S168" s="4" t="s">
        <v>195</v>
      </c>
      <c r="T168" s="10"/>
      <c r="V168" s="17">
        <f>G168*'IAA digestibility'!G168</f>
        <v>6.2370000000000001</v>
      </c>
      <c r="W168" s="17">
        <f>H168*'IAA digestibility'!H168</f>
        <v>18.792000000000002</v>
      </c>
      <c r="X168" s="17">
        <f>I168*'IAA digestibility'!I168</f>
        <v>22.05</v>
      </c>
      <c r="Y168" s="17">
        <f>J168*'IAA digestibility'!J168</f>
        <v>35.581000000000003</v>
      </c>
      <c r="Z168" s="17">
        <f>K168*'IAA digestibility'!K168</f>
        <v>27.768000000000001</v>
      </c>
      <c r="AA168" s="17">
        <f>L168*'IAA digestibility'!L168</f>
        <v>8.2160000000000011</v>
      </c>
      <c r="AB168" s="17">
        <f>M168*'IAA digestibility'!M168</f>
        <v>2.573</v>
      </c>
      <c r="AC168" s="17">
        <f>N168*'IAA digestibility'!N168</f>
        <v>21.265999999999998</v>
      </c>
      <c r="AD168" s="17">
        <f>O168*'IAA digestibility'!O168</f>
        <v>28.29</v>
      </c>
      <c r="AE168" s="17">
        <f>P168*'IAA digestibility'!P168</f>
        <v>30.096000000000004</v>
      </c>
      <c r="AF168" s="17">
        <f>R168*'IAA digestibility'!R168</f>
        <v>22.427999999999997</v>
      </c>
      <c r="AG168" s="25"/>
      <c r="AH168" s="17">
        <f t="shared" si="19"/>
        <v>11.019434628975265</v>
      </c>
      <c r="AI168" s="17">
        <f t="shared" si="20"/>
        <v>33.201413427561839</v>
      </c>
      <c r="AJ168" s="17">
        <f t="shared" si="21"/>
        <v>38.957597173144876</v>
      </c>
      <c r="AK168" s="17">
        <f t="shared" si="22"/>
        <v>62.863957597173155</v>
      </c>
      <c r="AL168" s="17">
        <f t="shared" si="23"/>
        <v>49.060070671378099</v>
      </c>
      <c r="AM168" s="17">
        <f t="shared" si="24"/>
        <v>19.061837455830393</v>
      </c>
      <c r="AN168" s="18">
        <f t="shared" si="25"/>
        <v>87.554770318021198</v>
      </c>
      <c r="AO168" s="17">
        <f t="shared" si="26"/>
        <v>53.173144876325097</v>
      </c>
      <c r="AP168" s="17">
        <f t="shared" si="27"/>
        <v>39.625441696113064</v>
      </c>
    </row>
    <row r="169" spans="1:43" s="4" customFormat="1" x14ac:dyDescent="0.25">
      <c r="A169" s="4" t="s">
        <v>191</v>
      </c>
      <c r="B169" s="4" t="s">
        <v>24</v>
      </c>
      <c r="C169" s="4">
        <v>2</v>
      </c>
      <c r="E169" s="4" t="s">
        <v>12</v>
      </c>
      <c r="F169" s="4">
        <v>411</v>
      </c>
      <c r="G169" s="4">
        <v>5.9</v>
      </c>
      <c r="H169" s="4">
        <v>15.9</v>
      </c>
      <c r="I169" s="4">
        <v>17.2</v>
      </c>
      <c r="J169" s="4">
        <v>28.7</v>
      </c>
      <c r="K169" s="4">
        <v>23.8</v>
      </c>
      <c r="L169" s="4">
        <v>7.4</v>
      </c>
      <c r="M169" s="4">
        <v>2.6</v>
      </c>
      <c r="N169" s="4">
        <v>16.7</v>
      </c>
      <c r="O169" s="4">
        <v>23.3</v>
      </c>
      <c r="P169" s="4">
        <v>24.6</v>
      </c>
      <c r="Q169" s="4">
        <v>20.399999999999999</v>
      </c>
      <c r="R169" s="4">
        <v>12.8</v>
      </c>
      <c r="S169" s="4" t="s">
        <v>194</v>
      </c>
      <c r="T169" s="10"/>
      <c r="V169" s="17">
        <f>G169*'IAA digestibility'!G169</f>
        <v>4.7200000000000006</v>
      </c>
      <c r="W169" s="17">
        <f>H169*'IAA digestibility'!H169</f>
        <v>13.833</v>
      </c>
      <c r="X169" s="17">
        <f>I169*'IAA digestibility'!I169</f>
        <v>14.963999999999999</v>
      </c>
      <c r="Y169" s="17">
        <f>J169*'IAA digestibility'!J169</f>
        <v>24.968999999999998</v>
      </c>
      <c r="Z169" s="17">
        <f>K169*'IAA digestibility'!K169</f>
        <v>20.706</v>
      </c>
      <c r="AA169" s="17">
        <f>L169*'IAA digestibility'!L169</f>
        <v>6.66</v>
      </c>
      <c r="AB169" s="17">
        <f>M169*'IAA digestibility'!M169</f>
        <v>2.2360000000000002</v>
      </c>
      <c r="AC169" s="17">
        <f>N169*'IAA digestibility'!N169</f>
        <v>15.864999999999998</v>
      </c>
      <c r="AD169" s="17">
        <f>O169*'IAA digestibility'!O169</f>
        <v>19.571999999999999</v>
      </c>
      <c r="AE169" s="17">
        <f>P169*'IAA digestibility'!P169</f>
        <v>20.417999999999999</v>
      </c>
      <c r="AF169" s="17">
        <f>R169*'IAA digestibility'!R169</f>
        <v>10.368000000000002</v>
      </c>
      <c r="AG169" s="25"/>
      <c r="AH169" s="17">
        <f t="shared" si="19"/>
        <v>11.484184914841851</v>
      </c>
      <c r="AI169" s="17">
        <f t="shared" si="20"/>
        <v>33.656934306569347</v>
      </c>
      <c r="AJ169" s="17">
        <f t="shared" si="21"/>
        <v>36.408759124087588</v>
      </c>
      <c r="AK169" s="17">
        <f t="shared" si="22"/>
        <v>60.751824817518241</v>
      </c>
      <c r="AL169" s="17">
        <f t="shared" si="23"/>
        <v>50.379562043795623</v>
      </c>
      <c r="AM169" s="17">
        <f t="shared" si="24"/>
        <v>21.644768856447691</v>
      </c>
      <c r="AN169" s="18">
        <f t="shared" si="25"/>
        <v>86.221411192214106</v>
      </c>
      <c r="AO169" s="17">
        <f t="shared" si="26"/>
        <v>49.678832116788321</v>
      </c>
      <c r="AP169" s="17">
        <f t="shared" si="27"/>
        <v>25.226277372262778</v>
      </c>
    </row>
    <row r="170" spans="1:43" s="4" customFormat="1" x14ac:dyDescent="0.25">
      <c r="A170" s="4" t="s">
        <v>262</v>
      </c>
      <c r="B170" s="4" t="s">
        <v>24</v>
      </c>
      <c r="C170" s="4">
        <v>11</v>
      </c>
      <c r="E170" s="4" t="s">
        <v>12</v>
      </c>
      <c r="F170" s="4">
        <v>431</v>
      </c>
      <c r="H170" s="4">
        <v>16</v>
      </c>
      <c r="I170" s="4">
        <v>21.4</v>
      </c>
      <c r="J170" s="4">
        <v>28.8</v>
      </c>
      <c r="K170" s="4">
        <v>25.4</v>
      </c>
      <c r="L170" s="4">
        <v>7</v>
      </c>
      <c r="M170" s="4">
        <v>2.7</v>
      </c>
      <c r="N170" s="4">
        <v>18.7</v>
      </c>
      <c r="O170" s="4">
        <v>23.7</v>
      </c>
      <c r="P170" s="4">
        <v>24.6</v>
      </c>
      <c r="Q170" s="4">
        <v>19.5</v>
      </c>
      <c r="R170" s="4">
        <v>12.6</v>
      </c>
      <c r="S170" s="4" t="s">
        <v>260</v>
      </c>
      <c r="T170" s="10"/>
      <c r="V170" s="17"/>
      <c r="W170" s="17">
        <f>H170*'IAA digestibility'!H170</f>
        <v>12.768000000000001</v>
      </c>
      <c r="X170" s="17">
        <f>I170*'IAA digestibility'!I170</f>
        <v>16.585000000000001</v>
      </c>
      <c r="Y170" s="17">
        <f>J170*'IAA digestibility'!J170</f>
        <v>23.328000000000003</v>
      </c>
      <c r="Z170" s="17">
        <f>K170*'IAA digestibility'!K170</f>
        <v>19.7104</v>
      </c>
      <c r="AA170" s="17">
        <f>L170*'IAA digestibility'!L170</f>
        <v>6.4260000000000002</v>
      </c>
      <c r="AB170" s="17">
        <f>M170*'IAA digestibility'!M170</f>
        <v>2.1681000000000004</v>
      </c>
      <c r="AC170" s="17">
        <f>N170*'IAA digestibility'!N170</f>
        <v>14.3429</v>
      </c>
      <c r="AD170" s="17">
        <f>O170*'IAA digestibility'!O170</f>
        <v>19.528799999999997</v>
      </c>
      <c r="AE170" s="17">
        <f>P170*'IAA digestibility'!P170</f>
        <v>19.901400000000002</v>
      </c>
      <c r="AF170" s="17">
        <f>R170*'IAA digestibility'!R170</f>
        <v>9.8027999999999995</v>
      </c>
      <c r="AG170" s="25"/>
      <c r="AH170" s="17"/>
      <c r="AI170" s="17">
        <f t="shared" si="20"/>
        <v>29.624129930394435</v>
      </c>
      <c r="AJ170" s="17">
        <f t="shared" si="21"/>
        <v>38.480278422273784</v>
      </c>
      <c r="AK170" s="17">
        <f t="shared" si="22"/>
        <v>54.125290023201863</v>
      </c>
      <c r="AL170" s="17">
        <f t="shared" si="23"/>
        <v>45.73178654292343</v>
      </c>
      <c r="AM170" s="17">
        <f t="shared" si="24"/>
        <v>19.939907192575408</v>
      </c>
      <c r="AN170" s="18">
        <f t="shared" si="25"/>
        <v>78.58863109048724</v>
      </c>
      <c r="AO170" s="17">
        <f t="shared" si="26"/>
        <v>46.174941995359632</v>
      </c>
      <c r="AP170" s="17">
        <f t="shared" si="27"/>
        <v>22.744315545243619</v>
      </c>
    </row>
    <row r="171" spans="1:43" s="4" customFormat="1" x14ac:dyDescent="0.25">
      <c r="A171" s="4" t="s">
        <v>214</v>
      </c>
      <c r="B171" s="4" t="s">
        <v>24</v>
      </c>
      <c r="C171" s="4">
        <v>6</v>
      </c>
      <c r="E171" s="4" t="s">
        <v>12</v>
      </c>
      <c r="F171" s="4">
        <v>900</v>
      </c>
      <c r="G171" s="4">
        <v>5.5</v>
      </c>
      <c r="H171" s="4">
        <v>31</v>
      </c>
      <c r="I171" s="4">
        <v>29</v>
      </c>
      <c r="J171" s="4">
        <v>55</v>
      </c>
      <c r="K171" s="4">
        <v>68</v>
      </c>
      <c r="L171" s="4">
        <v>17</v>
      </c>
      <c r="M171" s="4">
        <v>6</v>
      </c>
      <c r="N171" s="4">
        <v>25</v>
      </c>
      <c r="P171" s="4">
        <v>36</v>
      </c>
      <c r="Q171" s="4">
        <v>53</v>
      </c>
      <c r="R171" s="4">
        <v>28</v>
      </c>
      <c r="S171" s="4" t="s">
        <v>218</v>
      </c>
      <c r="T171" s="10"/>
      <c r="V171" s="17">
        <f>G171*'IAA digestibility'!G171</f>
        <v>4.84</v>
      </c>
      <c r="W171" s="17">
        <f>H171*'IAA digestibility'!H171</f>
        <v>27.28</v>
      </c>
      <c r="X171" s="17">
        <f>I171*'IAA digestibility'!I171</f>
        <v>26.1</v>
      </c>
      <c r="Y171" s="17">
        <f>J171*'IAA digestibility'!J171</f>
        <v>50.6</v>
      </c>
      <c r="Z171" s="17">
        <f>K171*'IAA digestibility'!K171</f>
        <v>61.88</v>
      </c>
      <c r="AA171" s="17">
        <f>L171*'IAA digestibility'!L171</f>
        <v>15.13</v>
      </c>
      <c r="AB171" s="17">
        <f>M171*'IAA digestibility'!M171</f>
        <v>4.26</v>
      </c>
      <c r="AC171" s="17">
        <f>N171*'IAA digestibility'!N171</f>
        <v>23</v>
      </c>
      <c r="AD171" s="17">
        <f>O171*'IAA digestibility'!O171</f>
        <v>0</v>
      </c>
      <c r="AE171" s="17">
        <f>P171*'IAA digestibility'!P171</f>
        <v>32.04</v>
      </c>
      <c r="AF171" s="17">
        <f>R171*'IAA digestibility'!R171</f>
        <v>25.76</v>
      </c>
      <c r="AG171" s="25"/>
      <c r="AH171" s="17">
        <f t="shared" si="19"/>
        <v>5.3777777777777773</v>
      </c>
      <c r="AI171" s="17">
        <f t="shared" si="20"/>
        <v>30.31111111111111</v>
      </c>
      <c r="AJ171" s="17">
        <f t="shared" si="21"/>
        <v>29</v>
      </c>
      <c r="AK171" s="17">
        <f t="shared" si="22"/>
        <v>56.222222222222221</v>
      </c>
      <c r="AL171" s="17">
        <f t="shared" si="23"/>
        <v>68.75555555555556</v>
      </c>
      <c r="AM171" s="17">
        <f t="shared" si="24"/>
        <v>21.544444444444444</v>
      </c>
      <c r="AN171" s="18">
        <f t="shared" si="25"/>
        <v>25.555555555555557</v>
      </c>
      <c r="AO171" s="17">
        <f t="shared" si="26"/>
        <v>35.6</v>
      </c>
      <c r="AP171" s="17">
        <f t="shared" si="27"/>
        <v>28.622222222222224</v>
      </c>
    </row>
    <row r="172" spans="1:43" s="4" customFormat="1" x14ac:dyDescent="0.25">
      <c r="A172" s="4" t="s">
        <v>215</v>
      </c>
      <c r="B172" s="4" t="s">
        <v>24</v>
      </c>
      <c r="C172" s="4">
        <v>6</v>
      </c>
      <c r="D172" s="4" t="s">
        <v>363</v>
      </c>
      <c r="E172" s="4" t="s">
        <v>12</v>
      </c>
      <c r="F172" s="4">
        <v>1000</v>
      </c>
      <c r="G172" s="4">
        <v>0.2</v>
      </c>
      <c r="H172" s="4">
        <v>19</v>
      </c>
      <c r="I172" s="4">
        <v>17</v>
      </c>
      <c r="J172" s="4">
        <v>33</v>
      </c>
      <c r="K172" s="4">
        <v>40</v>
      </c>
      <c r="L172" s="4">
        <v>9</v>
      </c>
      <c r="N172" s="4">
        <v>23</v>
      </c>
      <c r="P172" s="4">
        <v>26</v>
      </c>
      <c r="Q172" s="4">
        <v>88</v>
      </c>
      <c r="R172" s="4">
        <v>8</v>
      </c>
      <c r="S172" s="4" t="s">
        <v>218</v>
      </c>
      <c r="T172" s="10"/>
      <c r="V172" s="17">
        <f>G172*'IAA digestibility'!G172</f>
        <v>0.1656</v>
      </c>
      <c r="W172" s="17">
        <f>H172*'IAA digestibility'!H172</f>
        <v>13.489999999999998</v>
      </c>
      <c r="X172" s="17">
        <f>I172*'IAA digestibility'!I172</f>
        <v>15.13</v>
      </c>
      <c r="Y172" s="17">
        <f>J172*'IAA digestibility'!J172</f>
        <v>26.07</v>
      </c>
      <c r="Z172" s="17">
        <f>K172*'IAA digestibility'!K172</f>
        <v>34.4</v>
      </c>
      <c r="AA172" s="17">
        <f>L172*'IAA digestibility'!L172</f>
        <v>7.2</v>
      </c>
      <c r="AB172" s="17">
        <f>M172*'IAA digestibility'!M172</f>
        <v>0</v>
      </c>
      <c r="AC172" s="17">
        <f>N172*'IAA digestibility'!N172</f>
        <v>21.39</v>
      </c>
      <c r="AD172" s="17">
        <f>O172*'IAA digestibility'!O172</f>
        <v>0</v>
      </c>
      <c r="AE172" s="17">
        <f>P172*'IAA digestibility'!P172</f>
        <v>20.8</v>
      </c>
      <c r="AF172" s="17">
        <f>R172*'IAA digestibility'!R172</f>
        <v>5.84</v>
      </c>
      <c r="AG172" s="25"/>
      <c r="AH172" s="17">
        <f t="shared" si="19"/>
        <v>0.1656</v>
      </c>
      <c r="AI172" s="17">
        <f t="shared" si="20"/>
        <v>13.489999999999998</v>
      </c>
      <c r="AJ172" s="17">
        <f t="shared" si="21"/>
        <v>15.13</v>
      </c>
      <c r="AK172" s="17">
        <f t="shared" si="22"/>
        <v>26.07</v>
      </c>
      <c r="AL172" s="17">
        <f t="shared" si="23"/>
        <v>34.4</v>
      </c>
      <c r="AM172" s="17">
        <f t="shared" si="24"/>
        <v>7.2</v>
      </c>
      <c r="AN172" s="18">
        <f t="shared" si="25"/>
        <v>21.39</v>
      </c>
      <c r="AO172" s="17">
        <f t="shared" si="26"/>
        <v>20.8</v>
      </c>
      <c r="AP172" s="17">
        <f t="shared" si="27"/>
        <v>5.84</v>
      </c>
    </row>
    <row r="173" spans="1:43" s="4" customFormat="1" x14ac:dyDescent="0.25">
      <c r="A173" s="4" t="s">
        <v>211</v>
      </c>
      <c r="B173" s="4" t="s">
        <v>24</v>
      </c>
      <c r="C173" s="4">
        <v>3</v>
      </c>
      <c r="E173" s="4" t="s">
        <v>15</v>
      </c>
      <c r="F173" s="11"/>
      <c r="G173" s="11"/>
      <c r="M173" s="11"/>
      <c r="O173" s="11"/>
      <c r="Q173" s="11"/>
      <c r="R173" s="11"/>
      <c r="S173" s="4" t="s">
        <v>239</v>
      </c>
      <c r="T173" s="10"/>
      <c r="V173" s="17"/>
      <c r="W173" s="17"/>
      <c r="X173" s="17"/>
      <c r="Y173" s="17"/>
      <c r="Z173" s="17"/>
      <c r="AA173" s="17"/>
      <c r="AB173" s="17"/>
      <c r="AC173" s="17"/>
      <c r="AD173" s="17"/>
      <c r="AE173" s="17"/>
      <c r="AF173" s="17"/>
      <c r="AG173" s="25"/>
      <c r="AH173" s="17"/>
      <c r="AI173" s="17"/>
      <c r="AJ173" s="17"/>
      <c r="AK173" s="17"/>
      <c r="AL173" s="17"/>
      <c r="AM173" s="17"/>
      <c r="AN173" s="18"/>
      <c r="AO173" s="17"/>
      <c r="AP173" s="17"/>
      <c r="AQ173" s="4" t="s">
        <v>522</v>
      </c>
    </row>
    <row r="174" spans="1:43" s="4" customFormat="1" x14ac:dyDescent="0.25">
      <c r="A174" s="4" t="s">
        <v>210</v>
      </c>
      <c r="B174" s="4" t="s">
        <v>24</v>
      </c>
      <c r="C174" s="4">
        <v>3</v>
      </c>
      <c r="E174" s="4" t="s">
        <v>15</v>
      </c>
      <c r="F174" s="11"/>
      <c r="G174" s="11"/>
      <c r="M174" s="11"/>
      <c r="O174" s="11"/>
      <c r="Q174" s="11"/>
      <c r="R174" s="11"/>
      <c r="S174" s="4" t="s">
        <v>239</v>
      </c>
      <c r="T174" s="10"/>
      <c r="V174" s="17"/>
      <c r="W174" s="17"/>
      <c r="X174" s="17"/>
      <c r="Y174" s="17"/>
      <c r="Z174" s="17"/>
      <c r="AA174" s="17"/>
      <c r="AB174" s="17"/>
      <c r="AC174" s="17"/>
      <c r="AD174" s="17"/>
      <c r="AE174" s="17"/>
      <c r="AF174" s="17"/>
      <c r="AG174" s="25"/>
      <c r="AH174" s="17"/>
      <c r="AI174" s="17"/>
      <c r="AJ174" s="17"/>
      <c r="AK174" s="17"/>
      <c r="AL174" s="17"/>
      <c r="AM174" s="17"/>
      <c r="AN174" s="18"/>
      <c r="AO174" s="17"/>
      <c r="AP174" s="17"/>
      <c r="AQ174" s="4" t="s">
        <v>522</v>
      </c>
    </row>
    <row r="175" spans="1:43" s="4" customFormat="1" x14ac:dyDescent="0.25">
      <c r="A175" s="4" t="s">
        <v>237</v>
      </c>
      <c r="B175" s="4" t="s">
        <v>24</v>
      </c>
      <c r="C175" s="4">
        <v>3</v>
      </c>
      <c r="E175" s="4" t="s">
        <v>15</v>
      </c>
      <c r="F175" s="11"/>
      <c r="G175" s="11"/>
      <c r="M175" s="11"/>
      <c r="O175" s="11"/>
      <c r="Q175" s="11"/>
      <c r="R175" s="11"/>
      <c r="S175" s="4" t="s">
        <v>239</v>
      </c>
      <c r="T175" s="10"/>
      <c r="V175" s="17"/>
      <c r="W175" s="17"/>
      <c r="X175" s="17"/>
      <c r="Y175" s="17"/>
      <c r="Z175" s="17"/>
      <c r="AA175" s="17"/>
      <c r="AB175" s="17"/>
      <c r="AC175" s="17"/>
      <c r="AD175" s="17"/>
      <c r="AE175" s="17"/>
      <c r="AF175" s="17"/>
      <c r="AG175" s="25"/>
      <c r="AH175" s="17"/>
      <c r="AI175" s="17"/>
      <c r="AJ175" s="17"/>
      <c r="AK175" s="17"/>
      <c r="AL175" s="17"/>
      <c r="AM175" s="17"/>
      <c r="AN175" s="18"/>
      <c r="AO175" s="17"/>
      <c r="AP175" s="17"/>
      <c r="AQ175" s="4" t="s">
        <v>522</v>
      </c>
    </row>
    <row r="176" spans="1:43" s="4" customFormat="1" x14ac:dyDescent="0.25">
      <c r="A176" s="4" t="s">
        <v>261</v>
      </c>
      <c r="B176" s="4" t="s">
        <v>24</v>
      </c>
      <c r="C176" s="4">
        <v>11</v>
      </c>
      <c r="E176" s="4" t="s">
        <v>12</v>
      </c>
      <c r="F176" s="4">
        <v>529</v>
      </c>
      <c r="H176" s="4">
        <v>23.2</v>
      </c>
      <c r="I176" s="4">
        <v>26.2</v>
      </c>
      <c r="J176" s="4">
        <v>35.299999999999997</v>
      </c>
      <c r="K176" s="4">
        <v>38.299999999999997</v>
      </c>
      <c r="L176" s="4">
        <v>14.4</v>
      </c>
      <c r="M176" s="4">
        <v>3.9</v>
      </c>
      <c r="N176" s="4">
        <v>36</v>
      </c>
      <c r="O176" s="4">
        <v>34</v>
      </c>
      <c r="P176" s="4">
        <v>27.1</v>
      </c>
      <c r="Q176" s="4">
        <v>27.2</v>
      </c>
      <c r="R176" s="4">
        <v>16.100000000000001</v>
      </c>
      <c r="S176" s="4" t="s">
        <v>260</v>
      </c>
      <c r="T176" s="10"/>
      <c r="V176" s="17">
        <f>G176*'IAA digestibility'!G176</f>
        <v>0</v>
      </c>
      <c r="W176" s="17">
        <f>H176*'IAA digestibility'!H176</f>
        <v>21.320800000000002</v>
      </c>
      <c r="X176" s="17">
        <f>I176*'IAA digestibility'!I176</f>
        <v>23.003599999999999</v>
      </c>
      <c r="Y176" s="17">
        <f>J176*'IAA digestibility'!J176</f>
        <v>32.4054</v>
      </c>
      <c r="Z176" s="17">
        <f>K176*'IAA digestibility'!K176</f>
        <v>35.159399999999998</v>
      </c>
      <c r="AA176" s="17">
        <f>L176*'IAA digestibility'!L176</f>
        <v>14.2272</v>
      </c>
      <c r="AB176" s="17">
        <f>M176*'IAA digestibility'!M176</f>
        <v>3.3929999999999998</v>
      </c>
      <c r="AC176" s="17">
        <f>N176*'IAA digestibility'!N176</f>
        <v>32.616</v>
      </c>
      <c r="AD176" s="17">
        <f>O176*'IAA digestibility'!O176</f>
        <v>31.484000000000002</v>
      </c>
      <c r="AE176" s="17">
        <f>P176*'IAA digestibility'!P176</f>
        <v>24.661000000000001</v>
      </c>
      <c r="AF176" s="17">
        <f>R176*'IAA digestibility'!R176</f>
        <v>14.425600000000001</v>
      </c>
      <c r="AG176" s="25"/>
      <c r="AH176" s="17">
        <f t="shared" si="19"/>
        <v>0</v>
      </c>
      <c r="AI176" s="17">
        <f t="shared" si="20"/>
        <v>40.303969754253316</v>
      </c>
      <c r="AJ176" s="17">
        <f t="shared" si="21"/>
        <v>43.485066162570881</v>
      </c>
      <c r="AK176" s="17">
        <f t="shared" si="22"/>
        <v>61.257844990548207</v>
      </c>
      <c r="AL176" s="17">
        <f t="shared" si="23"/>
        <v>66.463894139886577</v>
      </c>
      <c r="AM176" s="17">
        <f t="shared" si="24"/>
        <v>33.308506616257091</v>
      </c>
      <c r="AN176" s="18">
        <f t="shared" si="25"/>
        <v>121.17202268431001</v>
      </c>
      <c r="AO176" s="17">
        <f t="shared" si="26"/>
        <v>46.618147448015122</v>
      </c>
      <c r="AP176" s="17">
        <f t="shared" si="27"/>
        <v>27.269565217391307</v>
      </c>
    </row>
    <row r="177" spans="1:43" s="4" customFormat="1" x14ac:dyDescent="0.25">
      <c r="A177" s="4" t="s">
        <v>26</v>
      </c>
      <c r="B177" s="4" t="s">
        <v>24</v>
      </c>
      <c r="C177" s="4">
        <v>2</v>
      </c>
      <c r="E177" s="4" t="s">
        <v>12</v>
      </c>
      <c r="F177" s="4">
        <v>504</v>
      </c>
      <c r="G177" s="4">
        <v>8.6999999999999993</v>
      </c>
      <c r="H177" s="4">
        <v>26</v>
      </c>
      <c r="I177" s="4">
        <v>30</v>
      </c>
      <c r="J177" s="4">
        <v>55.5</v>
      </c>
      <c r="K177" s="4">
        <v>32.4</v>
      </c>
      <c r="L177" s="4">
        <v>9.8000000000000007</v>
      </c>
      <c r="M177" s="4">
        <v>35.299999999999997</v>
      </c>
      <c r="N177" s="4">
        <v>21.8</v>
      </c>
      <c r="O177" s="4">
        <v>31.8</v>
      </c>
      <c r="P177" s="4">
        <v>44.2</v>
      </c>
      <c r="Q177" s="4">
        <v>29.5</v>
      </c>
      <c r="R177" s="4">
        <v>16.2</v>
      </c>
      <c r="S177" s="4" t="s">
        <v>209</v>
      </c>
      <c r="T177" s="10"/>
      <c r="V177" s="17">
        <f>G177*'IAA digestibility'!G177</f>
        <v>7.2209999999999992</v>
      </c>
      <c r="W177" s="17">
        <f>H177*'IAA digestibility'!H177</f>
        <v>23.400000000000002</v>
      </c>
      <c r="X177" s="17">
        <f>I177*'IAA digestibility'!I177</f>
        <v>27</v>
      </c>
      <c r="Y177" s="17">
        <f>J177*'IAA digestibility'!J177</f>
        <v>49.95</v>
      </c>
      <c r="Z177" s="17">
        <f>K177*'IAA digestibility'!K177</f>
        <v>29.16</v>
      </c>
      <c r="AA177" s="17">
        <f>L177*'IAA digestibility'!L177</f>
        <v>8.82</v>
      </c>
      <c r="AB177" s="17">
        <f>M177*'IAA digestibility'!M177</f>
        <v>31.77</v>
      </c>
      <c r="AC177" s="17">
        <f>N177*'IAA digestibility'!N177</f>
        <v>19.62</v>
      </c>
      <c r="AD177" s="17">
        <f>O177*'IAA digestibility'!O177</f>
        <v>28.62</v>
      </c>
      <c r="AE177" s="17">
        <f>P177*'IAA digestibility'!P177</f>
        <v>39.78</v>
      </c>
      <c r="AF177" s="17">
        <f>R177*'IAA digestibility'!R177</f>
        <v>14.58</v>
      </c>
      <c r="AG177" s="25"/>
      <c r="AH177" s="17">
        <f t="shared" si="19"/>
        <v>14.327380952380951</v>
      </c>
      <c r="AI177" s="17">
        <f t="shared" si="20"/>
        <v>46.428571428571431</v>
      </c>
      <c r="AJ177" s="17">
        <f t="shared" si="21"/>
        <v>53.571428571428569</v>
      </c>
      <c r="AK177" s="17">
        <f t="shared" si="22"/>
        <v>99.107142857142861</v>
      </c>
      <c r="AL177" s="17">
        <f t="shared" si="23"/>
        <v>57.857142857142854</v>
      </c>
      <c r="AM177" s="17">
        <f t="shared" si="24"/>
        <v>80.535714285714292</v>
      </c>
      <c r="AN177" s="18">
        <f t="shared" si="25"/>
        <v>95.714285714285722</v>
      </c>
      <c r="AO177" s="17">
        <f t="shared" si="26"/>
        <v>78.928571428571431</v>
      </c>
      <c r="AP177" s="17">
        <f t="shared" si="27"/>
        <v>28.928571428571427</v>
      </c>
    </row>
    <row r="178" spans="1:43" s="4" customFormat="1" x14ac:dyDescent="0.25">
      <c r="A178" s="4" t="s">
        <v>276</v>
      </c>
      <c r="B178" s="4" t="s">
        <v>24</v>
      </c>
      <c r="C178" s="4">
        <v>15</v>
      </c>
      <c r="E178" s="4" t="s">
        <v>12</v>
      </c>
      <c r="F178" s="4">
        <v>680</v>
      </c>
      <c r="H178" s="4">
        <v>27.879999999999995</v>
      </c>
      <c r="I178" s="4">
        <v>23.187999999999999</v>
      </c>
      <c r="J178" s="4">
        <v>48.076000000000001</v>
      </c>
      <c r="K178" s="4">
        <v>39.576000000000001</v>
      </c>
      <c r="L178" s="4">
        <v>14.075999999999999</v>
      </c>
      <c r="M178" s="4">
        <v>5.9159999999999995</v>
      </c>
      <c r="N178" s="4">
        <v>25.432000000000002</v>
      </c>
      <c r="O178" s="4">
        <v>23.187999999999999</v>
      </c>
      <c r="P178" s="4">
        <v>32.503999999999998</v>
      </c>
      <c r="Q178" s="4">
        <v>40.867999999999995</v>
      </c>
      <c r="R178" s="4">
        <v>10.132</v>
      </c>
      <c r="T178" s="10"/>
      <c r="V178" s="17">
        <f>G178*'IAA digestibility'!G178</f>
        <v>0</v>
      </c>
      <c r="W178" s="17">
        <f>H178*'IAA digestibility'!H178</f>
        <v>23.196159999999995</v>
      </c>
      <c r="X178" s="17">
        <f>I178*'IAA digestibility'!I178</f>
        <v>18.619964</v>
      </c>
      <c r="Y178" s="17">
        <f>J178*'IAA digestibility'!J178</f>
        <v>38.941560000000003</v>
      </c>
      <c r="Z178" s="17">
        <f>K178*'IAA digestibility'!K178</f>
        <v>33.045960000000001</v>
      </c>
      <c r="AA178" s="17">
        <f>L178*'IAA digestibility'!L178</f>
        <v>11.767535999999998</v>
      </c>
      <c r="AB178" s="17">
        <f>M178*'IAA digestibility'!M178</f>
        <v>4.8008339999999992</v>
      </c>
      <c r="AC178" s="17">
        <f>N178*'IAA digestibility'!N178</f>
        <v>20.472760000000005</v>
      </c>
      <c r="AD178" s="17">
        <f>O178*'IAA digestibility'!O178</f>
        <v>18.202580000000001</v>
      </c>
      <c r="AE178" s="17">
        <f>P178*'IAA digestibility'!P178</f>
        <v>26.198224</v>
      </c>
      <c r="AF178" s="17">
        <f>R178*'IAA digestibility'!R178</f>
        <v>8.186656000000001</v>
      </c>
      <c r="AG178" s="25"/>
      <c r="AH178" s="17">
        <f t="shared" si="19"/>
        <v>0</v>
      </c>
      <c r="AI178" s="17">
        <f t="shared" si="20"/>
        <v>34.111999999999995</v>
      </c>
      <c r="AJ178" s="17">
        <f t="shared" si="21"/>
        <v>27.382299999999997</v>
      </c>
      <c r="AK178" s="17">
        <f t="shared" si="22"/>
        <v>57.267000000000003</v>
      </c>
      <c r="AL178" s="17">
        <f t="shared" si="23"/>
        <v>48.597000000000001</v>
      </c>
      <c r="AM178" s="17">
        <f t="shared" si="24"/>
        <v>24.36525</v>
      </c>
      <c r="AN178" s="18">
        <f t="shared" si="25"/>
        <v>56.875500000000009</v>
      </c>
      <c r="AO178" s="17">
        <f t="shared" si="26"/>
        <v>38.526800000000001</v>
      </c>
      <c r="AP178" s="17">
        <f t="shared" si="27"/>
        <v>12.039200000000001</v>
      </c>
    </row>
    <row r="179" spans="1:43" s="4" customFormat="1" x14ac:dyDescent="0.25">
      <c r="A179" s="4" t="s">
        <v>277</v>
      </c>
      <c r="B179" s="4" t="s">
        <v>24</v>
      </c>
      <c r="C179" s="4">
        <v>15</v>
      </c>
      <c r="E179" s="4" t="s">
        <v>12</v>
      </c>
      <c r="F179" s="4">
        <v>588.79999999999995</v>
      </c>
      <c r="H179" s="4">
        <v>18.782719999999998</v>
      </c>
      <c r="I179" s="4">
        <v>10.5984</v>
      </c>
      <c r="J179" s="4">
        <v>22.197759999999999</v>
      </c>
      <c r="K179" s="4">
        <v>60.999679999999998</v>
      </c>
      <c r="L179" s="4">
        <v>17.781759999999998</v>
      </c>
      <c r="M179" s="4">
        <v>4.4160000000000004</v>
      </c>
      <c r="N179" s="4">
        <v>12.188159999999998</v>
      </c>
      <c r="O179" s="4">
        <v>6.7711999999999994</v>
      </c>
      <c r="P179" s="4">
        <v>17.781759999999998</v>
      </c>
      <c r="Q179" s="4">
        <v>18.782719999999998</v>
      </c>
      <c r="R179" s="4">
        <v>5.4169600000000004</v>
      </c>
      <c r="S179" s="4" t="s">
        <v>275</v>
      </c>
      <c r="T179" s="10"/>
      <c r="V179" s="17">
        <f>G179*'IAA digestibility'!G179</f>
        <v>0</v>
      </c>
      <c r="W179" s="17">
        <f>H179*'IAA digestibility'!H179</f>
        <v>15.739919359999998</v>
      </c>
      <c r="X179" s="17">
        <f>I179*'IAA digestibility'!I179</f>
        <v>8.6800895999999987</v>
      </c>
      <c r="Y179" s="17">
        <f>J179*'IAA digestibility'!J179</f>
        <v>18.224360959999998</v>
      </c>
      <c r="Z179" s="17">
        <f>K179*'IAA digestibility'!K179</f>
        <v>51.056732159999996</v>
      </c>
      <c r="AA179" s="17">
        <f>L179*'IAA digestibility'!L179</f>
        <v>14.901114879999998</v>
      </c>
      <c r="AB179" s="17">
        <f>M179*'IAA digestibility'!M179</f>
        <v>3.6511488000000001</v>
      </c>
      <c r="AC179" s="17">
        <f>N179*'IAA digestibility'!N179</f>
        <v>10.006479359999998</v>
      </c>
      <c r="AD179" s="17">
        <f>O179*'IAA digestibility'!O179</f>
        <v>5.5049855999999995</v>
      </c>
      <c r="AE179" s="17">
        <f>P179*'IAA digestibility'!P179</f>
        <v>14.598824959999998</v>
      </c>
      <c r="AF179" s="17">
        <f>R179*'IAA digestibility'!R179</f>
        <v>4.4744089599999999</v>
      </c>
      <c r="AG179" s="25"/>
      <c r="AH179" s="17">
        <f t="shared" si="19"/>
        <v>0</v>
      </c>
      <c r="AI179" s="17">
        <f t="shared" si="20"/>
        <v>26.732199999999999</v>
      </c>
      <c r="AJ179" s="17">
        <f t="shared" si="21"/>
        <v>14.741999999999997</v>
      </c>
      <c r="AK179" s="17">
        <f t="shared" si="22"/>
        <v>30.951699999999999</v>
      </c>
      <c r="AL179" s="17">
        <f t="shared" si="23"/>
        <v>86.713200000000001</v>
      </c>
      <c r="AM179" s="17">
        <f t="shared" si="24"/>
        <v>31.508600000000005</v>
      </c>
      <c r="AN179" s="18">
        <f t="shared" si="25"/>
        <v>26.344199999999997</v>
      </c>
      <c r="AO179" s="17">
        <f t="shared" si="26"/>
        <v>24.7942</v>
      </c>
      <c r="AP179" s="17">
        <f t="shared" si="27"/>
        <v>7.5992000000000006</v>
      </c>
    </row>
    <row r="180" spans="1:43" s="4" customFormat="1" x14ac:dyDescent="0.25">
      <c r="A180" s="4" t="s">
        <v>278</v>
      </c>
      <c r="B180" s="4" t="s">
        <v>24</v>
      </c>
      <c r="C180" s="4">
        <v>15</v>
      </c>
      <c r="E180" s="4" t="s">
        <v>12</v>
      </c>
      <c r="F180" s="4">
        <v>715.2</v>
      </c>
      <c r="H180" s="4">
        <v>25.032</v>
      </c>
      <c r="I180" s="4">
        <v>21.169920000000001</v>
      </c>
      <c r="J180" s="4">
        <v>43.555680000000002</v>
      </c>
      <c r="K180" s="4">
        <v>22.314240000000002</v>
      </c>
      <c r="L180" s="4">
        <v>14.01792</v>
      </c>
      <c r="M180" s="4">
        <v>4.7918400000000005</v>
      </c>
      <c r="N180" s="4">
        <v>24.602879999999999</v>
      </c>
      <c r="O180" s="4">
        <v>20.883839999999999</v>
      </c>
      <c r="P180" s="4">
        <v>27.821280000000002</v>
      </c>
      <c r="Q180" s="4">
        <v>41.910720000000005</v>
      </c>
      <c r="R180" s="4">
        <v>20.669280000000001</v>
      </c>
      <c r="T180" s="10"/>
      <c r="V180" s="17">
        <f>G180*'IAA digestibility'!G180</f>
        <v>0</v>
      </c>
      <c r="W180" s="17">
        <f>H180*'IAA digestibility'!H180</f>
        <v>20.726495999999997</v>
      </c>
      <c r="X180" s="17">
        <f>I180*'IAA digestibility'!I180</f>
        <v>17.528693759999999</v>
      </c>
      <c r="Y180" s="17">
        <f>J180*'IAA digestibility'!J180</f>
        <v>36.020547360000002</v>
      </c>
      <c r="Z180" s="17">
        <f>K180*'IAA digestibility'!K180</f>
        <v>18.453876480000002</v>
      </c>
      <c r="AA180" s="17">
        <f>L180*'IAA digestibility'!L180</f>
        <v>11.634873599999999</v>
      </c>
      <c r="AB180" s="17">
        <f>M180*'IAA digestibility'!M180</f>
        <v>3.9609349440000003</v>
      </c>
      <c r="AC180" s="17">
        <f>N180*'IAA digestibility'!N180</f>
        <v>20.32197888</v>
      </c>
      <c r="AD180" s="17">
        <f>O180*'IAA digestibility'!O180</f>
        <v>17.208284159999998</v>
      </c>
      <c r="AE180" s="17">
        <f>P180*'IAA digestibility'!P180</f>
        <v>23.00819856</v>
      </c>
      <c r="AF180" s="17">
        <f>R180*'IAA digestibility'!R180</f>
        <v>17.09349456</v>
      </c>
      <c r="AG180" s="25"/>
      <c r="AH180" s="17">
        <f t="shared" si="19"/>
        <v>0</v>
      </c>
      <c r="AI180" s="17">
        <f t="shared" si="20"/>
        <v>28.979999999999997</v>
      </c>
      <c r="AJ180" s="17">
        <f t="shared" si="21"/>
        <v>24.508799999999997</v>
      </c>
      <c r="AK180" s="17">
        <f t="shared" si="22"/>
        <v>50.3643</v>
      </c>
      <c r="AL180" s="17">
        <f t="shared" si="23"/>
        <v>25.802399999999999</v>
      </c>
      <c r="AM180" s="17">
        <f t="shared" si="24"/>
        <v>21.806219999999996</v>
      </c>
      <c r="AN180" s="18">
        <f t="shared" si="25"/>
        <v>52.475199999999987</v>
      </c>
      <c r="AO180" s="17">
        <f t="shared" si="26"/>
        <v>32.170299999999997</v>
      </c>
      <c r="AP180" s="17">
        <f t="shared" si="27"/>
        <v>23.900299999999998</v>
      </c>
    </row>
    <row r="181" spans="1:43" s="4" customFormat="1" x14ac:dyDescent="0.25">
      <c r="A181" s="4" t="s">
        <v>200</v>
      </c>
      <c r="B181" s="4" t="s">
        <v>24</v>
      </c>
      <c r="C181" s="4">
        <v>2</v>
      </c>
      <c r="E181" s="4" t="s">
        <v>12</v>
      </c>
      <c r="F181" s="4">
        <v>551</v>
      </c>
      <c r="G181" s="4">
        <v>3.5</v>
      </c>
      <c r="H181" s="4">
        <v>18.399999999999999</v>
      </c>
      <c r="I181" s="4">
        <v>16.100000000000001</v>
      </c>
      <c r="J181" s="4">
        <v>33.4</v>
      </c>
      <c r="K181" s="4">
        <v>27.9</v>
      </c>
      <c r="L181" s="4">
        <v>7.1</v>
      </c>
      <c r="M181" s="4">
        <v>6.1</v>
      </c>
      <c r="N181" s="4">
        <v>18.899999999999999</v>
      </c>
      <c r="O181" s="4">
        <v>12.4</v>
      </c>
      <c r="P181" s="4">
        <v>24.6</v>
      </c>
      <c r="Q181" s="4">
        <v>38.200000000000003</v>
      </c>
      <c r="R181" s="4">
        <v>11</v>
      </c>
      <c r="S181" s="4" t="s">
        <v>201</v>
      </c>
      <c r="T181" s="10"/>
      <c r="V181" s="17">
        <f>G181*'IAA digestibility'!G181</f>
        <v>2.8000000000000003</v>
      </c>
      <c r="W181" s="17">
        <f>H181*'IAA digestibility'!H181</f>
        <v>15.087999999999997</v>
      </c>
      <c r="X181" s="17">
        <f>I181*'IAA digestibility'!I181</f>
        <v>13.524000000000001</v>
      </c>
      <c r="Y181" s="17">
        <f>J181*'IAA digestibility'!J181</f>
        <v>28.389999999999997</v>
      </c>
      <c r="Z181" s="17">
        <f>K181*'IAA digestibility'!K181</f>
        <v>23.435999999999996</v>
      </c>
      <c r="AA181" s="17">
        <f>L181*'IAA digestibility'!L181</f>
        <v>6.1059999999999999</v>
      </c>
      <c r="AB181" s="17">
        <f>M181*'IAA digestibility'!M181</f>
        <v>4.0869999999999997</v>
      </c>
      <c r="AC181" s="17">
        <f>N181*'IAA digestibility'!N181</f>
        <v>16.064999999999998</v>
      </c>
      <c r="AD181" s="17">
        <f>O181*'IAA digestibility'!O181</f>
        <v>10.167999999999999</v>
      </c>
      <c r="AE181" s="17">
        <f>P181*'IAA digestibility'!P181</f>
        <v>20.417999999999999</v>
      </c>
      <c r="AF181" s="17">
        <f>R181*'IAA digestibility'!R181</f>
        <v>8.6900000000000013</v>
      </c>
      <c r="AG181" s="25"/>
      <c r="AH181" s="17">
        <f t="shared" si="19"/>
        <v>5.0816696914700552</v>
      </c>
      <c r="AI181" s="17">
        <f t="shared" si="20"/>
        <v>27.382940108892917</v>
      </c>
      <c r="AJ181" s="17">
        <f t="shared" si="21"/>
        <v>24.544464609800364</v>
      </c>
      <c r="AK181" s="17">
        <f t="shared" si="22"/>
        <v>51.524500907441009</v>
      </c>
      <c r="AL181" s="17">
        <f t="shared" si="23"/>
        <v>42.533575317604353</v>
      </c>
      <c r="AM181" s="17">
        <f t="shared" si="24"/>
        <v>18.499092558983666</v>
      </c>
      <c r="AN181" s="18">
        <f t="shared" si="25"/>
        <v>47.609800362976401</v>
      </c>
      <c r="AO181" s="17">
        <f t="shared" si="26"/>
        <v>37.0562613430127</v>
      </c>
      <c r="AP181" s="17">
        <f t="shared" si="27"/>
        <v>15.77132486388385</v>
      </c>
    </row>
    <row r="182" spans="1:43" s="4" customFormat="1" x14ac:dyDescent="0.25">
      <c r="A182" s="4" t="s">
        <v>202</v>
      </c>
      <c r="B182" s="4" t="s">
        <v>24</v>
      </c>
      <c r="C182" s="4">
        <v>2</v>
      </c>
      <c r="E182" s="4" t="s">
        <v>12</v>
      </c>
      <c r="F182" s="4">
        <v>575</v>
      </c>
      <c r="G182" s="4">
        <v>5</v>
      </c>
      <c r="H182" s="4">
        <v>23</v>
      </c>
      <c r="I182" s="4">
        <v>23.1</v>
      </c>
      <c r="J182" s="4">
        <v>40.1</v>
      </c>
      <c r="K182" s="4">
        <v>26.4</v>
      </c>
      <c r="L182" s="4">
        <v>8.1</v>
      </c>
      <c r="M182" s="4">
        <v>15.1</v>
      </c>
      <c r="N182" s="4">
        <v>22.6</v>
      </c>
      <c r="O182" s="4">
        <v>15</v>
      </c>
      <c r="P182" s="4">
        <v>31.6</v>
      </c>
      <c r="Q182" s="4">
        <v>37.9</v>
      </c>
      <c r="R182" s="4">
        <v>10.3</v>
      </c>
      <c r="S182" s="4" t="s">
        <v>203</v>
      </c>
      <c r="T182" s="10"/>
      <c r="V182" s="17">
        <f>G182*'IAA digestibility'!G182</f>
        <v>3.7</v>
      </c>
      <c r="W182" s="17">
        <f>H182*'IAA digestibility'!H182</f>
        <v>17.71</v>
      </c>
      <c r="X182" s="17">
        <f>I182*'IAA digestibility'!I182</f>
        <v>18.711000000000002</v>
      </c>
      <c r="Y182" s="17">
        <f>J182*'IAA digestibility'!J182</f>
        <v>32.080000000000005</v>
      </c>
      <c r="Z182" s="17">
        <f>K182*'IAA digestibility'!K182</f>
        <v>20.855999999999998</v>
      </c>
      <c r="AA182" s="17">
        <f>L182*'IAA digestibility'!L182</f>
        <v>6.5609999999999999</v>
      </c>
      <c r="AB182" s="17">
        <f>M182*'IAA digestibility'!M182</f>
        <v>10.418999999999999</v>
      </c>
      <c r="AC182" s="17">
        <f>N182*'IAA digestibility'!N182</f>
        <v>18.080000000000002</v>
      </c>
      <c r="AD182" s="17">
        <f>O182*'IAA digestibility'!O182</f>
        <v>11.4</v>
      </c>
      <c r="AE182" s="17">
        <f>P182*'IAA digestibility'!P182</f>
        <v>23.700000000000003</v>
      </c>
      <c r="AF182" s="17">
        <f>R182*'IAA digestibility'!R182</f>
        <v>7.7250000000000005</v>
      </c>
      <c r="AG182" s="25"/>
      <c r="AH182" s="17">
        <f t="shared" si="19"/>
        <v>6.4347826086956532</v>
      </c>
      <c r="AI182" s="17">
        <f t="shared" si="20"/>
        <v>30.8</v>
      </c>
      <c r="AJ182" s="17">
        <f t="shared" si="21"/>
        <v>32.540869565217392</v>
      </c>
      <c r="AK182" s="17">
        <f t="shared" si="22"/>
        <v>55.791304347826092</v>
      </c>
      <c r="AL182" s="17">
        <f t="shared" si="23"/>
        <v>36.271304347826081</v>
      </c>
      <c r="AM182" s="17">
        <f t="shared" si="24"/>
        <v>29.53043478260869</v>
      </c>
      <c r="AN182" s="18">
        <f t="shared" si="25"/>
        <v>51.26956521739131</v>
      </c>
      <c r="AO182" s="17">
        <f t="shared" si="26"/>
        <v>41.217391304347828</v>
      </c>
      <c r="AP182" s="17">
        <f t="shared" si="27"/>
        <v>13.434782608695654</v>
      </c>
    </row>
    <row r="183" spans="1:43" s="4" customFormat="1" x14ac:dyDescent="0.25">
      <c r="A183" s="4" t="s">
        <v>204</v>
      </c>
      <c r="B183" s="4" t="s">
        <v>24</v>
      </c>
      <c r="C183" s="4">
        <v>2</v>
      </c>
      <c r="E183" s="4" t="s">
        <v>12</v>
      </c>
      <c r="F183" s="4">
        <v>675</v>
      </c>
      <c r="G183" s="4">
        <v>4.8</v>
      </c>
      <c r="H183" s="4">
        <v>27.1</v>
      </c>
      <c r="I183" s="4">
        <v>26.9</v>
      </c>
      <c r="J183" s="4">
        <v>47.8</v>
      </c>
      <c r="K183" s="4">
        <v>32.700000000000003</v>
      </c>
      <c r="L183" s="4">
        <v>11.7</v>
      </c>
      <c r="M183" s="4">
        <v>9.1</v>
      </c>
      <c r="N183" s="4">
        <v>26.9</v>
      </c>
      <c r="O183" s="4">
        <v>18.5</v>
      </c>
      <c r="P183" s="4">
        <v>34.9</v>
      </c>
      <c r="Q183" s="4">
        <v>44.9</v>
      </c>
      <c r="R183" s="4">
        <v>12.6</v>
      </c>
      <c r="S183" s="4" t="s">
        <v>205</v>
      </c>
      <c r="T183" s="10"/>
      <c r="V183" s="17">
        <f>G183*'IAA digestibility'!G183</f>
        <v>3.36</v>
      </c>
      <c r="W183" s="17">
        <f>H183*'IAA digestibility'!H183</f>
        <v>20.867000000000001</v>
      </c>
      <c r="X183" s="17">
        <f>I183*'IAA digestibility'!I183</f>
        <v>22.326999999999998</v>
      </c>
      <c r="Y183" s="17">
        <f>J183*'IAA digestibility'!J183</f>
        <v>39.195999999999998</v>
      </c>
      <c r="Z183" s="17">
        <f>K183*'IAA digestibility'!K183</f>
        <v>26.160000000000004</v>
      </c>
      <c r="AA183" s="17">
        <f>L183*'IAA digestibility'!L183</f>
        <v>9.5939999999999994</v>
      </c>
      <c r="AB183" s="17">
        <f>M183*'IAA digestibility'!M183</f>
        <v>6.0970000000000004</v>
      </c>
      <c r="AC183" s="17">
        <f>N183*'IAA digestibility'!N183</f>
        <v>22.326999999999998</v>
      </c>
      <c r="AD183" s="17">
        <f>O183*'IAA digestibility'!O183</f>
        <v>15.17</v>
      </c>
      <c r="AE183" s="17">
        <f>P183*'IAA digestibility'!P183</f>
        <v>27.92</v>
      </c>
      <c r="AF183" s="17">
        <f>R183*'IAA digestibility'!R183</f>
        <v>8.5679999999999996</v>
      </c>
      <c r="AG183" s="25"/>
      <c r="AH183" s="17">
        <f t="shared" si="19"/>
        <v>4.9777777777777779</v>
      </c>
      <c r="AI183" s="17">
        <f t="shared" si="20"/>
        <v>30.914074074074076</v>
      </c>
      <c r="AJ183" s="17">
        <f t="shared" si="21"/>
        <v>33.077037037037037</v>
      </c>
      <c r="AK183" s="17">
        <f t="shared" si="22"/>
        <v>58.068148148148147</v>
      </c>
      <c r="AL183" s="17">
        <f t="shared" si="23"/>
        <v>38.755555555555567</v>
      </c>
      <c r="AM183" s="17">
        <f t="shared" si="24"/>
        <v>23.245925925925924</v>
      </c>
      <c r="AN183" s="18">
        <f t="shared" si="25"/>
        <v>55.551111111111112</v>
      </c>
      <c r="AO183" s="17">
        <f t="shared" si="26"/>
        <v>41.36296296296296</v>
      </c>
      <c r="AP183" s="17">
        <f t="shared" si="27"/>
        <v>12.693333333333333</v>
      </c>
    </row>
    <row r="184" spans="1:43" s="4" customFormat="1" x14ac:dyDescent="0.25">
      <c r="A184" s="4" t="s">
        <v>206</v>
      </c>
      <c r="B184" s="4" t="s">
        <v>24</v>
      </c>
      <c r="C184" s="4">
        <v>2</v>
      </c>
      <c r="E184" s="4" t="s">
        <v>12</v>
      </c>
      <c r="F184" s="4">
        <v>822</v>
      </c>
      <c r="G184" s="4">
        <v>5.9</v>
      </c>
      <c r="H184" s="4">
        <v>33.299999999999997</v>
      </c>
      <c r="I184" s="4">
        <v>32.5</v>
      </c>
      <c r="J184" s="4">
        <v>59.1</v>
      </c>
      <c r="K184" s="4">
        <v>42.1</v>
      </c>
      <c r="L184" s="4">
        <v>10</v>
      </c>
      <c r="M184" s="4">
        <v>25.2</v>
      </c>
      <c r="N184" s="4">
        <v>33.299999999999997</v>
      </c>
      <c r="O184" s="4">
        <v>23.6</v>
      </c>
      <c r="P184" s="4">
        <v>39.9</v>
      </c>
      <c r="Q184" s="4">
        <v>55.3</v>
      </c>
      <c r="R184" s="4">
        <v>16.100000000000001</v>
      </c>
      <c r="S184" s="4" t="s">
        <v>203</v>
      </c>
      <c r="T184" s="10"/>
      <c r="V184" s="17">
        <f>G184*'IAA digestibility'!G184</f>
        <v>4.13</v>
      </c>
      <c r="W184" s="17">
        <f>H184*'IAA digestibility'!H184</f>
        <v>25.640999999999998</v>
      </c>
      <c r="X184" s="17">
        <f>I184*'IAA digestibility'!I184</f>
        <v>26.974999999999998</v>
      </c>
      <c r="Y184" s="17">
        <f>J184*'IAA digestibility'!J184</f>
        <v>48.461999999999996</v>
      </c>
      <c r="Z184" s="17">
        <f>K184*'IAA digestibility'!K184</f>
        <v>33.68</v>
      </c>
      <c r="AA184" s="17">
        <f>L184*'IAA digestibility'!L184</f>
        <v>8.1999999999999993</v>
      </c>
      <c r="AB184" s="17">
        <f>M184*'IAA digestibility'!M184</f>
        <v>16.884</v>
      </c>
      <c r="AC184" s="17">
        <f>N184*'IAA digestibility'!N184</f>
        <v>27.638999999999996</v>
      </c>
      <c r="AD184" s="17">
        <f>O184*'IAA digestibility'!O184</f>
        <v>19.352</v>
      </c>
      <c r="AE184" s="17">
        <f>P184*'IAA digestibility'!P184</f>
        <v>31.92</v>
      </c>
      <c r="AF184" s="17">
        <f>R184*'IAA digestibility'!R184</f>
        <v>10.948000000000002</v>
      </c>
      <c r="AG184" s="25"/>
      <c r="AH184" s="17">
        <f t="shared" si="19"/>
        <v>5.0243309002433092</v>
      </c>
      <c r="AI184" s="17">
        <f t="shared" si="20"/>
        <v>31.193430656934304</v>
      </c>
      <c r="AJ184" s="17">
        <f t="shared" si="21"/>
        <v>32.816301703163013</v>
      </c>
      <c r="AK184" s="17">
        <f t="shared" si="22"/>
        <v>58.956204379562038</v>
      </c>
      <c r="AL184" s="17">
        <f t="shared" si="23"/>
        <v>40.973236009732354</v>
      </c>
      <c r="AM184" s="17">
        <f t="shared" si="24"/>
        <v>30.515815085158149</v>
      </c>
      <c r="AN184" s="18">
        <f t="shared" si="25"/>
        <v>57.166666666666664</v>
      </c>
      <c r="AO184" s="17">
        <f t="shared" si="26"/>
        <v>38.832116788321173</v>
      </c>
      <c r="AP184" s="17">
        <f t="shared" si="27"/>
        <v>13.318734793187351</v>
      </c>
    </row>
    <row r="185" spans="1:43" s="4" customFormat="1" x14ac:dyDescent="0.25">
      <c r="A185" s="4" t="s">
        <v>213</v>
      </c>
      <c r="B185" s="4" t="s">
        <v>24</v>
      </c>
      <c r="C185" s="4">
        <v>6</v>
      </c>
      <c r="E185" s="4" t="s">
        <v>12</v>
      </c>
      <c r="F185" s="4">
        <v>660</v>
      </c>
      <c r="G185" s="4">
        <v>11.5</v>
      </c>
      <c r="H185" s="4">
        <v>31</v>
      </c>
      <c r="I185" s="4">
        <v>26</v>
      </c>
      <c r="J185" s="4">
        <v>59</v>
      </c>
      <c r="K185" s="4">
        <v>61</v>
      </c>
      <c r="L185" s="4">
        <v>5</v>
      </c>
      <c r="M185" s="4">
        <v>16</v>
      </c>
      <c r="N185" s="4">
        <v>38</v>
      </c>
      <c r="P185" s="4">
        <v>47</v>
      </c>
      <c r="Q185" s="4">
        <v>34</v>
      </c>
      <c r="R185" s="4">
        <v>22</v>
      </c>
      <c r="S185" s="4" t="s">
        <v>218</v>
      </c>
      <c r="T185" s="10"/>
      <c r="V185" s="17">
        <f>G185*'IAA digestibility'!G185</f>
        <v>9.5449999999999999</v>
      </c>
      <c r="W185" s="17">
        <f>H185*'IAA digestibility'!H185</f>
        <v>22.32</v>
      </c>
      <c r="X185" s="17">
        <f>I185*'IAA digestibility'!I185</f>
        <v>21.84</v>
      </c>
      <c r="Y185" s="17">
        <f>J185*'IAA digestibility'!J185</f>
        <v>50.15</v>
      </c>
      <c r="Z185" s="17">
        <f>K185*'IAA digestibility'!K185</f>
        <v>51.85</v>
      </c>
      <c r="AA185" s="17">
        <f>L185*'IAA digestibility'!L185</f>
        <v>3.5999999999999996</v>
      </c>
      <c r="AB185" s="17">
        <f>M185*'IAA digestibility'!M185</f>
        <v>11.84</v>
      </c>
      <c r="AC185" s="17">
        <f>N185*'IAA digestibility'!N185</f>
        <v>33.44</v>
      </c>
      <c r="AD185" s="17">
        <f>O185*'IAA digestibility'!O185</f>
        <v>0</v>
      </c>
      <c r="AE185" s="17">
        <f>P185*'IAA digestibility'!P185</f>
        <v>39.01</v>
      </c>
      <c r="AF185" s="17">
        <f>R185*'IAA digestibility'!R185</f>
        <v>18.04</v>
      </c>
      <c r="AG185" s="25"/>
      <c r="AH185" s="17">
        <f t="shared" si="19"/>
        <v>14.462121212121213</v>
      </c>
      <c r="AI185" s="17">
        <f t="shared" si="20"/>
        <v>33.81818181818182</v>
      </c>
      <c r="AJ185" s="17">
        <f t="shared" si="21"/>
        <v>33.090909090909086</v>
      </c>
      <c r="AK185" s="17">
        <f t="shared" si="22"/>
        <v>75.984848484848484</v>
      </c>
      <c r="AL185" s="17">
        <f t="shared" si="23"/>
        <v>78.560606060606062</v>
      </c>
      <c r="AM185" s="17">
        <f t="shared" si="24"/>
        <v>23.393939393939394</v>
      </c>
      <c r="AN185" s="18">
        <f t="shared" si="25"/>
        <v>50.666666666666664</v>
      </c>
      <c r="AO185" s="17">
        <f t="shared" si="26"/>
        <v>59.106060606060609</v>
      </c>
      <c r="AP185" s="17">
        <f t="shared" si="27"/>
        <v>27.333333333333332</v>
      </c>
    </row>
    <row r="186" spans="1:43" s="4" customFormat="1" x14ac:dyDescent="0.25">
      <c r="A186" s="4" t="s">
        <v>216</v>
      </c>
      <c r="B186" s="4" t="s">
        <v>24</v>
      </c>
      <c r="C186" s="4">
        <v>6</v>
      </c>
      <c r="E186" s="4" t="s">
        <v>12</v>
      </c>
      <c r="F186" s="4">
        <v>780</v>
      </c>
      <c r="G186" s="4">
        <v>5.6</v>
      </c>
      <c r="H186" s="4">
        <v>25</v>
      </c>
      <c r="I186" s="4">
        <v>23</v>
      </c>
      <c r="J186" s="4">
        <v>52</v>
      </c>
      <c r="K186" s="4">
        <v>58</v>
      </c>
      <c r="L186" s="4">
        <v>14</v>
      </c>
      <c r="M186" s="4">
        <v>7</v>
      </c>
      <c r="N186" s="4">
        <v>23</v>
      </c>
      <c r="P186" s="4">
        <v>35</v>
      </c>
      <c r="Q186" s="4">
        <v>41</v>
      </c>
      <c r="R186" s="4">
        <v>14</v>
      </c>
      <c r="S186" s="4" t="s">
        <v>218</v>
      </c>
      <c r="T186" s="10"/>
      <c r="V186" s="17">
        <f>G186*'IAA digestibility'!G186</f>
        <v>5.04</v>
      </c>
      <c r="W186" s="17">
        <f>H186*'IAA digestibility'!H186</f>
        <v>20.75</v>
      </c>
      <c r="X186" s="17">
        <f>I186*'IAA digestibility'!I186</f>
        <v>20.47</v>
      </c>
      <c r="Y186" s="17">
        <f>J186*'IAA digestibility'!J186</f>
        <v>47.84</v>
      </c>
      <c r="Z186" s="17">
        <f>K186*'IAA digestibility'!K186</f>
        <v>51.62</v>
      </c>
      <c r="AA186" s="17">
        <f>L186*'IAA digestibility'!L186</f>
        <v>12.6</v>
      </c>
      <c r="AB186" s="17">
        <f>M186*'IAA digestibility'!M186</f>
        <v>4.4800000000000004</v>
      </c>
      <c r="AC186" s="17">
        <f>N186*'IAA digestibility'!N186</f>
        <v>20.93</v>
      </c>
      <c r="AD186" s="17">
        <f>O186*'IAA digestibility'!O186</f>
        <v>0</v>
      </c>
      <c r="AE186" s="17">
        <f>P186*'IAA digestibility'!P186</f>
        <v>30.8</v>
      </c>
      <c r="AF186" s="17">
        <f>R186*'IAA digestibility'!R186</f>
        <v>12.04</v>
      </c>
      <c r="AG186" s="25"/>
      <c r="AH186" s="17">
        <f t="shared" si="19"/>
        <v>6.4615384615384617</v>
      </c>
      <c r="AI186" s="17">
        <f t="shared" si="20"/>
        <v>26.602564102564102</v>
      </c>
      <c r="AJ186" s="17">
        <f t="shared" si="21"/>
        <v>26.243589743589745</v>
      </c>
      <c r="AK186" s="17">
        <f t="shared" si="22"/>
        <v>61.333333333333336</v>
      </c>
      <c r="AL186" s="17">
        <f t="shared" si="23"/>
        <v>66.179487179487168</v>
      </c>
      <c r="AM186" s="17">
        <f t="shared" si="24"/>
        <v>21.897435897435898</v>
      </c>
      <c r="AN186" s="18">
        <f t="shared" si="25"/>
        <v>26.833333333333336</v>
      </c>
      <c r="AO186" s="17">
        <f t="shared" si="26"/>
        <v>39.487179487179489</v>
      </c>
      <c r="AP186" s="17">
        <f t="shared" si="27"/>
        <v>15.435897435897434</v>
      </c>
    </row>
    <row r="187" spans="1:43" s="4" customFormat="1" x14ac:dyDescent="0.25">
      <c r="A187" s="4" t="s">
        <v>217</v>
      </c>
      <c r="B187" s="4" t="s">
        <v>24</v>
      </c>
      <c r="C187" s="4">
        <v>6</v>
      </c>
      <c r="E187" s="4" t="s">
        <v>12</v>
      </c>
      <c r="F187" s="4">
        <v>910</v>
      </c>
      <c r="G187" s="4">
        <v>3.7</v>
      </c>
      <c r="H187" s="4">
        <v>25</v>
      </c>
      <c r="I187" s="4">
        <v>24</v>
      </c>
      <c r="J187" s="4">
        <v>48</v>
      </c>
      <c r="K187" s="4">
        <v>61</v>
      </c>
      <c r="L187" s="4">
        <v>15</v>
      </c>
      <c r="M187" s="4">
        <v>5</v>
      </c>
      <c r="N187" s="4">
        <v>22</v>
      </c>
      <c r="P187" s="4">
        <v>32</v>
      </c>
      <c r="Q187" s="4">
        <v>54</v>
      </c>
      <c r="R187" s="4">
        <v>22</v>
      </c>
      <c r="S187" s="4" t="s">
        <v>218</v>
      </c>
      <c r="T187" s="10"/>
      <c r="V187" s="17">
        <f>G187*'IAA digestibility'!G187</f>
        <v>3.2560000000000002</v>
      </c>
      <c r="W187" s="17">
        <f>H187*'IAA digestibility'!H187</f>
        <v>22.75</v>
      </c>
      <c r="X187" s="17">
        <f>I187*'IAA digestibility'!I187</f>
        <v>21.6</v>
      </c>
      <c r="Y187" s="17">
        <f>J187*'IAA digestibility'!J187</f>
        <v>44.64</v>
      </c>
      <c r="Z187" s="17">
        <f>K187*'IAA digestibility'!K187</f>
        <v>56.730000000000004</v>
      </c>
      <c r="AA187" s="17">
        <f>L187*'IAA digestibility'!L187</f>
        <v>14.1</v>
      </c>
      <c r="AB187" s="17">
        <f>M187*'IAA digestibility'!M187</f>
        <v>3.65</v>
      </c>
      <c r="AC187" s="17">
        <f>N187*'IAA digestibility'!N187</f>
        <v>20.240000000000002</v>
      </c>
      <c r="AD187" s="17">
        <f>O187*'IAA digestibility'!O187</f>
        <v>0</v>
      </c>
      <c r="AE187" s="17">
        <f>P187*'IAA digestibility'!P187</f>
        <v>28.8</v>
      </c>
      <c r="AF187" s="17">
        <f>R187*'IAA digestibility'!R187</f>
        <v>21.34</v>
      </c>
      <c r="AG187" s="25"/>
      <c r="AH187" s="17">
        <f t="shared" si="19"/>
        <v>3.5780219780219782</v>
      </c>
      <c r="AI187" s="17">
        <f t="shared" si="20"/>
        <v>25</v>
      </c>
      <c r="AJ187" s="17">
        <f t="shared" si="21"/>
        <v>23.736263736263737</v>
      </c>
      <c r="AK187" s="17">
        <f t="shared" si="22"/>
        <v>49.054945054945058</v>
      </c>
      <c r="AL187" s="17">
        <f t="shared" si="23"/>
        <v>62.34065934065935</v>
      </c>
      <c r="AM187" s="17">
        <f t="shared" si="24"/>
        <v>19.505494505494507</v>
      </c>
      <c r="AN187" s="18">
        <f t="shared" si="25"/>
        <v>22.241758241758241</v>
      </c>
      <c r="AO187" s="17">
        <f t="shared" si="26"/>
        <v>31.64835164835165</v>
      </c>
      <c r="AP187" s="17">
        <f t="shared" si="27"/>
        <v>23.450549450549449</v>
      </c>
    </row>
    <row r="188" spans="1:43" s="6" customFormat="1" x14ac:dyDescent="0.25">
      <c r="V188" s="31"/>
      <c r="W188" s="31"/>
      <c r="X188" s="31"/>
      <c r="Y188" s="31"/>
      <c r="Z188" s="31"/>
      <c r="AA188" s="31"/>
      <c r="AB188" s="31"/>
      <c r="AC188" s="31"/>
      <c r="AD188" s="31"/>
      <c r="AE188" s="31"/>
      <c r="AF188" s="31"/>
      <c r="AG188" s="31"/>
      <c r="AH188" s="31"/>
      <c r="AI188" s="31"/>
      <c r="AJ188" s="31"/>
      <c r="AK188" s="31"/>
      <c r="AL188" s="31"/>
      <c r="AM188" s="31"/>
      <c r="AN188" s="30"/>
      <c r="AO188" s="31"/>
      <c r="AP188" s="31"/>
    </row>
    <row r="189" spans="1:43" s="4" customFormat="1" x14ac:dyDescent="0.25">
      <c r="A189" s="4" t="s">
        <v>281</v>
      </c>
      <c r="B189" s="4" t="s">
        <v>28</v>
      </c>
      <c r="C189" s="4" t="s">
        <v>373</v>
      </c>
      <c r="E189" s="4" t="s">
        <v>240</v>
      </c>
      <c r="F189" s="4">
        <v>872</v>
      </c>
      <c r="G189" s="4">
        <v>11.3</v>
      </c>
      <c r="H189" s="4">
        <v>37.5</v>
      </c>
      <c r="I189" s="4">
        <v>45.3</v>
      </c>
      <c r="J189" s="4">
        <v>84.6</v>
      </c>
      <c r="K189" s="4">
        <v>69.8</v>
      </c>
      <c r="L189" s="4">
        <v>26.2</v>
      </c>
      <c r="M189" s="4">
        <v>3.5</v>
      </c>
      <c r="N189" s="4">
        <v>45.3</v>
      </c>
      <c r="O189" s="4">
        <v>48.8</v>
      </c>
      <c r="P189" s="4">
        <v>58.4</v>
      </c>
      <c r="Q189" s="4">
        <v>31.4</v>
      </c>
      <c r="R189" s="4">
        <v>27</v>
      </c>
      <c r="T189" s="10"/>
      <c r="V189" s="17">
        <f>G189*'IAA digestibility'!G189</f>
        <v>10.961</v>
      </c>
      <c r="W189" s="17">
        <f>H189*'IAA digestibility'!H189</f>
        <v>34.5</v>
      </c>
      <c r="X189" s="17">
        <f>I189*'IAA digestibility'!I189</f>
        <v>43.487999999999992</v>
      </c>
      <c r="Y189" s="17">
        <f>J189*'IAA digestibility'!J189</f>
        <v>82.061999999999998</v>
      </c>
      <c r="Z189" s="17">
        <f>K189*'IAA digestibility'!K189</f>
        <v>67.705999999999989</v>
      </c>
      <c r="AA189" s="17">
        <f>L189*'IAA digestibility'!L189</f>
        <v>25.413999999999998</v>
      </c>
      <c r="AB189" s="17">
        <f>M189*'IAA digestibility'!M189</f>
        <v>3.15</v>
      </c>
      <c r="AC189" s="17">
        <f>N189*'IAA digestibility'!N189</f>
        <v>44.393999999999998</v>
      </c>
      <c r="AD189" s="17">
        <f>O189*'IAA digestibility'!O189</f>
        <v>47.823999999999998</v>
      </c>
      <c r="AE189" s="17">
        <f>P189*'IAA digestibility'!P189</f>
        <v>55.48</v>
      </c>
      <c r="AF189" s="17">
        <f>R189*'IAA digestibility'!R189</f>
        <v>26.189999999999998</v>
      </c>
      <c r="AG189" s="25"/>
      <c r="AH189" s="17">
        <f t="shared" si="19"/>
        <v>12.569954128440367</v>
      </c>
      <c r="AI189" s="17">
        <f t="shared" si="20"/>
        <v>39.564220183486235</v>
      </c>
      <c r="AJ189" s="17">
        <f t="shared" si="21"/>
        <v>49.871559633027516</v>
      </c>
      <c r="AK189" s="17">
        <f t="shared" si="22"/>
        <v>94.107798165137623</v>
      </c>
      <c r="AL189" s="17">
        <f t="shared" si="23"/>
        <v>77.644495412844037</v>
      </c>
      <c r="AM189" s="17">
        <f t="shared" si="24"/>
        <v>32.756880733944946</v>
      </c>
      <c r="AN189" s="18">
        <f t="shared" si="25"/>
        <v>105.75458715596329</v>
      </c>
      <c r="AO189" s="17">
        <f t="shared" si="26"/>
        <v>63.623853211009177</v>
      </c>
      <c r="AP189" s="17">
        <f t="shared" si="27"/>
        <v>30.034403669724767</v>
      </c>
    </row>
    <row r="190" spans="1:43" s="4" customFormat="1" x14ac:dyDescent="0.25">
      <c r="A190" s="4" t="s">
        <v>30</v>
      </c>
      <c r="B190" s="4" t="s">
        <v>28</v>
      </c>
      <c r="C190" s="4">
        <v>1</v>
      </c>
      <c r="E190" s="4" t="s">
        <v>12</v>
      </c>
      <c r="T190" s="10"/>
      <c r="V190" s="17"/>
      <c r="W190" s="17"/>
      <c r="X190" s="17"/>
      <c r="Y190" s="17"/>
      <c r="Z190" s="17"/>
      <c r="AA190" s="17"/>
      <c r="AB190" s="17"/>
      <c r="AC190" s="17"/>
      <c r="AD190" s="17"/>
      <c r="AE190" s="17"/>
      <c r="AF190" s="17"/>
      <c r="AG190" s="25"/>
      <c r="AH190" s="17"/>
      <c r="AI190" s="17"/>
      <c r="AJ190" s="17"/>
      <c r="AK190" s="17"/>
      <c r="AL190" s="17"/>
      <c r="AM190" s="17"/>
      <c r="AN190" s="18"/>
      <c r="AO190" s="17"/>
      <c r="AP190" s="17"/>
      <c r="AQ190" s="4" t="s">
        <v>440</v>
      </c>
    </row>
    <row r="191" spans="1:43" s="4" customFormat="1" x14ac:dyDescent="0.25">
      <c r="A191" s="4" t="s">
        <v>282</v>
      </c>
      <c r="B191" s="4" t="s">
        <v>28</v>
      </c>
      <c r="C191" s="4" t="s">
        <v>373</v>
      </c>
      <c r="E191" s="4" t="s">
        <v>240</v>
      </c>
      <c r="F191" s="4">
        <v>150</v>
      </c>
      <c r="G191" s="4">
        <v>2.1</v>
      </c>
      <c r="H191" s="4">
        <v>8.4</v>
      </c>
      <c r="I191" s="4">
        <v>8.1</v>
      </c>
      <c r="J191" s="4">
        <v>13.2</v>
      </c>
      <c r="K191" s="4">
        <v>9.6</v>
      </c>
      <c r="L191" s="4">
        <v>2.1</v>
      </c>
      <c r="M191" s="4">
        <v>3.2</v>
      </c>
      <c r="N191" s="4">
        <v>4.2</v>
      </c>
      <c r="O191" s="4">
        <v>3.6</v>
      </c>
      <c r="P191" s="4">
        <v>7.7</v>
      </c>
      <c r="Q191" s="4">
        <v>3.5</v>
      </c>
      <c r="R191" s="4">
        <v>2.4</v>
      </c>
      <c r="T191" s="10"/>
      <c r="V191" s="17">
        <f>G191*'IAA digestibility'!G191</f>
        <v>1.764</v>
      </c>
      <c r="W191" s="17">
        <f>H191*'IAA digestibility'!H191</f>
        <v>7.3920000000000003</v>
      </c>
      <c r="X191" s="17">
        <f>I191*'IAA digestibility'!I191</f>
        <v>7.0469999999999997</v>
      </c>
      <c r="Y191" s="17">
        <f>J191*'IAA digestibility'!J191</f>
        <v>11.616</v>
      </c>
      <c r="Z191" s="17">
        <f>K191*'IAA digestibility'!K191</f>
        <v>8.64</v>
      </c>
      <c r="AA191" s="17">
        <f>L191*'IAA digestibility'!L191</f>
        <v>1.8690000000000002</v>
      </c>
      <c r="AB191" s="17">
        <f>M191*'IAA digestibility'!M191</f>
        <v>2.8480000000000003</v>
      </c>
      <c r="AC191" s="17">
        <f>N191*'IAA digestibility'!N191</f>
        <v>3.7380000000000004</v>
      </c>
      <c r="AD191" s="17">
        <f>O191*'IAA digestibility'!O191</f>
        <v>3.24</v>
      </c>
      <c r="AE191" s="17">
        <f>P191*'IAA digestibility'!P191</f>
        <v>6.7759999999999998</v>
      </c>
      <c r="AF191" s="17">
        <f>R191*'IAA digestibility'!R191</f>
        <v>2.16</v>
      </c>
      <c r="AG191" s="25"/>
      <c r="AH191" s="17">
        <f t="shared" si="19"/>
        <v>11.76</v>
      </c>
      <c r="AI191" s="17">
        <f t="shared" si="20"/>
        <v>49.28</v>
      </c>
      <c r="AJ191" s="17">
        <f t="shared" si="21"/>
        <v>46.980000000000004</v>
      </c>
      <c r="AK191" s="17">
        <f t="shared" si="22"/>
        <v>77.44</v>
      </c>
      <c r="AL191" s="17">
        <f t="shared" si="23"/>
        <v>57.600000000000009</v>
      </c>
      <c r="AM191" s="17">
        <f t="shared" si="24"/>
        <v>31.446666666666673</v>
      </c>
      <c r="AN191" s="18">
        <f t="shared" si="25"/>
        <v>46.52</v>
      </c>
      <c r="AO191" s="17">
        <f t="shared" si="26"/>
        <v>45.173333333333332</v>
      </c>
      <c r="AP191" s="17">
        <f t="shared" si="27"/>
        <v>14.400000000000002</v>
      </c>
    </row>
    <row r="192" spans="1:43" s="4" customFormat="1" x14ac:dyDescent="0.25">
      <c r="A192" s="4" t="s">
        <v>29</v>
      </c>
      <c r="B192" s="4" t="s">
        <v>28</v>
      </c>
      <c r="C192" s="27" t="s">
        <v>373</v>
      </c>
      <c r="E192" s="4" t="s">
        <v>240</v>
      </c>
      <c r="F192" s="4">
        <v>209</v>
      </c>
      <c r="G192" s="4">
        <v>2.9</v>
      </c>
      <c r="H192" s="4">
        <v>11.7</v>
      </c>
      <c r="I192" s="4">
        <v>11.3</v>
      </c>
      <c r="J192" s="4">
        <v>18.399999999999999</v>
      </c>
      <c r="K192" s="4">
        <v>13.4</v>
      </c>
      <c r="L192" s="4">
        <v>2.9</v>
      </c>
      <c r="M192" s="4">
        <v>4.4000000000000004</v>
      </c>
      <c r="N192" s="4">
        <v>5.9</v>
      </c>
      <c r="O192" s="4">
        <v>5</v>
      </c>
      <c r="P192" s="4">
        <v>10.7</v>
      </c>
      <c r="Q192" s="4">
        <v>4.8</v>
      </c>
      <c r="R192" s="4">
        <v>3.3</v>
      </c>
      <c r="T192" s="10"/>
      <c r="V192" s="17">
        <f>G192*'IAA digestibility'!G192</f>
        <v>2.4649999999999999</v>
      </c>
      <c r="W192" s="17">
        <f>H192*'IAA digestibility'!H192</f>
        <v>10.295999999999999</v>
      </c>
      <c r="X192" s="17">
        <f>I192*'IAA digestibility'!I192</f>
        <v>9.9440000000000008</v>
      </c>
      <c r="Y192" s="17">
        <f>J192*'IAA digestibility'!J192</f>
        <v>16.192</v>
      </c>
      <c r="Z192" s="17">
        <f>K192*'IAA digestibility'!K192</f>
        <v>12.06</v>
      </c>
      <c r="AA192" s="17">
        <f>L192*'IAA digestibility'!L192</f>
        <v>2.6680000000000001</v>
      </c>
      <c r="AB192" s="17">
        <f>M192*'IAA digestibility'!M192</f>
        <v>3.9160000000000004</v>
      </c>
      <c r="AC192" s="17">
        <f>N192*'IAA digestibility'!N192</f>
        <v>5.133</v>
      </c>
      <c r="AD192" s="17">
        <f>O192*'IAA digestibility'!O192</f>
        <v>4.45</v>
      </c>
      <c r="AE192" s="17">
        <f>P192*'IAA digestibility'!P192</f>
        <v>9.4159999999999986</v>
      </c>
      <c r="AF192" s="17">
        <f>R192*'IAA digestibility'!R192</f>
        <v>2.9369999999999998</v>
      </c>
      <c r="AG192" s="25"/>
      <c r="AH192" s="17">
        <f t="shared" si="19"/>
        <v>11.794258373205741</v>
      </c>
      <c r="AI192" s="17">
        <f t="shared" si="20"/>
        <v>49.263157894736842</v>
      </c>
      <c r="AJ192" s="17">
        <f t="shared" si="21"/>
        <v>47.578947368421055</v>
      </c>
      <c r="AK192" s="17">
        <f t="shared" si="22"/>
        <v>77.473684210526315</v>
      </c>
      <c r="AL192" s="17">
        <f t="shared" si="23"/>
        <v>57.703349282296649</v>
      </c>
      <c r="AM192" s="17">
        <f t="shared" si="24"/>
        <v>31.502392344497608</v>
      </c>
      <c r="AN192" s="18">
        <f t="shared" si="25"/>
        <v>45.851674641148321</v>
      </c>
      <c r="AO192" s="17">
        <f t="shared" si="26"/>
        <v>45.052631578947363</v>
      </c>
      <c r="AP192" s="17">
        <f t="shared" si="27"/>
        <v>14.052631578947366</v>
      </c>
    </row>
    <row r="193" spans="1:43" s="4" customFormat="1" x14ac:dyDescent="0.25">
      <c r="A193" s="4" t="s">
        <v>284</v>
      </c>
      <c r="B193" s="4" t="s">
        <v>28</v>
      </c>
      <c r="C193" s="4" t="s">
        <v>373</v>
      </c>
      <c r="E193" s="4" t="s">
        <v>240</v>
      </c>
      <c r="F193" s="4">
        <v>335</v>
      </c>
      <c r="G193" s="4">
        <v>4.7</v>
      </c>
      <c r="H193" s="4">
        <v>18.8</v>
      </c>
      <c r="I193" s="4">
        <v>18.100000000000001</v>
      </c>
      <c r="J193" s="4">
        <v>29.5</v>
      </c>
      <c r="K193" s="4">
        <v>21.4</v>
      </c>
      <c r="L193" s="4">
        <v>4.7</v>
      </c>
      <c r="M193" s="4">
        <v>7</v>
      </c>
      <c r="N193" s="4">
        <v>9.4</v>
      </c>
      <c r="O193" s="4">
        <v>8</v>
      </c>
      <c r="P193" s="4">
        <v>17.100000000000001</v>
      </c>
      <c r="Q193" s="4">
        <v>7.7</v>
      </c>
      <c r="R193" s="4">
        <v>5.4</v>
      </c>
      <c r="T193" s="10"/>
      <c r="V193" s="17">
        <f>G193*'IAA digestibility'!G193</f>
        <v>3.9950000000000001</v>
      </c>
      <c r="W193" s="17">
        <f>H193*'IAA digestibility'!H193</f>
        <v>16.544</v>
      </c>
      <c r="X193" s="17">
        <f>I193*'IAA digestibility'!I193</f>
        <v>15.928000000000001</v>
      </c>
      <c r="Y193" s="17">
        <f>J193*'IAA digestibility'!J193</f>
        <v>25.96</v>
      </c>
      <c r="Z193" s="17">
        <f>K193*'IAA digestibility'!K193</f>
        <v>19.474</v>
      </c>
      <c r="AA193" s="17">
        <f>L193*'IAA digestibility'!L193</f>
        <v>4.1829999999999998</v>
      </c>
      <c r="AB193" s="17">
        <f>M193*'IAA digestibility'!M193</f>
        <v>6.37</v>
      </c>
      <c r="AC193" s="17">
        <f>N193*'IAA digestibility'!N193</f>
        <v>8.2720000000000002</v>
      </c>
      <c r="AD193" s="17">
        <f>O193*'IAA digestibility'!O193</f>
        <v>7.04</v>
      </c>
      <c r="AE193" s="17">
        <f>P193*'IAA digestibility'!P193</f>
        <v>15.219000000000001</v>
      </c>
      <c r="AF193" s="17">
        <f>R193*'IAA digestibility'!R193</f>
        <v>4.6980000000000004</v>
      </c>
      <c r="AG193" s="25"/>
      <c r="AH193" s="17">
        <f t="shared" si="19"/>
        <v>11.925373134328359</v>
      </c>
      <c r="AI193" s="17">
        <f t="shared" si="20"/>
        <v>49.385074626865674</v>
      </c>
      <c r="AJ193" s="17">
        <f t="shared" si="21"/>
        <v>47.546268656716421</v>
      </c>
      <c r="AK193" s="17">
        <f t="shared" si="22"/>
        <v>77.492537313432834</v>
      </c>
      <c r="AL193" s="17">
        <f t="shared" si="23"/>
        <v>58.13134328358209</v>
      </c>
      <c r="AM193" s="17">
        <f t="shared" si="24"/>
        <v>31.501492537313435</v>
      </c>
      <c r="AN193" s="18">
        <f t="shared" si="25"/>
        <v>45.707462686567169</v>
      </c>
      <c r="AO193" s="17">
        <f t="shared" si="26"/>
        <v>45.429850746268656</v>
      </c>
      <c r="AP193" s="17">
        <f t="shared" si="27"/>
        <v>14.023880597014927</v>
      </c>
    </row>
    <row r="194" spans="1:43" s="4" customFormat="1" x14ac:dyDescent="0.25">
      <c r="A194" s="4" t="s">
        <v>116</v>
      </c>
      <c r="B194" s="4" t="s">
        <v>28</v>
      </c>
      <c r="C194" s="4">
        <v>2</v>
      </c>
      <c r="E194" s="4" t="s">
        <v>12</v>
      </c>
      <c r="F194" s="4">
        <v>360</v>
      </c>
      <c r="G194" s="4">
        <v>4.7</v>
      </c>
      <c r="H194" s="4">
        <v>15.7</v>
      </c>
      <c r="I194" s="4">
        <v>19.600000000000001</v>
      </c>
      <c r="J194" s="4">
        <v>33.700000000000003</v>
      </c>
      <c r="K194" s="4">
        <v>28.3</v>
      </c>
      <c r="L194" s="4">
        <v>10.199999999999999</v>
      </c>
      <c r="M194" s="4">
        <v>2.8</v>
      </c>
      <c r="N194" s="4">
        <v>17.3</v>
      </c>
      <c r="O194" s="4">
        <v>15.3</v>
      </c>
      <c r="P194" s="4">
        <v>22.2</v>
      </c>
      <c r="Q194" s="4">
        <v>13.2</v>
      </c>
      <c r="R194" s="4">
        <v>9.9</v>
      </c>
      <c r="T194" s="10"/>
      <c r="V194" s="17">
        <f>G194*'IAA digestibility'!G194</f>
        <v>4.5590000000000002</v>
      </c>
      <c r="W194" s="17">
        <f>H194*'IAA digestibility'!H194</f>
        <v>14.286999999999999</v>
      </c>
      <c r="X194" s="17">
        <f>I194*'IAA digestibility'!I194</f>
        <v>17.248000000000001</v>
      </c>
      <c r="Y194" s="17">
        <f>J194*'IAA digestibility'!J194</f>
        <v>32.352000000000004</v>
      </c>
      <c r="Z194" s="17">
        <f>K194*'IAA digestibility'!K194</f>
        <v>27.451000000000001</v>
      </c>
      <c r="AA194" s="17">
        <f>L194*'IAA digestibility'!L194</f>
        <v>9.8939999999999984</v>
      </c>
      <c r="AB194" s="17">
        <f>M194*'IAA digestibility'!M194</f>
        <v>2.3519999999999999</v>
      </c>
      <c r="AC194" s="17">
        <f>N194*'IAA digestibility'!N194</f>
        <v>16.954000000000001</v>
      </c>
      <c r="AD194" s="17">
        <f>O194*'IAA digestibility'!O194</f>
        <v>14.841000000000001</v>
      </c>
      <c r="AE194" s="17">
        <f>P194*'IAA digestibility'!P194</f>
        <v>19.757999999999999</v>
      </c>
      <c r="AF194" s="17">
        <f>R194*'IAA digestibility'!R194</f>
        <v>9.4049999999999994</v>
      </c>
      <c r="AG194" s="25"/>
      <c r="AH194" s="17">
        <f t="shared" si="19"/>
        <v>12.66388888888889</v>
      </c>
      <c r="AI194" s="17">
        <f t="shared" si="20"/>
        <v>39.68611111111111</v>
      </c>
      <c r="AJ194" s="17">
        <f t="shared" si="21"/>
        <v>47.911111111111111</v>
      </c>
      <c r="AK194" s="17">
        <f t="shared" si="22"/>
        <v>89.866666666666674</v>
      </c>
      <c r="AL194" s="17">
        <f t="shared" si="23"/>
        <v>76.25277777777778</v>
      </c>
      <c r="AM194" s="17">
        <f t="shared" si="24"/>
        <v>34.016666666666659</v>
      </c>
      <c r="AN194" s="18">
        <f t="shared" si="25"/>
        <v>88.319444444444457</v>
      </c>
      <c r="AO194" s="17">
        <f t="shared" si="26"/>
        <v>54.883333333333333</v>
      </c>
      <c r="AP194" s="17">
        <f t="shared" si="27"/>
        <v>26.125</v>
      </c>
    </row>
    <row r="195" spans="1:43" s="4" customFormat="1" x14ac:dyDescent="0.25">
      <c r="A195" s="4" t="s">
        <v>27</v>
      </c>
      <c r="B195" s="4" t="s">
        <v>28</v>
      </c>
      <c r="C195" s="4" t="s">
        <v>373</v>
      </c>
      <c r="E195" s="4" t="s">
        <v>12</v>
      </c>
      <c r="F195" s="4">
        <v>356</v>
      </c>
      <c r="G195" s="4">
        <v>4.5999999999999996</v>
      </c>
      <c r="H195" s="4">
        <v>15.7</v>
      </c>
      <c r="I195" s="4">
        <v>18.5</v>
      </c>
      <c r="J195" s="4">
        <v>34.5</v>
      </c>
      <c r="K195" s="4">
        <v>27.8</v>
      </c>
      <c r="L195" s="4">
        <v>9.6</v>
      </c>
      <c r="M195" s="4">
        <v>2.8</v>
      </c>
      <c r="N195" s="4">
        <v>17.100000000000001</v>
      </c>
      <c r="O195" s="4">
        <v>16</v>
      </c>
      <c r="P195" s="4">
        <v>22.4</v>
      </c>
      <c r="Q195" s="4">
        <v>12.5</v>
      </c>
      <c r="R195" s="4">
        <v>10</v>
      </c>
      <c r="T195" s="10"/>
      <c r="V195" s="17">
        <f>G195*'IAA digestibility'!G195</f>
        <v>4.0939999999999994</v>
      </c>
      <c r="W195" s="17">
        <f>H195*'IAA digestibility'!H195</f>
        <v>14.129999999999999</v>
      </c>
      <c r="X195" s="17">
        <f>I195*'IAA digestibility'!I195</f>
        <v>16.094999999999999</v>
      </c>
      <c r="Y195" s="17">
        <f>J195*'IAA digestibility'!J195</f>
        <v>32.774999999999999</v>
      </c>
      <c r="Z195" s="17">
        <f>K195*'IAA digestibility'!K195</f>
        <v>26.687999999999999</v>
      </c>
      <c r="AA195" s="17">
        <f>L195*'IAA digestibility'!L195</f>
        <v>9.2159999999999993</v>
      </c>
      <c r="AB195" s="17">
        <f>M195*'IAA digestibility'!M195</f>
        <v>2.38</v>
      </c>
      <c r="AC195" s="17">
        <f>N195*'IAA digestibility'!N195</f>
        <v>16.587</v>
      </c>
      <c r="AD195" s="17">
        <f>O195*'IAA digestibility'!O195</f>
        <v>15.2</v>
      </c>
      <c r="AE195" s="17">
        <f>P195*'IAA digestibility'!P195</f>
        <v>19.712</v>
      </c>
      <c r="AF195" s="17">
        <f>R195*'IAA digestibility'!R195</f>
        <v>9.3999999999999986</v>
      </c>
      <c r="AG195" s="25"/>
      <c r="AH195" s="17">
        <f t="shared" si="19"/>
        <v>11.499999999999998</v>
      </c>
      <c r="AI195" s="17">
        <f t="shared" si="20"/>
        <v>39.691011235955052</v>
      </c>
      <c r="AJ195" s="17">
        <f t="shared" si="21"/>
        <v>45.210674157303373</v>
      </c>
      <c r="AK195" s="17">
        <f t="shared" si="22"/>
        <v>92.06460674157303</v>
      </c>
      <c r="AL195" s="17">
        <f t="shared" si="23"/>
        <v>74.966292134831448</v>
      </c>
      <c r="AM195" s="17">
        <f t="shared" si="24"/>
        <v>32.573033707865171</v>
      </c>
      <c r="AN195" s="18">
        <f t="shared" si="25"/>
        <v>89.289325842696627</v>
      </c>
      <c r="AO195" s="17">
        <f t="shared" si="26"/>
        <v>55.370786516853933</v>
      </c>
      <c r="AP195" s="17">
        <f t="shared" si="27"/>
        <v>26.404494382022467</v>
      </c>
    </row>
    <row r="196" spans="1:43" s="4" customFormat="1" x14ac:dyDescent="0.25">
      <c r="A196" s="4" t="s">
        <v>342</v>
      </c>
      <c r="B196" s="4" t="s">
        <v>28</v>
      </c>
      <c r="C196" s="27">
        <v>1</v>
      </c>
      <c r="E196" s="4" t="s">
        <v>12</v>
      </c>
      <c r="T196" s="10"/>
      <c r="V196" s="17"/>
      <c r="W196" s="17"/>
      <c r="X196" s="17"/>
      <c r="Y196" s="17"/>
      <c r="Z196" s="17"/>
      <c r="AA196" s="17"/>
      <c r="AB196" s="17"/>
      <c r="AC196" s="17"/>
      <c r="AD196" s="17"/>
      <c r="AE196" s="17"/>
      <c r="AF196" s="17"/>
      <c r="AG196" s="25"/>
      <c r="AH196" s="17"/>
      <c r="AI196" s="17"/>
      <c r="AJ196" s="17"/>
      <c r="AK196" s="17"/>
      <c r="AL196" s="17"/>
      <c r="AM196" s="17"/>
      <c r="AN196" s="18"/>
      <c r="AO196" s="17"/>
      <c r="AP196" s="17"/>
      <c r="AQ196" s="4" t="s">
        <v>440</v>
      </c>
    </row>
    <row r="197" spans="1:43" s="4" customFormat="1" x14ac:dyDescent="0.25">
      <c r="A197" s="4" t="s">
        <v>117</v>
      </c>
      <c r="B197" s="4" t="s">
        <v>28</v>
      </c>
      <c r="C197" s="4">
        <v>2</v>
      </c>
      <c r="E197" s="4" t="s">
        <v>12</v>
      </c>
      <c r="F197" s="4">
        <v>254</v>
      </c>
      <c r="G197" s="4">
        <v>3.4</v>
      </c>
      <c r="H197" s="4">
        <v>11.4</v>
      </c>
      <c r="I197" s="4">
        <v>13.8</v>
      </c>
      <c r="J197" s="4">
        <v>23.2</v>
      </c>
      <c r="K197" s="4">
        <v>19.7</v>
      </c>
      <c r="L197" s="4">
        <v>5.7</v>
      </c>
      <c r="M197" s="4">
        <v>2.1</v>
      </c>
      <c r="N197" s="4">
        <v>11.9</v>
      </c>
      <c r="O197" s="4">
        <v>9.1999999999999993</v>
      </c>
      <c r="P197" s="4">
        <v>14.9</v>
      </c>
      <c r="Q197" s="4">
        <v>9</v>
      </c>
      <c r="R197" s="4">
        <v>7</v>
      </c>
      <c r="T197" s="10"/>
      <c r="V197" s="17">
        <f>G197*'IAA digestibility'!G197</f>
        <v>3.298</v>
      </c>
      <c r="W197" s="17">
        <f>H197*'IAA digestibility'!H197</f>
        <v>10.715999999999999</v>
      </c>
      <c r="X197" s="17">
        <f>I197*'IAA digestibility'!I197</f>
        <v>12.282</v>
      </c>
      <c r="Y197" s="17">
        <f>J197*'IAA digestibility'!J197</f>
        <v>22.503999999999998</v>
      </c>
      <c r="Z197" s="17">
        <f>K197*'IAA digestibility'!K197</f>
        <v>17.533000000000001</v>
      </c>
      <c r="AA197" s="17">
        <f>L197*'IAA digestibility'!L197</f>
        <v>5.4719999999999995</v>
      </c>
      <c r="AB197" s="17">
        <f>M197*'IAA digestibility'!M197</f>
        <v>1.9949999999999999</v>
      </c>
      <c r="AC197" s="17">
        <f>N197*'IAA digestibility'!N197</f>
        <v>11.662000000000001</v>
      </c>
      <c r="AD197" s="17">
        <f>O197*'IAA digestibility'!O197</f>
        <v>9.016</v>
      </c>
      <c r="AE197" s="17">
        <f>P197*'IAA digestibility'!P197</f>
        <v>13.708</v>
      </c>
      <c r="AF197" s="17">
        <f>R197*'IAA digestibility'!R197</f>
        <v>6.79</v>
      </c>
      <c r="AG197" s="25"/>
      <c r="AH197" s="17">
        <f t="shared" ref="AH197:AH215" si="28">(V197/$F197)*1000</f>
        <v>12.984251968503937</v>
      </c>
      <c r="AI197" s="17">
        <f t="shared" ref="AI197:AI215" si="29">(W197/$F197)*1000</f>
        <v>42.188976377952756</v>
      </c>
      <c r="AJ197" s="17">
        <f t="shared" ref="AJ197:AJ215" si="30">(X197/$F197)*1000</f>
        <v>48.354330708661415</v>
      </c>
      <c r="AK197" s="17">
        <f t="shared" ref="AK197:AK215" si="31">(Y197/$F197)*1000</f>
        <v>88.598425196850386</v>
      </c>
      <c r="AL197" s="17">
        <f t="shared" ref="AL197:AL215" si="32">(Z197/$F197)*1000</f>
        <v>69.027559055118118</v>
      </c>
      <c r="AM197" s="17">
        <f t="shared" ref="AM197:AM215" si="33">((AA197+AB197)/$F197)*1000</f>
        <v>29.397637795275589</v>
      </c>
      <c r="AN197" s="18">
        <f t="shared" ref="AN197:AN215" si="34">((AC197+AD197)/$F197)*1000</f>
        <v>81.409448818897644</v>
      </c>
      <c r="AO197" s="17">
        <f t="shared" ref="AO197:AO215" si="35">(AE197/$F197)*1000</f>
        <v>53.968503937007874</v>
      </c>
      <c r="AP197" s="17">
        <f t="shared" ref="AP197:AP215" si="36">(AF197/$F197)*1000</f>
        <v>26.73228346456693</v>
      </c>
    </row>
    <row r="198" spans="1:43" s="4" customFormat="1" x14ac:dyDescent="0.25">
      <c r="A198" s="4" t="s">
        <v>111</v>
      </c>
      <c r="B198" s="4" t="s">
        <v>28</v>
      </c>
      <c r="C198" s="4">
        <v>2</v>
      </c>
      <c r="E198" s="4" t="s">
        <v>12</v>
      </c>
      <c r="F198" s="4">
        <v>58</v>
      </c>
      <c r="G198" s="4">
        <v>0.8</v>
      </c>
      <c r="H198" s="4">
        <v>2.9</v>
      </c>
      <c r="I198" s="4">
        <v>2.7</v>
      </c>
      <c r="J198" s="4">
        <v>3.9</v>
      </c>
      <c r="K198" s="4">
        <v>4.3</v>
      </c>
      <c r="L198" s="4">
        <v>0.7</v>
      </c>
      <c r="M198" s="4">
        <v>1</v>
      </c>
      <c r="N198" s="4">
        <v>1.3</v>
      </c>
      <c r="O198" s="4">
        <v>0.4</v>
      </c>
      <c r="P198" s="4">
        <v>2.5</v>
      </c>
      <c r="Q198" s="4">
        <v>0.9</v>
      </c>
      <c r="R198" s="4">
        <v>1.1000000000000001</v>
      </c>
      <c r="S198" s="4" t="s">
        <v>118</v>
      </c>
      <c r="T198" s="10"/>
      <c r="V198" s="17">
        <f>G198*'IAA digestibility'!G198</f>
        <v>0.69600000000000006</v>
      </c>
      <c r="W198" s="17">
        <f>H198*'IAA digestibility'!H198</f>
        <v>2.4649999999999999</v>
      </c>
      <c r="X198" s="17">
        <f>I198*'IAA digestibility'!I198</f>
        <v>2.3760000000000003</v>
      </c>
      <c r="Y198" s="17">
        <f>J198*'IAA digestibility'!J198</f>
        <v>3.5489999999999999</v>
      </c>
      <c r="Z198" s="17">
        <f>K198*'IAA digestibility'!K198</f>
        <v>3.827</v>
      </c>
      <c r="AA198" s="17">
        <f>L198*'IAA digestibility'!L198</f>
        <v>0.64400000000000002</v>
      </c>
      <c r="AB198" s="17">
        <f>M198*'IAA digestibility'!M198</f>
        <v>0.88</v>
      </c>
      <c r="AC198" s="17">
        <f>N198*'IAA digestibility'!N198</f>
        <v>1.1700000000000002</v>
      </c>
      <c r="AD198" s="17">
        <f>O198*'IAA digestibility'!O198</f>
        <v>0.36000000000000004</v>
      </c>
      <c r="AE198" s="17">
        <f>P198*'IAA digestibility'!P198</f>
        <v>2.1749999999999998</v>
      </c>
      <c r="AF198" s="17">
        <f>R198*'IAA digestibility'!R198</f>
        <v>1.0010000000000001</v>
      </c>
      <c r="AG198" s="25"/>
      <c r="AH198" s="17">
        <f t="shared" si="28"/>
        <v>12</v>
      </c>
      <c r="AI198" s="17">
        <f t="shared" si="29"/>
        <v>42.499999999999993</v>
      </c>
      <c r="AJ198" s="17">
        <f t="shared" si="30"/>
        <v>40.965517241379317</v>
      </c>
      <c r="AK198" s="17">
        <f t="shared" si="31"/>
        <v>61.189655172413794</v>
      </c>
      <c r="AL198" s="17">
        <f t="shared" si="32"/>
        <v>65.982758620689651</v>
      </c>
      <c r="AM198" s="17">
        <f t="shared" si="33"/>
        <v>26.27586206896552</v>
      </c>
      <c r="AN198" s="18">
        <f t="shared" si="34"/>
        <v>26.379310344827591</v>
      </c>
      <c r="AO198" s="17">
        <f t="shared" si="35"/>
        <v>37.5</v>
      </c>
      <c r="AP198" s="17">
        <f t="shared" si="36"/>
        <v>17.258620689655174</v>
      </c>
    </row>
    <row r="199" spans="1:43" s="4" customFormat="1" x14ac:dyDescent="0.25">
      <c r="A199" s="4" t="s">
        <v>112</v>
      </c>
      <c r="B199" s="4" t="s">
        <v>28</v>
      </c>
      <c r="C199" s="4">
        <v>2</v>
      </c>
      <c r="E199" s="4" t="s">
        <v>12</v>
      </c>
      <c r="F199" s="4">
        <v>93</v>
      </c>
      <c r="G199" s="4">
        <v>1.3</v>
      </c>
      <c r="H199" s="4">
        <v>5</v>
      </c>
      <c r="I199" s="4">
        <v>4.8</v>
      </c>
      <c r="J199" s="4">
        <v>7.3</v>
      </c>
      <c r="K199" s="4">
        <v>6.9</v>
      </c>
      <c r="L199" s="4">
        <v>1.3</v>
      </c>
      <c r="M199" s="4">
        <v>1.7</v>
      </c>
      <c r="N199" s="4">
        <v>2.5</v>
      </c>
      <c r="O199" s="4">
        <v>1.2</v>
      </c>
      <c r="P199" s="4">
        <v>4.5</v>
      </c>
      <c r="Q199" s="4">
        <v>1.9</v>
      </c>
      <c r="R199" s="4">
        <v>1.8</v>
      </c>
      <c r="S199" s="4" t="s">
        <v>119</v>
      </c>
      <c r="T199" s="10"/>
      <c r="V199" s="17">
        <f>G199*'IAA digestibility'!G199</f>
        <v>1.131</v>
      </c>
      <c r="W199" s="17">
        <f>H199*'IAA digestibility'!H199</f>
        <v>4.25</v>
      </c>
      <c r="X199" s="17">
        <f>I199*'IAA digestibility'!I199</f>
        <v>4.2240000000000002</v>
      </c>
      <c r="Y199" s="17">
        <f>J199*'IAA digestibility'!J199</f>
        <v>6.6429999999999998</v>
      </c>
      <c r="Z199" s="17">
        <f>K199*'IAA digestibility'!K199</f>
        <v>6.141</v>
      </c>
      <c r="AA199" s="17">
        <f>L199*'IAA digestibility'!L199</f>
        <v>1.1960000000000002</v>
      </c>
      <c r="AB199" s="17">
        <f>M199*'IAA digestibility'!M199</f>
        <v>1.496</v>
      </c>
      <c r="AC199" s="17">
        <f>N199*'IAA digestibility'!N199</f>
        <v>2.25</v>
      </c>
      <c r="AD199" s="17">
        <f>O199*'IAA digestibility'!O199</f>
        <v>1.08</v>
      </c>
      <c r="AE199" s="17">
        <f>P199*'IAA digestibility'!P199</f>
        <v>3.915</v>
      </c>
      <c r="AF199" s="17">
        <f>R199*'IAA digestibility'!R199</f>
        <v>1.6380000000000001</v>
      </c>
      <c r="AG199" s="25"/>
      <c r="AH199" s="17">
        <f t="shared" si="28"/>
        <v>12.161290322580644</v>
      </c>
      <c r="AI199" s="17">
        <f t="shared" si="29"/>
        <v>45.6989247311828</v>
      </c>
      <c r="AJ199" s="17">
        <f t="shared" si="30"/>
        <v>45.41935483870968</v>
      </c>
      <c r="AK199" s="17">
        <f t="shared" si="31"/>
        <v>71.430107526881713</v>
      </c>
      <c r="AL199" s="17">
        <f t="shared" si="32"/>
        <v>66.032258064516128</v>
      </c>
      <c r="AM199" s="17">
        <f t="shared" si="33"/>
        <v>28.946236559139788</v>
      </c>
      <c r="AN199" s="18">
        <f t="shared" si="34"/>
        <v>35.806451612903224</v>
      </c>
      <c r="AO199" s="17">
        <f t="shared" si="35"/>
        <v>42.096774193548391</v>
      </c>
      <c r="AP199" s="17">
        <f t="shared" si="36"/>
        <v>17.612903225806452</v>
      </c>
    </row>
    <row r="200" spans="1:43" s="4" customFormat="1" x14ac:dyDescent="0.25">
      <c r="A200" s="4" t="s">
        <v>113</v>
      </c>
      <c r="B200" s="4" t="s">
        <v>28</v>
      </c>
      <c r="C200" s="4">
        <v>2</v>
      </c>
      <c r="E200" s="4" t="s">
        <v>12</v>
      </c>
      <c r="F200" s="4">
        <v>113</v>
      </c>
      <c r="G200" s="4">
        <v>1.6</v>
      </c>
      <c r="H200" s="4">
        <v>6.2</v>
      </c>
      <c r="I200" s="4">
        <v>5.9</v>
      </c>
      <c r="J200" s="4">
        <v>9.1999999999999993</v>
      </c>
      <c r="K200" s="4">
        <v>8.4</v>
      </c>
      <c r="L200" s="4">
        <v>1.7</v>
      </c>
      <c r="M200" s="4">
        <v>2</v>
      </c>
      <c r="N200" s="4">
        <v>3.1</v>
      </c>
      <c r="O200" s="4">
        <v>1.7</v>
      </c>
      <c r="P200" s="4">
        <v>5.6</v>
      </c>
      <c r="Q200" s="4">
        <v>2.4</v>
      </c>
      <c r="R200" s="4">
        <v>2.2000000000000002</v>
      </c>
      <c r="S200" s="4" t="s">
        <v>120</v>
      </c>
      <c r="T200" s="10"/>
      <c r="V200" s="17">
        <f>G200*'IAA digestibility'!G200</f>
        <v>1.3920000000000001</v>
      </c>
      <c r="W200" s="17">
        <f>H200*'IAA digestibility'!H200</f>
        <v>5.27</v>
      </c>
      <c r="X200" s="17">
        <f>I200*'IAA digestibility'!I200</f>
        <v>5.1920000000000002</v>
      </c>
      <c r="Y200" s="17">
        <f>J200*'IAA digestibility'!J200</f>
        <v>8.3719999999999999</v>
      </c>
      <c r="Z200" s="17">
        <f>K200*'IAA digestibility'!K200</f>
        <v>7.4760000000000009</v>
      </c>
      <c r="AA200" s="17">
        <f>L200*'IAA digestibility'!L200</f>
        <v>1.5640000000000001</v>
      </c>
      <c r="AB200" s="17">
        <f>M200*'IAA digestibility'!M200</f>
        <v>1.76</v>
      </c>
      <c r="AC200" s="17">
        <f>N200*'IAA digestibility'!N200</f>
        <v>2.79</v>
      </c>
      <c r="AD200" s="17">
        <f>O200*'IAA digestibility'!O200</f>
        <v>1.53</v>
      </c>
      <c r="AE200" s="17">
        <f>P200*'IAA digestibility'!P200</f>
        <v>4.8719999999999999</v>
      </c>
      <c r="AF200" s="17">
        <f>R200*'IAA digestibility'!R200</f>
        <v>2.0020000000000002</v>
      </c>
      <c r="AG200" s="25"/>
      <c r="AH200" s="17">
        <f t="shared" si="28"/>
        <v>12.318584070796462</v>
      </c>
      <c r="AI200" s="17">
        <f t="shared" si="29"/>
        <v>46.637168141592916</v>
      </c>
      <c r="AJ200" s="17">
        <f t="shared" si="30"/>
        <v>45.946902654867259</v>
      </c>
      <c r="AK200" s="17">
        <f t="shared" si="31"/>
        <v>74.088495575221231</v>
      </c>
      <c r="AL200" s="17">
        <f t="shared" si="32"/>
        <v>66.159292035398238</v>
      </c>
      <c r="AM200" s="17">
        <f t="shared" si="33"/>
        <v>29.415929203539822</v>
      </c>
      <c r="AN200" s="18">
        <f t="shared" si="34"/>
        <v>38.230088495575224</v>
      </c>
      <c r="AO200" s="17">
        <f t="shared" si="35"/>
        <v>43.115044247787608</v>
      </c>
      <c r="AP200" s="17">
        <f t="shared" si="36"/>
        <v>17.716814159292039</v>
      </c>
    </row>
    <row r="201" spans="1:43" s="4" customFormat="1" x14ac:dyDescent="0.25">
      <c r="A201" s="4" t="s">
        <v>114</v>
      </c>
      <c r="B201" s="4" t="s">
        <v>28</v>
      </c>
      <c r="C201" s="4">
        <v>2</v>
      </c>
      <c r="E201" s="4" t="s">
        <v>12</v>
      </c>
      <c r="F201" s="4">
        <v>150</v>
      </c>
      <c r="G201" s="4">
        <v>2.1</v>
      </c>
      <c r="H201" s="4">
        <v>8.6</v>
      </c>
      <c r="I201" s="4">
        <v>8.1</v>
      </c>
      <c r="J201" s="4">
        <v>12.8</v>
      </c>
      <c r="K201" s="4">
        <v>11.2</v>
      </c>
      <c r="L201" s="4">
        <v>2.2999999999999998</v>
      </c>
      <c r="M201" s="4">
        <v>2.7</v>
      </c>
      <c r="N201" s="4">
        <v>4.4000000000000004</v>
      </c>
      <c r="O201" s="4">
        <v>2.6</v>
      </c>
      <c r="P201" s="4">
        <v>7.7</v>
      </c>
      <c r="Q201" s="4">
        <v>3.4</v>
      </c>
      <c r="R201" s="4">
        <v>2.9</v>
      </c>
      <c r="S201" s="4" t="s">
        <v>121</v>
      </c>
      <c r="T201" s="10"/>
      <c r="V201" s="17">
        <f>G201*'IAA digestibility'!G201</f>
        <v>1.827</v>
      </c>
      <c r="W201" s="17">
        <f>H201*'IAA digestibility'!H201</f>
        <v>7.31</v>
      </c>
      <c r="X201" s="17">
        <f>I201*'IAA digestibility'!I201</f>
        <v>7.1280000000000001</v>
      </c>
      <c r="Y201" s="17">
        <f>J201*'IAA digestibility'!J201</f>
        <v>11.648000000000001</v>
      </c>
      <c r="Z201" s="17">
        <f>K201*'IAA digestibility'!K201</f>
        <v>9.968</v>
      </c>
      <c r="AA201" s="17">
        <f>L201*'IAA digestibility'!L201</f>
        <v>2.1160000000000001</v>
      </c>
      <c r="AB201" s="17">
        <f>M201*'IAA digestibility'!M201</f>
        <v>2.3760000000000003</v>
      </c>
      <c r="AC201" s="17">
        <f>N201*'IAA digestibility'!N201</f>
        <v>3.9600000000000004</v>
      </c>
      <c r="AD201" s="17">
        <f>O201*'IAA digestibility'!O201</f>
        <v>2.3400000000000003</v>
      </c>
      <c r="AE201" s="17">
        <f>P201*'IAA digestibility'!P201</f>
        <v>6.6989999999999998</v>
      </c>
      <c r="AF201" s="17">
        <f>R201*'IAA digestibility'!R201</f>
        <v>2.6389999999999998</v>
      </c>
      <c r="AG201" s="25"/>
      <c r="AH201" s="17">
        <f t="shared" si="28"/>
        <v>12.18</v>
      </c>
      <c r="AI201" s="17">
        <f t="shared" si="29"/>
        <v>48.733333333333327</v>
      </c>
      <c r="AJ201" s="17">
        <f t="shared" si="30"/>
        <v>47.52</v>
      </c>
      <c r="AK201" s="17">
        <f t="shared" si="31"/>
        <v>77.653333333333336</v>
      </c>
      <c r="AL201" s="17">
        <f t="shared" si="32"/>
        <v>66.453333333333333</v>
      </c>
      <c r="AM201" s="17">
        <f t="shared" si="33"/>
        <v>29.946666666666673</v>
      </c>
      <c r="AN201" s="18">
        <f t="shared" si="34"/>
        <v>42</v>
      </c>
      <c r="AO201" s="17">
        <f t="shared" si="35"/>
        <v>44.66</v>
      </c>
      <c r="AP201" s="17">
        <f t="shared" si="36"/>
        <v>17.593333333333334</v>
      </c>
    </row>
    <row r="202" spans="1:43" s="4" customFormat="1" x14ac:dyDescent="0.25">
      <c r="A202" s="4" t="s">
        <v>115</v>
      </c>
      <c r="B202" s="4" t="s">
        <v>28</v>
      </c>
      <c r="C202" s="4">
        <v>2</v>
      </c>
      <c r="E202" s="4" t="s">
        <v>12</v>
      </c>
      <c r="F202" s="4">
        <v>138</v>
      </c>
      <c r="G202" s="4">
        <v>1.9</v>
      </c>
      <c r="H202" s="4">
        <v>7.8</v>
      </c>
      <c r="I202" s="4">
        <v>7.4</v>
      </c>
      <c r="J202" s="4">
        <v>11.6</v>
      </c>
      <c r="K202" s="4">
        <v>10.3</v>
      </c>
      <c r="L202" s="4">
        <v>2.1</v>
      </c>
      <c r="M202" s="4">
        <v>2.5</v>
      </c>
      <c r="N202" s="4">
        <v>4</v>
      </c>
      <c r="O202" s="4">
        <v>2.2999999999999998</v>
      </c>
      <c r="P202" s="4">
        <v>7</v>
      </c>
      <c r="Q202" s="4">
        <v>3.1</v>
      </c>
      <c r="R202" s="4">
        <v>2.7</v>
      </c>
      <c r="S202" s="4" t="s">
        <v>122</v>
      </c>
      <c r="T202" s="10"/>
      <c r="V202" s="17">
        <f>G202*'IAA digestibility'!G202</f>
        <v>1.653</v>
      </c>
      <c r="W202" s="17">
        <f>H202*'IAA digestibility'!H202</f>
        <v>6.63</v>
      </c>
      <c r="X202" s="17">
        <f>I202*'IAA digestibility'!I202</f>
        <v>6.5120000000000005</v>
      </c>
      <c r="Y202" s="17">
        <f>J202*'IAA digestibility'!J202</f>
        <v>10.555999999999999</v>
      </c>
      <c r="Z202" s="17">
        <f>K202*'IAA digestibility'!K202</f>
        <v>9.1670000000000016</v>
      </c>
      <c r="AA202" s="17">
        <f>L202*'IAA digestibility'!L202</f>
        <v>1.9320000000000002</v>
      </c>
      <c r="AB202" s="17">
        <f>M202*'IAA digestibility'!M202</f>
        <v>2.2000000000000002</v>
      </c>
      <c r="AC202" s="17">
        <f>N202*'IAA digestibility'!N202</f>
        <v>3.6</v>
      </c>
      <c r="AD202" s="17">
        <f>O202*'IAA digestibility'!O202</f>
        <v>2.0699999999999998</v>
      </c>
      <c r="AE202" s="17">
        <f>P202*'IAA digestibility'!P202</f>
        <v>6.09</v>
      </c>
      <c r="AF202" s="17">
        <f>R202*'IAA digestibility'!R202</f>
        <v>2.4570000000000003</v>
      </c>
      <c r="AG202" s="25"/>
      <c r="AH202" s="17">
        <f t="shared" si="28"/>
        <v>11.978260869565217</v>
      </c>
      <c r="AI202" s="17">
        <f t="shared" si="29"/>
        <v>48.043478260869563</v>
      </c>
      <c r="AJ202" s="17">
        <f t="shared" si="30"/>
        <v>47.188405797101453</v>
      </c>
      <c r="AK202" s="17">
        <f t="shared" si="31"/>
        <v>76.492753623188406</v>
      </c>
      <c r="AL202" s="17">
        <f t="shared" si="32"/>
        <v>66.427536231884062</v>
      </c>
      <c r="AM202" s="17">
        <f t="shared" si="33"/>
        <v>29.94202898550725</v>
      </c>
      <c r="AN202" s="18">
        <f t="shared" si="34"/>
        <v>41.086956521739133</v>
      </c>
      <c r="AO202" s="17">
        <f t="shared" si="35"/>
        <v>44.130434782608695</v>
      </c>
      <c r="AP202" s="17">
        <f t="shared" si="36"/>
        <v>17.804347826086957</v>
      </c>
    </row>
    <row r="203" spans="1:43" s="4" customFormat="1" x14ac:dyDescent="0.25">
      <c r="A203" s="4" t="s">
        <v>258</v>
      </c>
      <c r="B203" s="4" t="s">
        <v>28</v>
      </c>
      <c r="C203" s="4">
        <v>10</v>
      </c>
      <c r="E203" s="4" t="s">
        <v>240</v>
      </c>
      <c r="F203" s="4">
        <v>906</v>
      </c>
      <c r="G203" s="4">
        <v>13.0464</v>
      </c>
      <c r="H203" s="4">
        <v>74.382599999999996</v>
      </c>
      <c r="I203" s="4">
        <v>74.020200000000003</v>
      </c>
      <c r="J203" s="4">
        <v>103.19340000000001</v>
      </c>
      <c r="K203" s="4">
        <v>91.324799999999996</v>
      </c>
      <c r="L203" s="4">
        <v>22.468799999999998</v>
      </c>
      <c r="M203" s="4">
        <v>22.559399999999997</v>
      </c>
      <c r="N203" s="4">
        <v>27.8142</v>
      </c>
      <c r="O203" s="4">
        <v>27.723600000000001</v>
      </c>
      <c r="P203" s="4">
        <v>61.336200000000005</v>
      </c>
      <c r="Q203" s="4">
        <v>19.931999999999999</v>
      </c>
      <c r="R203" s="4">
        <v>15.673800000000002</v>
      </c>
      <c r="S203" s="4" t="s">
        <v>256</v>
      </c>
      <c r="T203" s="10"/>
      <c r="V203" s="17">
        <f>G203*'IAA digestibility'!G203</f>
        <v>11.6895744</v>
      </c>
      <c r="W203" s="17">
        <f>H203*'IAA digestibility'!H203</f>
        <v>65.010392400000001</v>
      </c>
      <c r="X203" s="17">
        <f>I203*'IAA digestibility'!I203</f>
        <v>71.5035132</v>
      </c>
      <c r="Y203" s="17">
        <f>J203*'IAA digestibility'!J203</f>
        <v>100.51037160000001</v>
      </c>
      <c r="Z203" s="17">
        <f>K203*'IAA digestibility'!K203</f>
        <v>88.40240639999999</v>
      </c>
      <c r="AA203" s="17">
        <f>L203*'IAA digestibility'!L203</f>
        <v>22.109299199999999</v>
      </c>
      <c r="AB203" s="17">
        <f>M203*'IAA digestibility'!M203</f>
        <v>21.228395399999997</v>
      </c>
      <c r="AC203" s="17">
        <f>N203*'IAA digestibility'!N203</f>
        <v>26.451304199999999</v>
      </c>
      <c r="AD203" s="17">
        <f>O203*'IAA digestibility'!O203</f>
        <v>26.115631199999999</v>
      </c>
      <c r="AE203" s="17">
        <f>P203*'IAA digestibility'!P203</f>
        <v>56.735985000000007</v>
      </c>
      <c r="AF203" s="17">
        <f>R203*'IAA digestibility'!R203</f>
        <v>14.968479</v>
      </c>
      <c r="AG203" s="25"/>
      <c r="AH203" s="17">
        <f t="shared" si="28"/>
        <v>12.9024</v>
      </c>
      <c r="AI203" s="17">
        <f t="shared" si="29"/>
        <v>71.755399999999995</v>
      </c>
      <c r="AJ203" s="17">
        <f t="shared" si="30"/>
        <v>78.922200000000004</v>
      </c>
      <c r="AK203" s="17">
        <f t="shared" si="31"/>
        <v>110.93860000000001</v>
      </c>
      <c r="AL203" s="17">
        <f t="shared" si="32"/>
        <v>97.574399999999997</v>
      </c>
      <c r="AM203" s="17">
        <f t="shared" si="33"/>
        <v>47.834099999999992</v>
      </c>
      <c r="AN203" s="18">
        <f t="shared" si="34"/>
        <v>58.020899999999997</v>
      </c>
      <c r="AO203" s="17">
        <f t="shared" si="35"/>
        <v>62.622500000000009</v>
      </c>
      <c r="AP203" s="17">
        <f t="shared" si="36"/>
        <v>16.521500000000003</v>
      </c>
    </row>
    <row r="204" spans="1:43" s="6" customFormat="1" x14ac:dyDescent="0.25">
      <c r="V204" s="31"/>
      <c r="W204" s="31"/>
      <c r="X204" s="31"/>
      <c r="Y204" s="31"/>
      <c r="Z204" s="31"/>
      <c r="AA204" s="31"/>
      <c r="AB204" s="31"/>
      <c r="AC204" s="31"/>
      <c r="AD204" s="31"/>
      <c r="AE204" s="31"/>
      <c r="AF204" s="31"/>
      <c r="AG204" s="31"/>
      <c r="AH204" s="31"/>
      <c r="AI204" s="31"/>
      <c r="AJ204" s="31"/>
      <c r="AK204" s="31"/>
      <c r="AL204" s="31"/>
      <c r="AM204" s="31"/>
      <c r="AN204" s="30"/>
      <c r="AO204" s="31"/>
      <c r="AP204" s="31"/>
    </row>
    <row r="205" spans="1:43" s="4" customFormat="1" x14ac:dyDescent="0.25">
      <c r="A205" s="4" t="s">
        <v>159</v>
      </c>
      <c r="B205" s="4" t="s">
        <v>297</v>
      </c>
      <c r="C205" s="4">
        <v>2</v>
      </c>
      <c r="E205" s="4" t="s">
        <v>12</v>
      </c>
      <c r="F205" s="4">
        <v>80</v>
      </c>
      <c r="G205" s="4">
        <v>0.8</v>
      </c>
      <c r="H205" s="4">
        <v>2.6</v>
      </c>
      <c r="I205" s="4">
        <v>3</v>
      </c>
      <c r="J205" s="4">
        <v>4.9000000000000004</v>
      </c>
      <c r="K205" s="4">
        <v>3.4</v>
      </c>
      <c r="L205" s="4">
        <v>1.2</v>
      </c>
      <c r="M205" s="4">
        <v>0.8</v>
      </c>
      <c r="N205" s="4">
        <v>3</v>
      </c>
      <c r="O205" s="4">
        <v>2.1</v>
      </c>
      <c r="P205" s="4">
        <v>3.3</v>
      </c>
      <c r="Q205" s="4">
        <v>3.4</v>
      </c>
      <c r="R205" s="4">
        <v>1.8</v>
      </c>
      <c r="S205" s="4" t="s">
        <v>160</v>
      </c>
      <c r="T205" s="10"/>
      <c r="V205" s="17">
        <f>G205*'IAA digestibility'!G205</f>
        <v>0.496</v>
      </c>
      <c r="W205" s="17">
        <f>H205*'IAA digestibility'!H205</f>
        <v>1.56</v>
      </c>
      <c r="X205" s="17">
        <f>I205*'IAA digestibility'!I205</f>
        <v>2.0999999999999996</v>
      </c>
      <c r="Y205" s="17">
        <f>J205*'IAA digestibility'!J205</f>
        <v>3.4790000000000001</v>
      </c>
      <c r="Z205" s="17">
        <f>K205*'IAA digestibility'!K205</f>
        <v>1.9719999999999998</v>
      </c>
      <c r="AA205" s="17">
        <f>L205*'IAA digestibility'!L205</f>
        <v>0.88800000000000001</v>
      </c>
      <c r="AB205" s="17">
        <f>M205*'IAA digestibility'!M205</f>
        <v>0.44000000000000006</v>
      </c>
      <c r="AC205" s="17">
        <f>N205*'IAA digestibility'!N205</f>
        <v>2.2199999999999998</v>
      </c>
      <c r="AD205" s="17">
        <f>O205*'IAA digestibility'!O205</f>
        <v>1.47</v>
      </c>
      <c r="AE205" s="17">
        <f>P205*'IAA digestibility'!P205</f>
        <v>2.1779999999999999</v>
      </c>
      <c r="AF205" s="17">
        <f>R205*'IAA digestibility'!R205</f>
        <v>1.242</v>
      </c>
      <c r="AG205" s="25"/>
      <c r="AH205" s="17">
        <f t="shared" si="28"/>
        <v>6.2</v>
      </c>
      <c r="AI205" s="17">
        <f t="shared" si="29"/>
        <v>19.5</v>
      </c>
      <c r="AJ205" s="17">
        <f t="shared" si="30"/>
        <v>26.249999999999996</v>
      </c>
      <c r="AK205" s="17">
        <f t="shared" si="31"/>
        <v>43.487499999999997</v>
      </c>
      <c r="AL205" s="17">
        <f t="shared" si="32"/>
        <v>24.65</v>
      </c>
      <c r="AM205" s="17">
        <f t="shared" si="33"/>
        <v>16.600000000000001</v>
      </c>
      <c r="AN205" s="18">
        <f t="shared" si="34"/>
        <v>46.124999999999993</v>
      </c>
      <c r="AO205" s="17">
        <f t="shared" si="35"/>
        <v>27.224999999999998</v>
      </c>
      <c r="AP205" s="17">
        <f t="shared" si="36"/>
        <v>15.525</v>
      </c>
    </row>
    <row r="206" spans="1:43" s="4" customFormat="1" x14ac:dyDescent="0.25">
      <c r="A206" s="4" t="s">
        <v>161</v>
      </c>
      <c r="B206" s="4" t="s">
        <v>297</v>
      </c>
      <c r="C206" s="4">
        <v>2</v>
      </c>
      <c r="E206" s="4" t="s">
        <v>12</v>
      </c>
      <c r="F206" s="4">
        <v>47</v>
      </c>
      <c r="G206" s="4">
        <v>0.5</v>
      </c>
      <c r="H206" s="4">
        <v>1.2</v>
      </c>
      <c r="I206" s="4">
        <v>0.8</v>
      </c>
      <c r="J206" s="4">
        <v>2.2000000000000002</v>
      </c>
      <c r="K206" s="4">
        <v>1.7</v>
      </c>
      <c r="L206" s="4">
        <v>0.3</v>
      </c>
      <c r="M206" s="4">
        <v>0.3</v>
      </c>
      <c r="N206" s="4">
        <v>1</v>
      </c>
      <c r="O206" s="4">
        <v>0.5</v>
      </c>
      <c r="P206" s="4">
        <v>1.3</v>
      </c>
      <c r="Q206" s="4">
        <v>1.6</v>
      </c>
      <c r="R206" s="4">
        <v>3.1</v>
      </c>
      <c r="S206" s="4" t="s">
        <v>162</v>
      </c>
      <c r="T206" s="10"/>
      <c r="V206" s="17">
        <f>G206*'IAA digestibility'!G206</f>
        <v>0.42</v>
      </c>
      <c r="W206" s="17">
        <f>H206*'IAA digestibility'!H206</f>
        <v>0.99599999999999989</v>
      </c>
      <c r="X206" s="17">
        <f>I206*'IAA digestibility'!I206</f>
        <v>0.68</v>
      </c>
      <c r="Y206" s="17">
        <f>J206*'IAA digestibility'!J206</f>
        <v>1.9140000000000001</v>
      </c>
      <c r="Z206" s="17">
        <f>K206*'IAA digestibility'!K206</f>
        <v>1.4449999999999998</v>
      </c>
      <c r="AA206" s="17">
        <f>L206*'IAA digestibility'!L206</f>
        <v>0.26400000000000001</v>
      </c>
      <c r="AB206" s="17">
        <f>M206*'IAA digestibility'!M206</f>
        <v>0.24899999999999997</v>
      </c>
      <c r="AC206" s="17">
        <f>N206*'IAA digestibility'!N206</f>
        <v>0.88</v>
      </c>
      <c r="AD206" s="17">
        <f>O206*'IAA digestibility'!O206</f>
        <v>0.435</v>
      </c>
      <c r="AE206" s="17">
        <f>P206*'IAA digestibility'!P206</f>
        <v>1.105</v>
      </c>
      <c r="AF206" s="17">
        <f>R206*'IAA digestibility'!R206</f>
        <v>2.6970000000000001</v>
      </c>
      <c r="AG206" s="25"/>
      <c r="AH206" s="17">
        <f t="shared" si="28"/>
        <v>8.9361702127659584</v>
      </c>
      <c r="AI206" s="17">
        <f t="shared" si="29"/>
        <v>21.191489361702125</v>
      </c>
      <c r="AJ206" s="17">
        <f t="shared" si="30"/>
        <v>14.468085106382979</v>
      </c>
      <c r="AK206" s="17">
        <f t="shared" si="31"/>
        <v>40.723404255319153</v>
      </c>
      <c r="AL206" s="17">
        <f t="shared" si="32"/>
        <v>30.744680851063826</v>
      </c>
      <c r="AM206" s="17">
        <f t="shared" si="33"/>
        <v>10.914893617021276</v>
      </c>
      <c r="AN206" s="18">
        <f t="shared" si="34"/>
        <v>27.978723404255316</v>
      </c>
      <c r="AO206" s="17">
        <f t="shared" si="35"/>
        <v>23.51063829787234</v>
      </c>
      <c r="AP206" s="17">
        <f t="shared" si="36"/>
        <v>57.382978723404257</v>
      </c>
    </row>
    <row r="207" spans="1:43" s="4" customFormat="1" x14ac:dyDescent="0.25">
      <c r="A207" s="4" t="s">
        <v>163</v>
      </c>
      <c r="B207" s="4" t="s">
        <v>297</v>
      </c>
      <c r="C207" s="4">
        <v>2</v>
      </c>
      <c r="E207" s="4" t="s">
        <v>12</v>
      </c>
      <c r="F207" s="4">
        <v>70</v>
      </c>
      <c r="G207" s="4">
        <v>0.6</v>
      </c>
      <c r="H207" s="4">
        <v>2.2000000000000002</v>
      </c>
      <c r="I207" s="4">
        <v>2.2999999999999998</v>
      </c>
      <c r="J207" s="4">
        <v>3.8</v>
      </c>
      <c r="K207" s="4">
        <v>2.4</v>
      </c>
      <c r="L207" s="4">
        <v>0.8</v>
      </c>
      <c r="M207" s="4">
        <v>0.7</v>
      </c>
      <c r="N207" s="4">
        <v>2.8</v>
      </c>
      <c r="O207" s="4">
        <v>2</v>
      </c>
      <c r="P207" s="4">
        <v>3</v>
      </c>
      <c r="Q207" s="4">
        <v>3.3</v>
      </c>
      <c r="R207" s="4">
        <v>1.4</v>
      </c>
      <c r="S207" s="4" t="s">
        <v>164</v>
      </c>
      <c r="T207" s="10"/>
      <c r="V207" s="17">
        <f>G207*'IAA digestibility'!G207</f>
        <v>0.46799999999999997</v>
      </c>
      <c r="W207" s="17">
        <f>H207*'IAA digestibility'!H207</f>
        <v>1.6940000000000002</v>
      </c>
      <c r="X207" s="17">
        <f>I207*'IAA digestibility'!I207</f>
        <v>1.863</v>
      </c>
      <c r="Y207" s="17">
        <f>J207*'IAA digestibility'!J207</f>
        <v>3.1539999999999999</v>
      </c>
      <c r="Z207" s="17">
        <f>K207*'IAA digestibility'!K207</f>
        <v>1.8719999999999999</v>
      </c>
      <c r="AA207" s="17">
        <f>L207*'IAA digestibility'!L207</f>
        <v>0.67200000000000004</v>
      </c>
      <c r="AB207" s="17">
        <f>M207*'IAA digestibility'!M207</f>
        <v>0.53199999999999992</v>
      </c>
      <c r="AC207" s="17">
        <f>N207*'IAA digestibility'!N207</f>
        <v>2.3519999999999999</v>
      </c>
      <c r="AD207" s="17">
        <f>O207*'IAA digestibility'!O207</f>
        <v>1.66</v>
      </c>
      <c r="AE207" s="17">
        <f>P207*'IAA digestibility'!P207</f>
        <v>2.4000000000000004</v>
      </c>
      <c r="AF207" s="17">
        <f>R207*'IAA digestibility'!R207</f>
        <v>1.1479999999999999</v>
      </c>
      <c r="AG207" s="25"/>
      <c r="AH207" s="17">
        <f t="shared" si="28"/>
        <v>6.6857142857142851</v>
      </c>
      <c r="AI207" s="17">
        <f t="shared" si="29"/>
        <v>24.200000000000003</v>
      </c>
      <c r="AJ207" s="17">
        <f t="shared" si="30"/>
        <v>26.614285714285714</v>
      </c>
      <c r="AK207" s="17">
        <f t="shared" si="31"/>
        <v>45.057142857142857</v>
      </c>
      <c r="AL207" s="17">
        <f t="shared" si="32"/>
        <v>26.74285714285714</v>
      </c>
      <c r="AM207" s="17">
        <f t="shared" si="33"/>
        <v>17.2</v>
      </c>
      <c r="AN207" s="18">
        <f t="shared" si="34"/>
        <v>57.31428571428571</v>
      </c>
      <c r="AO207" s="17">
        <f t="shared" si="35"/>
        <v>34.285714285714285</v>
      </c>
      <c r="AP207" s="17">
        <f t="shared" si="36"/>
        <v>16.399999999999999</v>
      </c>
    </row>
    <row r="208" spans="1:43" s="4" customFormat="1" x14ac:dyDescent="0.25">
      <c r="A208" s="4" t="s">
        <v>165</v>
      </c>
      <c r="B208" s="4" t="s">
        <v>297</v>
      </c>
      <c r="C208" s="4">
        <v>2</v>
      </c>
      <c r="E208" s="4" t="s">
        <v>12</v>
      </c>
      <c r="F208" s="4">
        <v>11</v>
      </c>
      <c r="G208" s="4">
        <v>0.1</v>
      </c>
      <c r="H208" s="4">
        <v>0.4</v>
      </c>
      <c r="I208" s="4">
        <v>0.4</v>
      </c>
      <c r="J208" s="4">
        <v>0.6</v>
      </c>
      <c r="K208" s="4">
        <v>0.4</v>
      </c>
      <c r="L208" s="4">
        <v>0.1</v>
      </c>
      <c r="M208" s="4">
        <v>0.1</v>
      </c>
      <c r="N208" s="4">
        <v>0.5</v>
      </c>
      <c r="O208" s="4">
        <v>0.3</v>
      </c>
      <c r="P208" s="4">
        <v>0.5</v>
      </c>
      <c r="Q208" s="4">
        <v>0.5</v>
      </c>
      <c r="R208" s="4">
        <v>0.2</v>
      </c>
      <c r="S208" s="4" t="s">
        <v>166</v>
      </c>
      <c r="T208" s="10"/>
      <c r="V208" s="17">
        <f>G208*'IAA digestibility'!G208</f>
        <v>7.9000000000000015E-2</v>
      </c>
      <c r="W208" s="17">
        <f>H208*'IAA digestibility'!H208</f>
        <v>0.31200000000000006</v>
      </c>
      <c r="X208" s="17">
        <f>I208*'IAA digestibility'!I208</f>
        <v>0.32800000000000001</v>
      </c>
      <c r="Y208" s="17">
        <f>J208*'IAA digestibility'!J208</f>
        <v>0.504</v>
      </c>
      <c r="Z208" s="17">
        <f>K208*'IAA digestibility'!K208</f>
        <v>0.31600000000000006</v>
      </c>
      <c r="AA208" s="17">
        <f>L208*'IAA digestibility'!L208</f>
        <v>8.5000000000000006E-2</v>
      </c>
      <c r="AB208" s="17">
        <f>M208*'IAA digestibility'!M208</f>
        <v>7.7000000000000013E-2</v>
      </c>
      <c r="AC208" s="17">
        <f>N208*'IAA digestibility'!N208</f>
        <v>0.42499999999999999</v>
      </c>
      <c r="AD208" s="17">
        <f>O208*'IAA digestibility'!O208</f>
        <v>0.24899999999999997</v>
      </c>
      <c r="AE208" s="17">
        <f>P208*'IAA digestibility'!P208</f>
        <v>0.40500000000000003</v>
      </c>
      <c r="AF208" s="17">
        <f>R208*'IAA digestibility'!R208</f>
        <v>0.16600000000000001</v>
      </c>
      <c r="AG208" s="25"/>
      <c r="AH208" s="17">
        <f t="shared" si="28"/>
        <v>7.1818181818181834</v>
      </c>
      <c r="AI208" s="17">
        <f t="shared" si="29"/>
        <v>28.363636363636367</v>
      </c>
      <c r="AJ208" s="17">
        <f t="shared" si="30"/>
        <v>29.81818181818182</v>
      </c>
      <c r="AK208" s="17">
        <f t="shared" si="31"/>
        <v>45.81818181818182</v>
      </c>
      <c r="AL208" s="17">
        <f t="shared" si="32"/>
        <v>28.727272727272734</v>
      </c>
      <c r="AM208" s="17">
        <f t="shared" si="33"/>
        <v>14.72727272727273</v>
      </c>
      <c r="AN208" s="18">
        <f t="shared" si="34"/>
        <v>61.272727272727266</v>
      </c>
      <c r="AO208" s="17">
        <f t="shared" si="35"/>
        <v>36.81818181818182</v>
      </c>
      <c r="AP208" s="17">
        <f t="shared" si="36"/>
        <v>15.090909090909092</v>
      </c>
    </row>
    <row r="209" spans="1:42" s="4" customFormat="1" x14ac:dyDescent="0.25">
      <c r="A209" s="4" t="s">
        <v>167</v>
      </c>
      <c r="B209" s="4" t="s">
        <v>297</v>
      </c>
      <c r="C209" s="4">
        <v>2</v>
      </c>
      <c r="E209" s="4" t="s">
        <v>12</v>
      </c>
      <c r="F209" s="4">
        <v>136</v>
      </c>
      <c r="G209" s="4">
        <v>1.3</v>
      </c>
      <c r="H209" s="4">
        <v>4.7</v>
      </c>
      <c r="I209" s="4">
        <v>4.9000000000000004</v>
      </c>
      <c r="J209" s="4">
        <v>8.9</v>
      </c>
      <c r="K209" s="4">
        <v>5.4</v>
      </c>
      <c r="L209" s="4">
        <v>1.4</v>
      </c>
      <c r="M209" s="4">
        <v>1.6</v>
      </c>
      <c r="N209" s="4">
        <v>4.5999999999999996</v>
      </c>
      <c r="O209" s="4">
        <v>2.8</v>
      </c>
      <c r="P209" s="4">
        <v>5.2</v>
      </c>
      <c r="Q209" s="4">
        <v>7.1</v>
      </c>
      <c r="R209" s="4">
        <v>2.8</v>
      </c>
      <c r="S209" s="4" t="s">
        <v>168</v>
      </c>
      <c r="T209" s="10"/>
      <c r="V209" s="17">
        <f>G209*'IAA digestibility'!G209</f>
        <v>0.76700000000000002</v>
      </c>
      <c r="W209" s="17">
        <f>H209*'IAA digestibility'!H209</f>
        <v>2.6789999999999998</v>
      </c>
      <c r="X209" s="17">
        <f>I209*'IAA digestibility'!I209</f>
        <v>3.3320000000000003</v>
      </c>
      <c r="Y209" s="17">
        <f>J209*'IAA digestibility'!J209</f>
        <v>6.141</v>
      </c>
      <c r="Z209" s="17">
        <f>K209*'IAA digestibility'!K209</f>
        <v>2.9700000000000006</v>
      </c>
      <c r="AA209" s="17">
        <f>L209*'IAA digestibility'!L209</f>
        <v>1.008</v>
      </c>
      <c r="AB209" s="17">
        <f>M209*'IAA digestibility'!M209</f>
        <v>0.81600000000000006</v>
      </c>
      <c r="AC209" s="17">
        <f>N209*'IAA digestibility'!N209</f>
        <v>3.3119999999999998</v>
      </c>
      <c r="AD209" s="17">
        <f>O209*'IAA digestibility'!O209</f>
        <v>1.9039999999999999</v>
      </c>
      <c r="AE209" s="17">
        <f>P209*'IAA digestibility'!P209</f>
        <v>3.3280000000000003</v>
      </c>
      <c r="AF209" s="17">
        <f>R209*'IAA digestibility'!R209</f>
        <v>1.8479999999999999</v>
      </c>
      <c r="AG209" s="25"/>
      <c r="AH209" s="17">
        <f t="shared" si="28"/>
        <v>5.639705882352942</v>
      </c>
      <c r="AI209" s="17">
        <f t="shared" si="29"/>
        <v>19.698529411764707</v>
      </c>
      <c r="AJ209" s="17">
        <f t="shared" si="30"/>
        <v>24.5</v>
      </c>
      <c r="AK209" s="17">
        <f t="shared" si="31"/>
        <v>45.154411764705877</v>
      </c>
      <c r="AL209" s="17">
        <f t="shared" si="32"/>
        <v>21.838235294117652</v>
      </c>
      <c r="AM209" s="17">
        <f t="shared" si="33"/>
        <v>13.411764705882353</v>
      </c>
      <c r="AN209" s="18">
        <f t="shared" si="34"/>
        <v>38.35294117647058</v>
      </c>
      <c r="AO209" s="17">
        <f t="shared" si="35"/>
        <v>24.47058823529412</v>
      </c>
      <c r="AP209" s="17">
        <f t="shared" si="36"/>
        <v>13.588235294117645</v>
      </c>
    </row>
    <row r="210" spans="1:42" s="4" customFormat="1" x14ac:dyDescent="0.25">
      <c r="A210" s="4" t="s">
        <v>169</v>
      </c>
      <c r="B210" s="4" t="s">
        <v>297</v>
      </c>
      <c r="C210" s="4">
        <v>2</v>
      </c>
      <c r="E210" s="4" t="s">
        <v>12</v>
      </c>
      <c r="F210" s="4">
        <v>134</v>
      </c>
      <c r="G210" s="4">
        <v>1.3</v>
      </c>
      <c r="H210" s="4">
        <v>4.7</v>
      </c>
      <c r="I210" s="4">
        <v>5</v>
      </c>
      <c r="J210" s="4">
        <v>8.6999999999999993</v>
      </c>
      <c r="K210" s="4">
        <v>5.3</v>
      </c>
      <c r="L210" s="4">
        <v>1.4</v>
      </c>
      <c r="M210" s="4">
        <v>1.6</v>
      </c>
      <c r="N210" s="4">
        <v>4.5999999999999996</v>
      </c>
      <c r="O210" s="4">
        <v>2.7</v>
      </c>
      <c r="P210" s="4">
        <v>5.2</v>
      </c>
      <c r="Q210" s="4">
        <v>7</v>
      </c>
      <c r="R210" s="4">
        <v>2.7</v>
      </c>
      <c r="S210" s="4" t="s">
        <v>170</v>
      </c>
      <c r="T210" s="10"/>
      <c r="V210" s="17">
        <f>G210*'IAA digestibility'!G210</f>
        <v>0.81900000000000006</v>
      </c>
      <c r="W210" s="17">
        <f>H210*'IAA digestibility'!H210</f>
        <v>2.9140000000000001</v>
      </c>
      <c r="X210" s="17">
        <f>I210*'IAA digestibility'!I210</f>
        <v>3.55</v>
      </c>
      <c r="Y210" s="17">
        <f>J210*'IAA digestibility'!J210</f>
        <v>6.3509999999999991</v>
      </c>
      <c r="Z210" s="17">
        <f>K210*'IAA digestibility'!K210</f>
        <v>3.1799999999999997</v>
      </c>
      <c r="AA210" s="17">
        <f>L210*'IAA digestibility'!L210</f>
        <v>1.0499999999999998</v>
      </c>
      <c r="AB210" s="17">
        <f>M210*'IAA digestibility'!M210</f>
        <v>0.91199999999999992</v>
      </c>
      <c r="AC210" s="17">
        <f>N210*'IAA digestibility'!N210</f>
        <v>3.4499999999999997</v>
      </c>
      <c r="AD210" s="17">
        <f>O210*'IAA digestibility'!O210</f>
        <v>1.944</v>
      </c>
      <c r="AE210" s="17">
        <f>P210*'IAA digestibility'!P210</f>
        <v>3.5360000000000005</v>
      </c>
      <c r="AF210" s="17">
        <f>R210*'IAA digestibility'!R210</f>
        <v>1.89</v>
      </c>
      <c r="AG210" s="25"/>
      <c r="AH210" s="17">
        <f t="shared" si="28"/>
        <v>6.1119402985074629</v>
      </c>
      <c r="AI210" s="17">
        <f t="shared" si="29"/>
        <v>21.746268656716421</v>
      </c>
      <c r="AJ210" s="17">
        <f t="shared" si="30"/>
        <v>26.492537313432834</v>
      </c>
      <c r="AK210" s="17">
        <f t="shared" si="31"/>
        <v>47.395522388059696</v>
      </c>
      <c r="AL210" s="17">
        <f t="shared" si="32"/>
        <v>23.731343283582088</v>
      </c>
      <c r="AM210" s="17">
        <f t="shared" si="33"/>
        <v>14.641791044776118</v>
      </c>
      <c r="AN210" s="18">
        <f t="shared" si="34"/>
        <v>40.253731343283583</v>
      </c>
      <c r="AO210" s="17">
        <f t="shared" si="35"/>
        <v>26.388059701492541</v>
      </c>
      <c r="AP210" s="17">
        <f t="shared" si="36"/>
        <v>14.104477611940299</v>
      </c>
    </row>
    <row r="211" spans="1:42" s="4" customFormat="1" x14ac:dyDescent="0.25">
      <c r="A211" s="4" t="s">
        <v>171</v>
      </c>
      <c r="B211" s="4" t="s">
        <v>297</v>
      </c>
      <c r="C211" s="4">
        <v>2</v>
      </c>
      <c r="E211" s="4" t="s">
        <v>12</v>
      </c>
      <c r="F211" s="4">
        <v>100</v>
      </c>
      <c r="G211" s="4">
        <v>1</v>
      </c>
      <c r="H211" s="4">
        <v>3.5</v>
      </c>
      <c r="I211" s="4">
        <v>3.6</v>
      </c>
      <c r="J211" s="4">
        <v>6.5</v>
      </c>
      <c r="K211" s="4">
        <v>3.9</v>
      </c>
      <c r="L211" s="4">
        <v>1.1000000000000001</v>
      </c>
      <c r="M211" s="4">
        <v>1.2</v>
      </c>
      <c r="N211" s="4">
        <v>3.4</v>
      </c>
      <c r="O211" s="4">
        <v>2</v>
      </c>
      <c r="P211" s="4">
        <v>3.8</v>
      </c>
      <c r="Q211" s="4">
        <v>5.2</v>
      </c>
      <c r="R211" s="4">
        <v>2</v>
      </c>
      <c r="S211" s="4" t="s">
        <v>172</v>
      </c>
      <c r="T211" s="10"/>
      <c r="V211" s="17">
        <f>G211*'IAA digestibility'!G211</f>
        <v>0.54</v>
      </c>
      <c r="W211" s="17">
        <f>H211*'IAA digestibility'!H211</f>
        <v>1.855</v>
      </c>
      <c r="X211" s="17">
        <f>I211*'IAA digestibility'!I211</f>
        <v>2.3400000000000003</v>
      </c>
      <c r="Y211" s="17">
        <f>J211*'IAA digestibility'!J211</f>
        <v>4.29</v>
      </c>
      <c r="Z211" s="17">
        <f>K211*'IAA digestibility'!K211</f>
        <v>1.911</v>
      </c>
      <c r="AA211" s="17">
        <f>L211*'IAA digestibility'!L211</f>
        <v>0.77</v>
      </c>
      <c r="AB211" s="17">
        <f>M211*'IAA digestibility'!M211</f>
        <v>0.54</v>
      </c>
      <c r="AC211" s="17">
        <f>N211*'IAA digestibility'!N211</f>
        <v>2.38</v>
      </c>
      <c r="AD211" s="17">
        <f>O211*'IAA digestibility'!O211</f>
        <v>1.3</v>
      </c>
      <c r="AE211" s="17">
        <f>P211*'IAA digestibility'!P211</f>
        <v>2.2799999999999998</v>
      </c>
      <c r="AF211" s="17">
        <f>R211*'IAA digestibility'!R211</f>
        <v>1.24</v>
      </c>
      <c r="AG211" s="25"/>
      <c r="AH211" s="17">
        <f t="shared" si="28"/>
        <v>5.4</v>
      </c>
      <c r="AI211" s="17">
        <f t="shared" si="29"/>
        <v>18.55</v>
      </c>
      <c r="AJ211" s="17">
        <f t="shared" si="30"/>
        <v>23.400000000000006</v>
      </c>
      <c r="AK211" s="17">
        <f t="shared" si="31"/>
        <v>42.9</v>
      </c>
      <c r="AL211" s="17">
        <f t="shared" si="32"/>
        <v>19.110000000000003</v>
      </c>
      <c r="AM211" s="17">
        <f t="shared" si="33"/>
        <v>13.100000000000001</v>
      </c>
      <c r="AN211" s="18">
        <f t="shared" si="34"/>
        <v>36.799999999999997</v>
      </c>
      <c r="AO211" s="17">
        <f t="shared" si="35"/>
        <v>22.799999999999997</v>
      </c>
      <c r="AP211" s="17">
        <f t="shared" si="36"/>
        <v>12.4</v>
      </c>
    </row>
    <row r="212" spans="1:42" s="4" customFormat="1" x14ac:dyDescent="0.25">
      <c r="A212" s="4" t="s">
        <v>173</v>
      </c>
      <c r="B212" s="4" t="s">
        <v>297</v>
      </c>
      <c r="C212" s="4">
        <v>2</v>
      </c>
      <c r="E212" s="4" t="s">
        <v>12</v>
      </c>
      <c r="F212" s="4">
        <v>205</v>
      </c>
      <c r="G212" s="4">
        <v>2.1</v>
      </c>
      <c r="H212" s="4">
        <v>6.9</v>
      </c>
      <c r="I212" s="4">
        <v>7.8</v>
      </c>
      <c r="J212" s="4">
        <v>13.3</v>
      </c>
      <c r="K212" s="4">
        <v>10.5</v>
      </c>
      <c r="L212" s="4">
        <v>3.9</v>
      </c>
      <c r="M212" s="4">
        <v>3.5</v>
      </c>
      <c r="N212" s="4">
        <v>10.3</v>
      </c>
      <c r="O212" s="4">
        <v>11.2</v>
      </c>
      <c r="P212" s="4">
        <v>8.6999999999999993</v>
      </c>
      <c r="Q212" s="4">
        <v>19.2</v>
      </c>
      <c r="R212" s="4">
        <v>6</v>
      </c>
      <c r="S212" s="4" t="s">
        <v>174</v>
      </c>
      <c r="T212" s="10"/>
      <c r="V212" s="17">
        <f>G212*'IAA digestibility'!G212</f>
        <v>1.2809999999999999</v>
      </c>
      <c r="W212" s="17">
        <f>H212*'IAA digestibility'!H212</f>
        <v>4.1399999999999997</v>
      </c>
      <c r="X212" s="17">
        <f>I212*'IAA digestibility'!I212</f>
        <v>5.46</v>
      </c>
      <c r="Y212" s="17">
        <f>J212*'IAA digestibility'!J212</f>
        <v>9.4429999999999996</v>
      </c>
      <c r="Z212" s="17">
        <f>K212*'IAA digestibility'!K212</f>
        <v>6.09</v>
      </c>
      <c r="AA212" s="17">
        <f>L212*'IAA digestibility'!L212</f>
        <v>2.8860000000000001</v>
      </c>
      <c r="AB212" s="17">
        <f>M212*'IAA digestibility'!M212</f>
        <v>1.8900000000000001</v>
      </c>
      <c r="AC212" s="17">
        <f>N212*'IAA digestibility'!N212</f>
        <v>7.6220000000000008</v>
      </c>
      <c r="AD212" s="17">
        <f>O212*'IAA digestibility'!O212</f>
        <v>7.839999999999999</v>
      </c>
      <c r="AE212" s="17">
        <f>P212*'IAA digestibility'!P212</f>
        <v>5.742</v>
      </c>
      <c r="AF212" s="17">
        <f>R212*'IAA digestibility'!R212</f>
        <v>4.08</v>
      </c>
      <c r="AG212" s="25"/>
      <c r="AH212" s="17">
        <f t="shared" si="28"/>
        <v>6.2487804878048783</v>
      </c>
      <c r="AI212" s="17">
        <f t="shared" si="29"/>
        <v>20.195121951219509</v>
      </c>
      <c r="AJ212" s="17">
        <f t="shared" si="30"/>
        <v>26.634146341463413</v>
      </c>
      <c r="AK212" s="17">
        <f t="shared" si="31"/>
        <v>46.063414634146334</v>
      </c>
      <c r="AL212" s="17">
        <f t="shared" si="32"/>
        <v>29.707317073170731</v>
      </c>
      <c r="AM212" s="17">
        <f t="shared" si="33"/>
        <v>23.297560975609755</v>
      </c>
      <c r="AN212" s="18">
        <f t="shared" si="34"/>
        <v>75.424390243902437</v>
      </c>
      <c r="AO212" s="17">
        <f t="shared" si="35"/>
        <v>28.009756097560977</v>
      </c>
      <c r="AP212" s="17">
        <f t="shared" si="36"/>
        <v>19.902439024390244</v>
      </c>
    </row>
    <row r="213" spans="1:42" s="6" customFormat="1" x14ac:dyDescent="0.25">
      <c r="V213" s="31"/>
      <c r="W213" s="31"/>
      <c r="X213" s="31"/>
      <c r="Y213" s="31"/>
      <c r="Z213" s="31"/>
      <c r="AA213" s="31"/>
      <c r="AB213" s="31"/>
      <c r="AC213" s="31"/>
      <c r="AD213" s="31"/>
      <c r="AE213" s="31"/>
      <c r="AF213" s="31"/>
      <c r="AG213" s="31"/>
      <c r="AH213" s="31"/>
      <c r="AI213" s="31"/>
      <c r="AJ213" s="31"/>
      <c r="AK213" s="31"/>
      <c r="AL213" s="31"/>
      <c r="AM213" s="31"/>
      <c r="AN213" s="30"/>
      <c r="AO213" s="31"/>
      <c r="AP213" s="31"/>
    </row>
    <row r="214" spans="1:42" s="4" customFormat="1" x14ac:dyDescent="0.25">
      <c r="A214" s="4" t="s">
        <v>32</v>
      </c>
      <c r="B214" s="4" t="s">
        <v>33</v>
      </c>
      <c r="C214" s="4">
        <v>2</v>
      </c>
      <c r="E214" s="4" t="s">
        <v>12</v>
      </c>
      <c r="F214" s="4">
        <v>476</v>
      </c>
      <c r="G214" s="4">
        <v>5</v>
      </c>
      <c r="H214" s="4">
        <v>20.6</v>
      </c>
      <c r="I214" s="4">
        <v>20.399999999999999</v>
      </c>
      <c r="J214" s="4">
        <v>28.3</v>
      </c>
      <c r="K214" s="4">
        <v>29.1</v>
      </c>
      <c r="L214" s="4">
        <v>7.1</v>
      </c>
      <c r="M214" s="4">
        <v>3</v>
      </c>
      <c r="N214" s="4">
        <v>16.5</v>
      </c>
      <c r="O214" s="4">
        <v>12.7</v>
      </c>
      <c r="P214" s="4">
        <v>22.5</v>
      </c>
      <c r="Q214" s="4">
        <v>21.1</v>
      </c>
      <c r="R214" s="4">
        <v>10</v>
      </c>
      <c r="T214" s="10"/>
      <c r="V214" s="17">
        <f>G214*'IAA digestibility'!G214</f>
        <v>4.45</v>
      </c>
      <c r="W214" s="17">
        <f>H214*'IAA digestibility'!H214</f>
        <v>17.097999999999999</v>
      </c>
      <c r="X214" s="17">
        <f>I214*'IAA digestibility'!I214</f>
        <v>17.135999999999999</v>
      </c>
      <c r="Y214" s="17">
        <f>J214*'IAA digestibility'!J214</f>
        <v>24.055</v>
      </c>
      <c r="Z214" s="17">
        <f>K214*'IAA digestibility'!K214</f>
        <v>25.608000000000001</v>
      </c>
      <c r="AA214" s="17">
        <f>L214*'IAA digestibility'!L214</f>
        <v>5.8219999999999992</v>
      </c>
      <c r="AB214" s="17">
        <f>M214*'IAA digestibility'!M214</f>
        <v>2.0699999999999998</v>
      </c>
      <c r="AC214" s="17">
        <f>N214*'IAA digestibility'!N214</f>
        <v>14.19</v>
      </c>
      <c r="AD214" s="17">
        <f>O214*'IAA digestibility'!O214</f>
        <v>11.302999999999999</v>
      </c>
      <c r="AE214" s="17">
        <f>P214*'IAA digestibility'!P214</f>
        <v>19.125</v>
      </c>
      <c r="AF214" s="17">
        <f>R214*'IAA digestibility'!R214</f>
        <v>8.4</v>
      </c>
      <c r="AG214" s="25"/>
      <c r="AH214" s="17">
        <f t="shared" si="28"/>
        <v>9.3487394957983199</v>
      </c>
      <c r="AI214" s="17">
        <f t="shared" si="29"/>
        <v>35.920168067226889</v>
      </c>
      <c r="AJ214" s="17">
        <f t="shared" si="30"/>
        <v>36</v>
      </c>
      <c r="AK214" s="17">
        <f t="shared" si="31"/>
        <v>50.535714285714285</v>
      </c>
      <c r="AL214" s="17">
        <f t="shared" si="32"/>
        <v>53.798319327731093</v>
      </c>
      <c r="AM214" s="17">
        <f t="shared" si="33"/>
        <v>16.579831932773107</v>
      </c>
      <c r="AN214" s="18">
        <f t="shared" si="34"/>
        <v>53.556722689075627</v>
      </c>
      <c r="AO214" s="17">
        <f t="shared" si="35"/>
        <v>40.178571428571431</v>
      </c>
      <c r="AP214" s="17">
        <f t="shared" si="36"/>
        <v>17.647058823529413</v>
      </c>
    </row>
    <row r="215" spans="1:42" s="4" customFormat="1" x14ac:dyDescent="0.25">
      <c r="A215" s="4" t="s">
        <v>188</v>
      </c>
      <c r="B215" s="4" t="s">
        <v>33</v>
      </c>
      <c r="C215" s="4">
        <v>2</v>
      </c>
      <c r="E215" s="4" t="s">
        <v>12</v>
      </c>
      <c r="F215" s="4">
        <v>182</v>
      </c>
      <c r="G215" s="4">
        <v>2.2000000000000002</v>
      </c>
      <c r="H215" s="4">
        <v>7.2</v>
      </c>
      <c r="I215" s="4">
        <v>5.9</v>
      </c>
      <c r="J215" s="4">
        <v>9.4</v>
      </c>
      <c r="K215" s="4">
        <v>8.5</v>
      </c>
      <c r="L215" s="4">
        <v>2</v>
      </c>
      <c r="M215" s="4">
        <v>3.7</v>
      </c>
      <c r="N215" s="4">
        <v>5.7</v>
      </c>
      <c r="O215" s="4">
        <v>4.9000000000000004</v>
      </c>
      <c r="P215" s="4">
        <v>7.7</v>
      </c>
      <c r="Q215" s="4">
        <v>8.8000000000000007</v>
      </c>
      <c r="R215" s="4">
        <v>3.8</v>
      </c>
      <c r="S215" s="4" t="s">
        <v>189</v>
      </c>
      <c r="T215" s="10"/>
      <c r="V215" s="17">
        <f>G215*'IAA digestibility'!G215</f>
        <v>1.4300000000000002</v>
      </c>
      <c r="W215" s="17">
        <f>H215*'IAA digestibility'!H215</f>
        <v>4.6080000000000005</v>
      </c>
      <c r="X215" s="17">
        <f>I215*'IAA digestibility'!I215</f>
        <v>4.2480000000000002</v>
      </c>
      <c r="Y215" s="17">
        <f>J215*'IAA digestibility'!J215</f>
        <v>6.9560000000000004</v>
      </c>
      <c r="Z215" s="17">
        <f>K215*'IAA digestibility'!K215</f>
        <v>5.3550000000000004</v>
      </c>
      <c r="AA215" s="17">
        <f>L215*'IAA digestibility'!L215</f>
        <v>1.54</v>
      </c>
      <c r="AB215" s="17">
        <f>M215*'IAA digestibility'!M215</f>
        <v>2.2200000000000002</v>
      </c>
      <c r="AC215" s="17">
        <f>N215*'IAA digestibility'!N215</f>
        <v>4.3319999999999999</v>
      </c>
      <c r="AD215" s="17">
        <f>O215*'IAA digestibility'!O215</f>
        <v>3.577</v>
      </c>
      <c r="AE215" s="17">
        <f>P215*'IAA digestibility'!P215</f>
        <v>5.39</v>
      </c>
      <c r="AF215" s="17">
        <f>R215*'IAA digestibility'!R215</f>
        <v>2.7359999999999998</v>
      </c>
      <c r="AG215" s="25"/>
      <c r="AH215" s="17">
        <f t="shared" si="28"/>
        <v>7.8571428571428577</v>
      </c>
      <c r="AI215" s="17">
        <f t="shared" si="29"/>
        <v>25.318681318681321</v>
      </c>
      <c r="AJ215" s="17">
        <f t="shared" si="30"/>
        <v>23.340659340659339</v>
      </c>
      <c r="AK215" s="17">
        <f t="shared" si="31"/>
        <v>38.219780219780226</v>
      </c>
      <c r="AL215" s="17">
        <f t="shared" si="32"/>
        <v>29.423076923076927</v>
      </c>
      <c r="AM215" s="17">
        <f t="shared" si="33"/>
        <v>20.659340659340661</v>
      </c>
      <c r="AN215" s="18">
        <f t="shared" si="34"/>
        <v>43.456043956043949</v>
      </c>
      <c r="AO215" s="17">
        <f t="shared" si="35"/>
        <v>29.615384615384613</v>
      </c>
      <c r="AP215" s="17">
        <f t="shared" si="36"/>
        <v>15.032967032967031</v>
      </c>
    </row>
    <row r="216" spans="1:42" s="4" customFormat="1" x14ac:dyDescent="0.25">
      <c r="A216" s="4" t="s">
        <v>368</v>
      </c>
      <c r="B216" s="4" t="s">
        <v>33</v>
      </c>
      <c r="C216" s="4">
        <v>18</v>
      </c>
      <c r="F216" s="4">
        <v>610</v>
      </c>
      <c r="G216" s="4">
        <v>15.5</v>
      </c>
      <c r="H216" s="4">
        <v>34.299999999999997</v>
      </c>
      <c r="I216" s="4">
        <v>32.299999999999997</v>
      </c>
      <c r="J216" s="4">
        <v>50.2</v>
      </c>
      <c r="K216" s="4">
        <v>23.6</v>
      </c>
      <c r="L216" s="4">
        <v>14.4</v>
      </c>
      <c r="M216" s="4">
        <v>13.5</v>
      </c>
      <c r="N216" s="4">
        <v>27.6</v>
      </c>
      <c r="O216" s="4">
        <v>14.9</v>
      </c>
      <c r="P216" s="4">
        <v>39</v>
      </c>
      <c r="Q216" s="4">
        <v>38.799999999999997</v>
      </c>
      <c r="R216" s="4">
        <v>9.5</v>
      </c>
      <c r="T216" s="10"/>
      <c r="V216" s="17">
        <f>G216*'IAA digestibility'!G216</f>
        <v>13.051</v>
      </c>
      <c r="W216" s="17">
        <f>H216*'IAA digestibility'!H216</f>
        <v>27.0627</v>
      </c>
      <c r="X216" s="17">
        <f>I216*'IAA digestibility'!I216</f>
        <v>25.258599999999998</v>
      </c>
      <c r="Y216" s="17">
        <f>J216*'IAA digestibility'!J216</f>
        <v>39.658000000000001</v>
      </c>
      <c r="Z216" s="17">
        <f>K216*'IAA digestibility'!K216</f>
        <v>21.004000000000001</v>
      </c>
      <c r="AA216" s="17">
        <f>L216*'IAA digestibility'!L216</f>
        <v>12.0528</v>
      </c>
      <c r="AB216" s="17">
        <f>M216*'IAA digestibility'!M216</f>
        <v>10.827</v>
      </c>
      <c r="AC216" s="17">
        <f>N216*'IAA digestibility'!N216</f>
        <v>21.942000000000004</v>
      </c>
      <c r="AD216" s="17">
        <f>O216*'IAA digestibility'!O216</f>
        <v>11.905100000000001</v>
      </c>
      <c r="AE216" s="17">
        <f>P216*'IAA digestibility'!P216</f>
        <v>33.813000000000002</v>
      </c>
      <c r="AF216" s="17">
        <f>R216*'IAA digestibility'!R216</f>
        <v>7.2010000000000005</v>
      </c>
      <c r="AG216" s="10"/>
      <c r="AH216" s="17">
        <f t="shared" ref="AH216:AH250" si="37">(V216/$F216)*1000</f>
        <v>21.395081967213116</v>
      </c>
      <c r="AI216" s="17">
        <f t="shared" ref="AI216:AI250" si="38">(W216/$F216)*1000</f>
        <v>44.365081967213115</v>
      </c>
      <c r="AJ216" s="17">
        <f t="shared" ref="AJ216:AJ250" si="39">(X216/$F216)*1000</f>
        <v>41.407540983606559</v>
      </c>
      <c r="AK216" s="17">
        <f t="shared" ref="AK216:AK250" si="40">(Y216/$F216)*1000</f>
        <v>65.013114754098368</v>
      </c>
      <c r="AL216" s="17">
        <f t="shared" ref="AL216:AL250" si="41">(Z216/$F216)*1000</f>
        <v>34.432786885245903</v>
      </c>
      <c r="AM216" s="17">
        <f t="shared" ref="AM216:AM250" si="42">((AA216+AB216)/$F216)*1000</f>
        <v>37.507868852459012</v>
      </c>
      <c r="AN216" s="18">
        <f t="shared" ref="AN216:AN250" si="43">((AC216+AD216)/$F216)*1000</f>
        <v>55.487049180327872</v>
      </c>
      <c r="AO216" s="17">
        <f t="shared" ref="AO216:AO250" si="44">(AE216/$F216)*1000</f>
        <v>55.431147540983609</v>
      </c>
      <c r="AP216" s="17">
        <f t="shared" ref="AP216:AP250" si="45">(AF216/$F216)*1000</f>
        <v>11.804918032786885</v>
      </c>
    </row>
    <row r="217" spans="1:42" s="4" customFormat="1" x14ac:dyDescent="0.25">
      <c r="A217" s="4" t="s">
        <v>369</v>
      </c>
      <c r="B217" s="4" t="s">
        <v>298</v>
      </c>
      <c r="C217" s="4">
        <v>18</v>
      </c>
      <c r="F217" s="4">
        <v>452</v>
      </c>
      <c r="G217" s="4">
        <v>7.1</v>
      </c>
      <c r="H217" s="4">
        <v>19.2</v>
      </c>
      <c r="I217" s="4">
        <v>20.399999999999999</v>
      </c>
      <c r="J217" s="4">
        <v>35.700000000000003</v>
      </c>
      <c r="K217" s="4">
        <v>29.5</v>
      </c>
      <c r="L217" s="4">
        <v>6.1</v>
      </c>
      <c r="M217" s="4">
        <v>6.7</v>
      </c>
      <c r="N217" s="4">
        <v>21.7</v>
      </c>
      <c r="O217" s="4">
        <v>15.5</v>
      </c>
      <c r="P217" s="4">
        <v>20.7</v>
      </c>
      <c r="Q217" s="4">
        <v>34.700000000000003</v>
      </c>
      <c r="R217" s="4">
        <v>10.7</v>
      </c>
      <c r="T217" s="10"/>
      <c r="V217" s="17">
        <f>G217*'IAA digestibility'!G217</f>
        <v>6.2763999999999998</v>
      </c>
      <c r="W217" s="17">
        <f>H217*'IAA digestibility'!H217</f>
        <v>14.4192</v>
      </c>
      <c r="X217" s="17">
        <f>I217*'IAA digestibility'!I217</f>
        <v>16.911599999999996</v>
      </c>
      <c r="Y217" s="17">
        <f>J217*'IAA digestibility'!J217</f>
        <v>30.773400000000002</v>
      </c>
      <c r="Z217" s="17">
        <f>K217*'IAA digestibility'!K217</f>
        <v>26.048500000000001</v>
      </c>
      <c r="AA217" s="17">
        <f>L217*'IAA digestibility'!L217</f>
        <v>5.2459999999999996</v>
      </c>
      <c r="AB217" s="17">
        <f>M217*'IAA digestibility'!M217</f>
        <v>5.1456</v>
      </c>
      <c r="AC217" s="17">
        <f>N217*'IAA digestibility'!N217</f>
        <v>18.987500000000001</v>
      </c>
      <c r="AD217" s="17">
        <f>O217*'IAA digestibility'!O217</f>
        <v>13.423</v>
      </c>
      <c r="AE217" s="17">
        <f>P217*'IAA digestibility'!P217</f>
        <v>17.5122</v>
      </c>
      <c r="AF217" s="17">
        <f>R217*'IAA digestibility'!R217</f>
        <v>9.2340999999999998</v>
      </c>
      <c r="AG217" s="10"/>
      <c r="AH217" s="17">
        <f t="shared" ref="AH217:AH218" si="46">(V217/$F217)*1000</f>
        <v>13.885840707964602</v>
      </c>
      <c r="AI217" s="17">
        <f t="shared" ref="AI217:AI218" si="47">(W217/$F217)*1000</f>
        <v>31.900884955752211</v>
      </c>
      <c r="AJ217" s="17">
        <f t="shared" ref="AJ217:AJ218" si="48">(X217/$F217)*1000</f>
        <v>37.415044247787606</v>
      </c>
      <c r="AK217" s="17">
        <f t="shared" ref="AK217:AK218" si="49">(Y217/$F217)*1000</f>
        <v>68.082743362831863</v>
      </c>
      <c r="AL217" s="17">
        <f t="shared" ref="AL217:AL218" si="50">(Z217/$F217)*1000</f>
        <v>57.629424778761063</v>
      </c>
      <c r="AM217" s="17">
        <f t="shared" ref="AM217:AM218" si="51">((AA217+AB217)/$F217)*1000</f>
        <v>22.990265486725665</v>
      </c>
      <c r="AN217" s="18">
        <f t="shared" ref="AN217:AN218" si="52">((AC217+AD217)/$F217)*1000</f>
        <v>71.704646017699119</v>
      </c>
      <c r="AO217" s="17">
        <f t="shared" ref="AO217:AO218" si="53">(AE217/$F217)*1000</f>
        <v>38.743805309734512</v>
      </c>
      <c r="AP217" s="17">
        <f t="shared" ref="AP217:AP218" si="54">(AF217/$F217)*1000</f>
        <v>20.42942477876106</v>
      </c>
    </row>
    <row r="218" spans="1:42" s="4" customFormat="1" x14ac:dyDescent="0.25">
      <c r="A218" s="4" t="str">
        <f>'IAA digestibility'!A218</f>
        <v xml:space="preserve">Soybean meal (conventionally processed) </v>
      </c>
      <c r="B218" s="4" t="str">
        <f>'IAA digestibility'!B218</f>
        <v>Legumes &amp; oilseeds</v>
      </c>
      <c r="C218" s="4">
        <f>'IAA digestibility'!C218</f>
        <v>20</v>
      </c>
      <c r="F218" s="4">
        <v>474.4</v>
      </c>
      <c r="G218" s="4">
        <v>6.3</v>
      </c>
      <c r="H218" s="4">
        <v>17.399999999999999</v>
      </c>
      <c r="I218" s="4">
        <v>20.5</v>
      </c>
      <c r="J218" s="4">
        <v>35.200000000000003</v>
      </c>
      <c r="K218" s="4">
        <v>28.6</v>
      </c>
      <c r="L218" s="4">
        <v>6</v>
      </c>
      <c r="M218" s="4">
        <v>6.7</v>
      </c>
      <c r="N218" s="4">
        <v>23.5</v>
      </c>
      <c r="P218" s="4">
        <v>21.5</v>
      </c>
      <c r="Q218" s="4">
        <v>34.4</v>
      </c>
      <c r="R218" s="4">
        <v>12</v>
      </c>
      <c r="T218" s="10"/>
      <c r="V218" s="17">
        <f>G218*'IAA digestibility'!G218</f>
        <v>5.6070000000000002</v>
      </c>
      <c r="W218" s="17">
        <f>H218*'IAA digestibility'!H218</f>
        <v>15.659999999999998</v>
      </c>
      <c r="X218" s="17">
        <f>I218*'IAA digestibility'!I218</f>
        <v>19.065000000000001</v>
      </c>
      <c r="Y218" s="17">
        <f>J218*'IAA digestibility'!J218</f>
        <v>32.736000000000004</v>
      </c>
      <c r="Z218" s="17">
        <f>K218*'IAA digestibility'!K218</f>
        <v>27.17</v>
      </c>
      <c r="AA218" s="17">
        <f>L218*'IAA digestibility'!L218</f>
        <v>5.64</v>
      </c>
      <c r="AB218" s="17">
        <f>M218*'IAA digestibility'!M218</f>
        <v>5.8289999999999997</v>
      </c>
      <c r="AC218" s="17">
        <f>N218*'IAA digestibility'!N218</f>
        <v>21.855</v>
      </c>
      <c r="AD218" s="17">
        <f>O218*'IAA digestibility'!O218</f>
        <v>0</v>
      </c>
      <c r="AE218" s="17">
        <f>P218*'IAA digestibility'!P218</f>
        <v>19.565000000000001</v>
      </c>
      <c r="AF218" s="17">
        <f>R218*'IAA digestibility'!R218</f>
        <v>11.28</v>
      </c>
      <c r="AG218" s="10"/>
      <c r="AH218" s="17">
        <f t="shared" si="46"/>
        <v>11.819139966273188</v>
      </c>
      <c r="AI218" s="17">
        <f t="shared" si="47"/>
        <v>33.010118043844855</v>
      </c>
      <c r="AJ218" s="17">
        <f t="shared" si="48"/>
        <v>40.18760539629006</v>
      </c>
      <c r="AK218" s="17">
        <f t="shared" si="49"/>
        <v>69.005059021922449</v>
      </c>
      <c r="AL218" s="17">
        <f t="shared" si="50"/>
        <v>57.272344013490731</v>
      </c>
      <c r="AM218" s="17">
        <f t="shared" si="51"/>
        <v>24.175801011804385</v>
      </c>
      <c r="AN218" s="18">
        <f t="shared" si="52"/>
        <v>46.068718381112987</v>
      </c>
      <c r="AO218" s="17">
        <f t="shared" si="53"/>
        <v>41.241568296795954</v>
      </c>
      <c r="AP218" s="17">
        <f t="shared" si="54"/>
        <v>23.777403035413155</v>
      </c>
    </row>
    <row r="219" spans="1:42" s="4" customFormat="1" x14ac:dyDescent="0.25">
      <c r="A219" s="4" t="str">
        <f>'IAA digestibility'!A219</f>
        <v>Soybean meal (autoclaved, 110oC, 15 min)</v>
      </c>
      <c r="B219" s="4" t="str">
        <f>'IAA digestibility'!B219</f>
        <v>Legumes &amp; oilseeds</v>
      </c>
      <c r="C219" s="4">
        <f>'IAA digestibility'!C219</f>
        <v>20</v>
      </c>
      <c r="F219" s="4">
        <v>476.4</v>
      </c>
      <c r="G219" s="4">
        <v>6.5</v>
      </c>
      <c r="H219" s="4">
        <v>18</v>
      </c>
      <c r="I219" s="4">
        <v>20.8</v>
      </c>
      <c r="J219" s="4">
        <v>36.1</v>
      </c>
      <c r="K219" s="4">
        <v>28.9</v>
      </c>
      <c r="L219" s="4">
        <v>6.1</v>
      </c>
      <c r="M219" s="4">
        <v>6.7</v>
      </c>
      <c r="N219" s="4">
        <v>24.3</v>
      </c>
      <c r="P219" s="4">
        <v>21.9</v>
      </c>
      <c r="Q219" s="4">
        <v>35.1</v>
      </c>
      <c r="R219" s="4">
        <v>12.2</v>
      </c>
      <c r="T219" s="10"/>
      <c r="V219" s="17">
        <f>G219*'IAA digestibility'!G219</f>
        <v>5.72</v>
      </c>
      <c r="W219" s="17">
        <f>H219*'IAA digestibility'!H219</f>
        <v>16.02</v>
      </c>
      <c r="X219" s="17">
        <f>I219*'IAA digestibility'!I219</f>
        <v>19.344000000000001</v>
      </c>
      <c r="Y219" s="17">
        <f>J219*'IAA digestibility'!J219</f>
        <v>33.573</v>
      </c>
      <c r="Z219" s="17">
        <f>K219*'IAA digestibility'!K219</f>
        <v>27.165999999999997</v>
      </c>
      <c r="AA219" s="17">
        <f>L219*'IAA digestibility'!L219</f>
        <v>5.673</v>
      </c>
      <c r="AB219" s="17">
        <f>M219*'IAA digestibility'!M219</f>
        <v>5.6950000000000003</v>
      </c>
      <c r="AC219" s="17">
        <f>N219*'IAA digestibility'!N219</f>
        <v>22.841999999999999</v>
      </c>
      <c r="AD219" s="17">
        <f>O219*'IAA digestibility'!O219</f>
        <v>0</v>
      </c>
      <c r="AE219" s="17">
        <f>P219*'IAA digestibility'!P219</f>
        <v>19.928999999999998</v>
      </c>
      <c r="AF219" s="17">
        <f>R219*'IAA digestibility'!R219</f>
        <v>11.346</v>
      </c>
      <c r="AG219" s="10"/>
      <c r="AH219" s="17">
        <f t="shared" si="37"/>
        <v>12.006717044500419</v>
      </c>
      <c r="AI219" s="17">
        <f t="shared" si="38"/>
        <v>33.627204030226707</v>
      </c>
      <c r="AJ219" s="17">
        <f t="shared" si="39"/>
        <v>40.604534005037785</v>
      </c>
      <c r="AK219" s="17">
        <f t="shared" si="40"/>
        <v>70.47229219143577</v>
      </c>
      <c r="AL219" s="17">
        <f t="shared" si="41"/>
        <v>57.023509655751468</v>
      </c>
      <c r="AM219" s="17">
        <f t="shared" si="42"/>
        <v>23.862300587741398</v>
      </c>
      <c r="AN219" s="18">
        <f t="shared" si="43"/>
        <v>47.94710327455919</v>
      </c>
      <c r="AO219" s="17">
        <f t="shared" si="44"/>
        <v>41.832493702770776</v>
      </c>
      <c r="AP219" s="17">
        <f t="shared" si="45"/>
        <v>23.816120906801007</v>
      </c>
    </row>
    <row r="220" spans="1:42" s="4" customFormat="1" x14ac:dyDescent="0.25">
      <c r="A220" s="4" t="str">
        <f>'IAA digestibility'!A220</f>
        <v>Soybean meal (autoclaved, 110oC, 30 min)</v>
      </c>
      <c r="B220" s="4" t="str">
        <f>'IAA digestibility'!B220</f>
        <v>Legumes &amp; oilseeds</v>
      </c>
      <c r="C220" s="4">
        <f>'IAA digestibility'!C220</f>
        <v>20</v>
      </c>
      <c r="F220" s="4">
        <v>479.8</v>
      </c>
      <c r="G220" s="4">
        <v>6.4</v>
      </c>
      <c r="H220" s="4">
        <v>17.8</v>
      </c>
      <c r="I220" s="4">
        <v>20.7</v>
      </c>
      <c r="J220" s="4">
        <v>36</v>
      </c>
      <c r="K220" s="4">
        <v>28.5</v>
      </c>
      <c r="L220" s="4">
        <v>6.1</v>
      </c>
      <c r="M220" s="4">
        <v>6.5</v>
      </c>
      <c r="N220" s="4">
        <v>24.3</v>
      </c>
      <c r="P220" s="4">
        <v>21.8</v>
      </c>
      <c r="Q220" s="4">
        <v>34.6</v>
      </c>
      <c r="R220" s="4">
        <v>12.1</v>
      </c>
      <c r="T220" s="10"/>
      <c r="V220" s="17">
        <f>G220*'IAA digestibility'!G220</f>
        <v>5.7600000000000007</v>
      </c>
      <c r="W220" s="17">
        <f>H220*'IAA digestibility'!H220</f>
        <v>16.02</v>
      </c>
      <c r="X220" s="17">
        <f>I220*'IAA digestibility'!I220</f>
        <v>19.251000000000001</v>
      </c>
      <c r="Y220" s="17">
        <f>J220*'IAA digestibility'!J220</f>
        <v>33.480000000000004</v>
      </c>
      <c r="Z220" s="17">
        <f>K220*'IAA digestibility'!K220</f>
        <v>26.505000000000003</v>
      </c>
      <c r="AA220" s="17">
        <f>L220*'IAA digestibility'!L220</f>
        <v>5.673</v>
      </c>
      <c r="AB220" s="17">
        <f>M220*'IAA digestibility'!M220</f>
        <v>5.59</v>
      </c>
      <c r="AC220" s="17">
        <f>N220*'IAA digestibility'!N220</f>
        <v>22.841999999999999</v>
      </c>
      <c r="AD220" s="17">
        <f>O220*'IAA digestibility'!O220</f>
        <v>0</v>
      </c>
      <c r="AE220" s="17">
        <f>P220*'IAA digestibility'!P220</f>
        <v>19.838000000000001</v>
      </c>
      <c r="AF220" s="17">
        <f>R220*'IAA digestibility'!R220</f>
        <v>11.373999999999999</v>
      </c>
      <c r="AG220" s="10"/>
      <c r="AH220" s="17">
        <f t="shared" si="37"/>
        <v>12.005002084201752</v>
      </c>
      <c r="AI220" s="17">
        <f t="shared" si="38"/>
        <v>33.388912046686123</v>
      </c>
      <c r="AJ220" s="17">
        <f t="shared" si="39"/>
        <v>40.122967903293038</v>
      </c>
      <c r="AK220" s="17">
        <f t="shared" si="40"/>
        <v>69.779074614422683</v>
      </c>
      <c r="AL220" s="17">
        <f t="shared" si="41"/>
        <v>55.241767403084623</v>
      </c>
      <c r="AM220" s="17">
        <f t="shared" si="42"/>
        <v>23.474364318466026</v>
      </c>
      <c r="AN220" s="18">
        <f t="shared" si="43"/>
        <v>47.607336390162565</v>
      </c>
      <c r="AO220" s="17">
        <f t="shared" si="44"/>
        <v>41.346394330971236</v>
      </c>
      <c r="AP220" s="17">
        <f t="shared" si="45"/>
        <v>23.705710712796996</v>
      </c>
    </row>
    <row r="221" spans="1:42" s="4" customFormat="1" x14ac:dyDescent="0.25">
      <c r="A221" s="4" t="str">
        <f>'IAA digestibility'!A221</f>
        <v>Soybean meal (autoclaved, 150oC, 3 min)</v>
      </c>
      <c r="B221" s="4" t="str">
        <f>'IAA digestibility'!B221</f>
        <v>Legumes &amp; oilseeds</v>
      </c>
      <c r="C221" s="4">
        <f>'IAA digestibility'!C221</f>
        <v>20</v>
      </c>
      <c r="D221" s="7"/>
      <c r="F221" s="4">
        <v>478.1</v>
      </c>
      <c r="G221" s="4">
        <v>6.4</v>
      </c>
      <c r="H221" s="4">
        <v>17.7</v>
      </c>
      <c r="I221" s="4">
        <v>21.1</v>
      </c>
      <c r="J221" s="4">
        <v>36</v>
      </c>
      <c r="K221" s="4">
        <v>26</v>
      </c>
      <c r="L221" s="4">
        <v>6</v>
      </c>
      <c r="M221" s="4">
        <v>5.4</v>
      </c>
      <c r="N221" s="4">
        <v>24</v>
      </c>
      <c r="P221" s="4">
        <v>21.8</v>
      </c>
      <c r="Q221" s="4">
        <v>32</v>
      </c>
      <c r="R221" s="4">
        <v>11.8</v>
      </c>
      <c r="T221" s="10"/>
      <c r="V221" s="17">
        <f>G221*'IAA digestibility'!G221</f>
        <v>5.3760000000000003</v>
      </c>
      <c r="W221" s="17">
        <f>H221*'IAA digestibility'!H221</f>
        <v>14.690999999999999</v>
      </c>
      <c r="X221" s="17">
        <f>I221*'IAA digestibility'!I221</f>
        <v>18.357000000000003</v>
      </c>
      <c r="Y221" s="17">
        <f>J221*'IAA digestibility'!J221</f>
        <v>31.32</v>
      </c>
      <c r="Z221" s="17">
        <f>K221*'IAA digestibility'!K221</f>
        <v>21.84</v>
      </c>
      <c r="AA221" s="17">
        <f>L221*'IAA digestibility'!L221</f>
        <v>5.28</v>
      </c>
      <c r="AB221" s="17">
        <f>M221*'IAA digestibility'!M221</f>
        <v>3.9420000000000002</v>
      </c>
      <c r="AC221" s="17">
        <f>N221*'IAA digestibility'!N221</f>
        <v>21.36</v>
      </c>
      <c r="AD221" s="17">
        <f>O221*'IAA digestibility'!O221</f>
        <v>0</v>
      </c>
      <c r="AE221" s="17">
        <f>P221*'IAA digestibility'!P221</f>
        <v>18.53</v>
      </c>
      <c r="AF221" s="17">
        <f>R221*'IAA digestibility'!R221</f>
        <v>10.266</v>
      </c>
      <c r="AG221" s="10"/>
      <c r="AH221" s="17">
        <f t="shared" si="37"/>
        <v>11.244509516837482</v>
      </c>
      <c r="AI221" s="17">
        <f t="shared" si="38"/>
        <v>30.727881196402425</v>
      </c>
      <c r="AJ221" s="17">
        <f t="shared" si="39"/>
        <v>38.395733110227987</v>
      </c>
      <c r="AK221" s="17">
        <f t="shared" si="40"/>
        <v>65.509307676218356</v>
      </c>
      <c r="AL221" s="17">
        <f t="shared" si="41"/>
        <v>45.680819912152266</v>
      </c>
      <c r="AM221" s="17">
        <f t="shared" si="42"/>
        <v>19.2888517046643</v>
      </c>
      <c r="AN221" s="18">
        <f t="shared" si="43"/>
        <v>44.676845848148922</v>
      </c>
      <c r="AO221" s="17">
        <f t="shared" si="44"/>
        <v>38.757582095795854</v>
      </c>
      <c r="AP221" s="17">
        <f t="shared" si="45"/>
        <v>21.472495293871575</v>
      </c>
    </row>
    <row r="222" spans="1:42" s="4" customFormat="1" x14ac:dyDescent="0.25">
      <c r="A222" s="4" t="str">
        <f>'IAA digestibility'!A222</f>
        <v>Soybean meal (autoclaved, 150oC, 6 min)</v>
      </c>
      <c r="B222" s="4" t="str">
        <f>'IAA digestibility'!B222</f>
        <v>Legumes &amp; oilseeds</v>
      </c>
      <c r="C222" s="4">
        <f>'IAA digestibility'!C222</f>
        <v>20</v>
      </c>
      <c r="F222" s="4">
        <v>474.5</v>
      </c>
      <c r="G222" s="4">
        <v>6.2</v>
      </c>
      <c r="H222" s="4">
        <v>18</v>
      </c>
      <c r="I222" s="4">
        <v>21.2</v>
      </c>
      <c r="J222" s="4">
        <v>36</v>
      </c>
      <c r="K222" s="4">
        <v>24.1</v>
      </c>
      <c r="L222" s="7">
        <v>6</v>
      </c>
      <c r="M222" s="4">
        <v>4.5999999999999996</v>
      </c>
      <c r="N222" s="4">
        <v>23.5</v>
      </c>
      <c r="P222" s="4">
        <v>22</v>
      </c>
      <c r="Q222" s="4">
        <v>30.2</v>
      </c>
      <c r="R222" s="4">
        <v>12.5</v>
      </c>
      <c r="T222" s="10"/>
      <c r="V222" s="17">
        <f>G222*'IAA digestibility'!G222</f>
        <v>5.1459999999999999</v>
      </c>
      <c r="W222" s="17">
        <f>H222*'IAA digestibility'!H222</f>
        <v>14.76</v>
      </c>
      <c r="X222" s="17">
        <f>I222*'IAA digestibility'!I222</f>
        <v>18.443999999999999</v>
      </c>
      <c r="Y222" s="17">
        <f>J222*'IAA digestibility'!J222</f>
        <v>31.68</v>
      </c>
      <c r="Z222" s="17">
        <f>K222*'IAA digestibility'!K222</f>
        <v>19.521000000000001</v>
      </c>
      <c r="AA222" s="17">
        <f>L222*'IAA digestibility'!L222</f>
        <v>5.28</v>
      </c>
      <c r="AB222" s="17">
        <f>M222*'IAA digestibility'!M222</f>
        <v>3.2199999999999998</v>
      </c>
      <c r="AC222" s="17">
        <f>N222*'IAA digestibility'!N222</f>
        <v>20.914999999999999</v>
      </c>
      <c r="AD222" s="17">
        <f>O222*'IAA digestibility'!O222</f>
        <v>0</v>
      </c>
      <c r="AE222" s="17">
        <f>P222*'IAA digestibility'!P222</f>
        <v>18.7</v>
      </c>
      <c r="AF222" s="17">
        <f>R222*'IAA digestibility'!R222</f>
        <v>10.75</v>
      </c>
      <c r="AG222" s="10"/>
      <c r="AH222" s="17">
        <f t="shared" si="37"/>
        <v>10.845100105374078</v>
      </c>
      <c r="AI222" s="17">
        <f t="shared" si="38"/>
        <v>31.106427818756586</v>
      </c>
      <c r="AJ222" s="17">
        <f t="shared" si="39"/>
        <v>38.87038988408851</v>
      </c>
      <c r="AK222" s="17">
        <f t="shared" si="40"/>
        <v>66.765015806111705</v>
      </c>
      <c r="AL222" s="17">
        <f t="shared" si="41"/>
        <v>41.140147523709167</v>
      </c>
      <c r="AM222" s="17">
        <f t="shared" si="42"/>
        <v>17.913593256059009</v>
      </c>
      <c r="AN222" s="18">
        <f t="shared" si="43"/>
        <v>44.07797681770284</v>
      </c>
      <c r="AO222" s="17">
        <f t="shared" si="44"/>
        <v>39.409905163329817</v>
      </c>
      <c r="AP222" s="17">
        <f t="shared" si="45"/>
        <v>22.655426765015807</v>
      </c>
    </row>
    <row r="223" spans="1:42" s="4" customFormat="1" x14ac:dyDescent="0.25">
      <c r="A223" s="4" t="str">
        <f>'IAA digestibility'!A223</f>
        <v>Soybean meal (autoclaved, 150oC, 9 min)</v>
      </c>
      <c r="B223" s="4" t="str">
        <f>'IAA digestibility'!B223</f>
        <v>Legumes &amp; oilseeds</v>
      </c>
      <c r="C223" s="4">
        <f>'IAA digestibility'!C223</f>
        <v>20</v>
      </c>
      <c r="F223" s="4">
        <v>476.6</v>
      </c>
      <c r="G223" s="4">
        <v>6.3</v>
      </c>
      <c r="H223" s="4">
        <v>18.399999999999999</v>
      </c>
      <c r="I223" s="4">
        <v>21.6</v>
      </c>
      <c r="J223" s="4">
        <v>36.5</v>
      </c>
      <c r="K223" s="4">
        <v>22.7</v>
      </c>
      <c r="L223" s="4">
        <v>6.1</v>
      </c>
      <c r="M223" s="4">
        <v>4.3</v>
      </c>
      <c r="N223" s="4">
        <v>24</v>
      </c>
      <c r="P223" s="4">
        <v>22.1</v>
      </c>
      <c r="Q223" s="4">
        <v>29</v>
      </c>
      <c r="R223" s="4">
        <v>12.7</v>
      </c>
      <c r="T223" s="10"/>
      <c r="V223" s="17">
        <f>G223*'IAA digestibility'!G223</f>
        <v>5.2289999999999992</v>
      </c>
      <c r="W223" s="17">
        <f>H223*'IAA digestibility'!H223</f>
        <v>15.271999999999998</v>
      </c>
      <c r="X223" s="17">
        <f>I223*'IAA digestibility'!I223</f>
        <v>18.576000000000001</v>
      </c>
      <c r="Y223" s="17">
        <f>J223*'IAA digestibility'!J223</f>
        <v>32.119999999999997</v>
      </c>
      <c r="Z223" s="17">
        <f>K223*'IAA digestibility'!K223</f>
        <v>18.16</v>
      </c>
      <c r="AA223" s="17">
        <f>L223*'IAA digestibility'!L223</f>
        <v>5.3679999999999994</v>
      </c>
      <c r="AB223" s="17">
        <f>M223*'IAA digestibility'!M223</f>
        <v>2.9669999999999996</v>
      </c>
      <c r="AC223" s="17">
        <f>N223*'IAA digestibility'!N223</f>
        <v>21.36</v>
      </c>
      <c r="AD223" s="17">
        <f>O223*'IAA digestibility'!O223</f>
        <v>0</v>
      </c>
      <c r="AE223" s="17">
        <f>P223*'IAA digestibility'!P223</f>
        <v>19.006</v>
      </c>
      <c r="AF223" s="17">
        <f>R223*'IAA digestibility'!R223</f>
        <v>10.921999999999999</v>
      </c>
      <c r="AG223" s="10"/>
      <c r="AH223" s="17">
        <f t="shared" si="37"/>
        <v>10.971464540495171</v>
      </c>
      <c r="AI223" s="17">
        <f t="shared" si="38"/>
        <v>32.043642467477966</v>
      </c>
      <c r="AJ223" s="17">
        <f t="shared" si="39"/>
        <v>38.976080570709193</v>
      </c>
      <c r="AK223" s="17">
        <f t="shared" si="40"/>
        <v>67.394041124632807</v>
      </c>
      <c r="AL223" s="17">
        <f t="shared" si="41"/>
        <v>38.103231221149805</v>
      </c>
      <c r="AM223" s="17">
        <f t="shared" si="42"/>
        <v>17.488459924464959</v>
      </c>
      <c r="AN223" s="18">
        <f t="shared" si="43"/>
        <v>44.817456986991182</v>
      </c>
      <c r="AO223" s="17">
        <f t="shared" si="44"/>
        <v>39.878304657994121</v>
      </c>
      <c r="AP223" s="17">
        <f t="shared" si="45"/>
        <v>22.916491817037343</v>
      </c>
    </row>
    <row r="224" spans="1:42" s="4" customFormat="1" x14ac:dyDescent="0.25">
      <c r="A224" s="4" t="str">
        <f>'IAA digestibility'!A224</f>
        <v>Soybean meal (autoclaved, 150oC, 12 min)</v>
      </c>
      <c r="B224" s="4" t="str">
        <f>'IAA digestibility'!B224</f>
        <v>Legumes &amp; oilseeds</v>
      </c>
      <c r="C224" s="4">
        <f>'IAA digestibility'!C224</f>
        <v>20</v>
      </c>
      <c r="F224" s="4">
        <v>467.5</v>
      </c>
      <c r="G224" s="4">
        <v>6.2</v>
      </c>
      <c r="H224" s="4">
        <v>18.3</v>
      </c>
      <c r="I224" s="4">
        <v>21.4</v>
      </c>
      <c r="J224" s="4">
        <v>36.5</v>
      </c>
      <c r="K224" s="4">
        <v>21.8</v>
      </c>
      <c r="L224" s="4">
        <v>6.2</v>
      </c>
      <c r="M224" s="4">
        <v>4.0999999999999996</v>
      </c>
      <c r="N224" s="4">
        <v>23.9</v>
      </c>
      <c r="P224" s="4">
        <v>22.1</v>
      </c>
      <c r="Q224" s="4">
        <v>27.9</v>
      </c>
      <c r="R224" s="4">
        <v>12.8</v>
      </c>
      <c r="T224" s="10"/>
      <c r="V224" s="17">
        <f>G224*'IAA digestibility'!G224</f>
        <v>5.0220000000000002</v>
      </c>
      <c r="W224" s="17">
        <f>H224*'IAA digestibility'!H224</f>
        <v>14.823000000000002</v>
      </c>
      <c r="X224" s="17">
        <f>I224*'IAA digestibility'!I224</f>
        <v>18.189999999999998</v>
      </c>
      <c r="Y224" s="17">
        <f>J224*'IAA digestibility'!J224</f>
        <v>31.754999999999999</v>
      </c>
      <c r="Z224" s="17">
        <f>K224*'IAA digestibility'!K224</f>
        <v>16.568000000000001</v>
      </c>
      <c r="AA224" s="17">
        <f>L224*'IAA digestibility'!L224</f>
        <v>5.3319999999999999</v>
      </c>
      <c r="AB224" s="17">
        <f>M224*'IAA digestibility'!M224</f>
        <v>2.5829999999999997</v>
      </c>
      <c r="AC224" s="17">
        <f>N224*'IAA digestibility'!N224</f>
        <v>21.032</v>
      </c>
      <c r="AD224" s="17">
        <f>O224*'IAA digestibility'!O224</f>
        <v>0</v>
      </c>
      <c r="AE224" s="17">
        <f>P224*'IAA digestibility'!P224</f>
        <v>18.564</v>
      </c>
      <c r="AF224" s="17">
        <f>R224*'IAA digestibility'!R224</f>
        <v>10.88</v>
      </c>
      <c r="AG224" s="10"/>
      <c r="AH224" s="17">
        <f t="shared" si="37"/>
        <v>10.742245989304813</v>
      </c>
      <c r="AI224" s="17">
        <f t="shared" si="38"/>
        <v>31.706951871657758</v>
      </c>
      <c r="AJ224" s="17">
        <f t="shared" si="39"/>
        <v>38.909090909090907</v>
      </c>
      <c r="AK224" s="17">
        <f t="shared" si="40"/>
        <v>67.925133689839569</v>
      </c>
      <c r="AL224" s="17">
        <f t="shared" si="41"/>
        <v>35.439572192513367</v>
      </c>
      <c r="AM224" s="17">
        <f t="shared" si="42"/>
        <v>16.930481283422456</v>
      </c>
      <c r="AN224" s="18">
        <f t="shared" si="43"/>
        <v>44.988235294117651</v>
      </c>
      <c r="AO224" s="17">
        <f t="shared" si="44"/>
        <v>39.709090909090911</v>
      </c>
      <c r="AP224" s="17">
        <f t="shared" si="45"/>
        <v>23.272727272727273</v>
      </c>
    </row>
    <row r="225" spans="1:42" s="4" customFormat="1" x14ac:dyDescent="0.25">
      <c r="A225" s="4" t="str">
        <f>'IAA digestibility'!A225</f>
        <v>Soybean meal (autoclaved, 150oC, 15 min)</v>
      </c>
      <c r="B225" s="4" t="str">
        <f>'IAA digestibility'!B225</f>
        <v>Legumes &amp; oilseeds</v>
      </c>
      <c r="C225" s="4">
        <f>'IAA digestibility'!C225</f>
        <v>20</v>
      </c>
      <c r="F225" s="4">
        <v>479.5</v>
      </c>
      <c r="G225" s="4">
        <v>6.2</v>
      </c>
      <c r="H225" s="4">
        <v>18.3</v>
      </c>
      <c r="I225" s="4">
        <v>21.6</v>
      </c>
      <c r="J225" s="4">
        <v>36.700000000000003</v>
      </c>
      <c r="K225" s="4">
        <v>20.100000000000001</v>
      </c>
      <c r="L225" s="4">
        <v>6.1</v>
      </c>
      <c r="M225" s="4">
        <v>3.7</v>
      </c>
      <c r="N225" s="4">
        <v>24</v>
      </c>
      <c r="P225" s="4">
        <v>22.4</v>
      </c>
      <c r="Q225" s="4">
        <v>25.6</v>
      </c>
      <c r="R225" s="4">
        <v>12.8</v>
      </c>
      <c r="T225" s="10"/>
      <c r="V225" s="17">
        <f>G225*'IAA digestibility'!G225</f>
        <v>5.0839999999999996</v>
      </c>
      <c r="W225" s="17">
        <f>H225*'IAA digestibility'!H225</f>
        <v>15.006</v>
      </c>
      <c r="X225" s="17">
        <f>I225*'IAA digestibility'!I225</f>
        <v>18.576000000000001</v>
      </c>
      <c r="Y225" s="17">
        <f>J225*'IAA digestibility'!J225</f>
        <v>32.295999999999999</v>
      </c>
      <c r="Z225" s="17">
        <f>K225*'IAA digestibility'!K225</f>
        <v>15.075000000000001</v>
      </c>
      <c r="AA225" s="17">
        <f>L225*'IAA digestibility'!L225</f>
        <v>5.2459999999999996</v>
      </c>
      <c r="AB225" s="17">
        <f>M225*'IAA digestibility'!M225</f>
        <v>2.3680000000000003</v>
      </c>
      <c r="AC225" s="17">
        <f>N225*'IAA digestibility'!N225</f>
        <v>21.36</v>
      </c>
      <c r="AD225" s="17">
        <f>O225*'IAA digestibility'!O225</f>
        <v>0</v>
      </c>
      <c r="AE225" s="17">
        <f>P225*'IAA digestibility'!P225</f>
        <v>19.04</v>
      </c>
      <c r="AF225" s="17">
        <f>R225*'IAA digestibility'!R225</f>
        <v>10.88</v>
      </c>
      <c r="AG225" s="10"/>
      <c r="AH225" s="17">
        <f t="shared" si="37"/>
        <v>10.602711157455683</v>
      </c>
      <c r="AI225" s="17">
        <f t="shared" si="38"/>
        <v>31.295099061522418</v>
      </c>
      <c r="AJ225" s="17">
        <f t="shared" si="39"/>
        <v>38.74035453597498</v>
      </c>
      <c r="AK225" s="17">
        <f t="shared" si="40"/>
        <v>67.353493222106366</v>
      </c>
      <c r="AL225" s="17">
        <f t="shared" si="41"/>
        <v>31.438998957247133</v>
      </c>
      <c r="AM225" s="17">
        <f t="shared" si="42"/>
        <v>15.879040667361837</v>
      </c>
      <c r="AN225" s="18">
        <f t="shared" si="43"/>
        <v>44.546402502606881</v>
      </c>
      <c r="AO225" s="17">
        <f t="shared" si="44"/>
        <v>39.708029197080286</v>
      </c>
      <c r="AP225" s="17">
        <f t="shared" si="45"/>
        <v>22.690302398331596</v>
      </c>
    </row>
    <row r="226" spans="1:42" s="4" customFormat="1" x14ac:dyDescent="0.25">
      <c r="A226" s="4" t="str">
        <f>'IAA digestibility'!A226</f>
        <v>Soybean meal (autoclaved, 150oC, 18 min)</v>
      </c>
      <c r="B226" s="4" t="str">
        <f>'IAA digestibility'!B226</f>
        <v>Legumes &amp; oilseeds</v>
      </c>
      <c r="C226" s="4">
        <f>'IAA digestibility'!C226</f>
        <v>20</v>
      </c>
      <c r="D226" s="7"/>
      <c r="F226" s="4">
        <v>481.4</v>
      </c>
      <c r="G226" s="4">
        <v>6.1</v>
      </c>
      <c r="H226" s="4">
        <v>17.899999999999999</v>
      </c>
      <c r="I226" s="4">
        <v>21.4</v>
      </c>
      <c r="J226" s="4">
        <v>36.200000000000003</v>
      </c>
      <c r="K226" s="4">
        <v>19.100000000000001</v>
      </c>
      <c r="L226" s="4">
        <v>6</v>
      </c>
      <c r="M226" s="4">
        <v>3.4</v>
      </c>
      <c r="N226" s="4">
        <v>23.7</v>
      </c>
      <c r="P226" s="4">
        <v>22</v>
      </c>
      <c r="Q226" s="4">
        <v>23.5</v>
      </c>
      <c r="R226" s="4">
        <v>12.6</v>
      </c>
      <c r="T226" s="10"/>
      <c r="V226" s="17">
        <f>G226*'IAA digestibility'!G226</f>
        <v>4.6970000000000001</v>
      </c>
      <c r="W226" s="17">
        <f>H226*'IAA digestibility'!H226</f>
        <v>13.424999999999999</v>
      </c>
      <c r="X226" s="17">
        <f>I226*'IAA digestibility'!I226</f>
        <v>16.905999999999999</v>
      </c>
      <c r="Y226" s="17">
        <f>J226*'IAA digestibility'!J226</f>
        <v>29.684000000000001</v>
      </c>
      <c r="Z226" s="17">
        <f>K226*'IAA digestibility'!K226</f>
        <v>12.033000000000001</v>
      </c>
      <c r="AA226" s="17">
        <f>L226*'IAA digestibility'!L226</f>
        <v>4.8000000000000007</v>
      </c>
      <c r="AB226" s="17">
        <f>M226*'IAA digestibility'!M226</f>
        <v>1.5979999999999999</v>
      </c>
      <c r="AC226" s="17">
        <f>N226*'IAA digestibility'!N226</f>
        <v>19.907999999999998</v>
      </c>
      <c r="AD226" s="17">
        <f>O226*'IAA digestibility'!O226</f>
        <v>0</v>
      </c>
      <c r="AE226" s="17">
        <f>P226*'IAA digestibility'!P226</f>
        <v>17.380000000000003</v>
      </c>
      <c r="AF226" s="17">
        <f>R226*'IAA digestibility'!R226</f>
        <v>9.9540000000000006</v>
      </c>
      <c r="AG226" s="10"/>
      <c r="AH226" s="17">
        <f t="shared" si="37"/>
        <v>9.7569588699626095</v>
      </c>
      <c r="AI226" s="17">
        <f t="shared" si="38"/>
        <v>27.887411715828833</v>
      </c>
      <c r="AJ226" s="17">
        <f t="shared" si="39"/>
        <v>35.118404653095141</v>
      </c>
      <c r="AK226" s="17">
        <f t="shared" si="40"/>
        <v>61.661819692563363</v>
      </c>
      <c r="AL226" s="17">
        <f t="shared" si="41"/>
        <v>24.995845450768595</v>
      </c>
      <c r="AM226" s="17">
        <f t="shared" si="42"/>
        <v>13.290402991275448</v>
      </c>
      <c r="AN226" s="18">
        <f t="shared" si="43"/>
        <v>41.354383049439136</v>
      </c>
      <c r="AO226" s="17">
        <f t="shared" si="44"/>
        <v>36.103032820938935</v>
      </c>
      <c r="AP226" s="17">
        <f t="shared" si="45"/>
        <v>20.677191524719571</v>
      </c>
    </row>
    <row r="227" spans="1:42" s="4" customFormat="1" x14ac:dyDescent="0.25">
      <c r="A227" s="4" t="str">
        <f>'IAA digestibility'!A227</f>
        <v>whey protein isolate (WPI)</v>
      </c>
      <c r="B227" s="4" t="str">
        <f>'IAA digestibility'!B227</f>
        <v>Milk products</v>
      </c>
      <c r="C227" s="4">
        <f>'IAA digestibility'!C227</f>
        <v>21</v>
      </c>
      <c r="D227" s="7"/>
      <c r="F227" s="4">
        <v>852.3</v>
      </c>
      <c r="G227" s="4">
        <v>18.3</v>
      </c>
      <c r="H227" s="4">
        <v>65.8</v>
      </c>
      <c r="I227" s="4">
        <v>59.5</v>
      </c>
      <c r="J227" s="4">
        <v>99.1</v>
      </c>
      <c r="K227" s="4">
        <v>86.4</v>
      </c>
      <c r="L227" s="4">
        <v>19.399999999999999</v>
      </c>
      <c r="M227" s="4">
        <v>21.4</v>
      </c>
      <c r="N227" s="4">
        <v>28.5</v>
      </c>
      <c r="O227" s="4">
        <v>26</v>
      </c>
      <c r="P227" s="4">
        <v>52.9</v>
      </c>
      <c r="Q227" s="4">
        <v>19.600000000000001</v>
      </c>
      <c r="R227" s="4">
        <v>17.100000000000001</v>
      </c>
      <c r="T227" s="10"/>
      <c r="V227" s="17">
        <f>G227*'IAA digestibility'!G227</f>
        <v>18.3</v>
      </c>
      <c r="W227" s="17">
        <f>H227*'IAA digestibility'!H227</f>
        <v>61.851999999999997</v>
      </c>
      <c r="X227" s="17">
        <f>I227*'IAA digestibility'!I227</f>
        <v>58.31</v>
      </c>
      <c r="Y227" s="17">
        <f>J227*'IAA digestibility'!J227</f>
        <v>98.108999999999995</v>
      </c>
      <c r="Z227" s="17">
        <f>K227*'IAA digestibility'!K227</f>
        <v>84.671999999999997</v>
      </c>
      <c r="AA227" s="17">
        <f>L227*'IAA digestibility'!L227</f>
        <v>19.011999999999997</v>
      </c>
      <c r="AB227" s="17">
        <f>M227*'IAA digestibility'!M227</f>
        <v>20.971999999999998</v>
      </c>
      <c r="AC227" s="17">
        <f>N227*'IAA digestibility'!N227</f>
        <v>27.93</v>
      </c>
      <c r="AD227" s="17">
        <f>O227*'IAA digestibility'!O227</f>
        <v>25.74</v>
      </c>
      <c r="AE227" s="17">
        <f>P227*'IAA digestibility'!P227</f>
        <v>51.312999999999995</v>
      </c>
      <c r="AF227" s="17">
        <f>R227*'IAA digestibility'!R227</f>
        <v>17.100000000000001</v>
      </c>
      <c r="AG227" s="10"/>
      <c r="AH227" s="17">
        <f t="shared" si="37"/>
        <v>21.471312917986626</v>
      </c>
      <c r="AI227" s="17">
        <f t="shared" si="38"/>
        <v>72.570691071219045</v>
      </c>
      <c r="AJ227" s="17">
        <f t="shared" si="39"/>
        <v>68.414877390590163</v>
      </c>
      <c r="AK227" s="17">
        <f t="shared" si="40"/>
        <v>115.11087645195353</v>
      </c>
      <c r="AL227" s="17">
        <f t="shared" si="41"/>
        <v>99.345300950369591</v>
      </c>
      <c r="AM227" s="17">
        <f t="shared" si="42"/>
        <v>46.913058782118966</v>
      </c>
      <c r="AN227" s="18">
        <f t="shared" si="43"/>
        <v>62.97078493488209</v>
      </c>
      <c r="AO227" s="17">
        <f t="shared" si="44"/>
        <v>60.205326762876915</v>
      </c>
      <c r="AP227" s="17">
        <f>(AF227/$F227)*1000</f>
        <v>20.063357972544882</v>
      </c>
    </row>
    <row r="228" spans="1:42" s="4" customFormat="1" x14ac:dyDescent="0.25">
      <c r="A228" s="4" t="str">
        <f>'IAA digestibility'!A228</f>
        <v>whey protein concentrate (WPC)</v>
      </c>
      <c r="B228" s="4" t="str">
        <f>'IAA digestibility'!B228</f>
        <v>Milk products</v>
      </c>
      <c r="C228" s="4">
        <f>'IAA digestibility'!C228</f>
        <v>21</v>
      </c>
      <c r="D228" s="7"/>
      <c r="F228" s="4">
        <v>780.1</v>
      </c>
      <c r="G228" s="4">
        <v>15.7</v>
      </c>
      <c r="H228" s="4">
        <v>53.9</v>
      </c>
      <c r="I228" s="4">
        <v>49.4</v>
      </c>
      <c r="J228" s="4">
        <v>92.7</v>
      </c>
      <c r="K228" s="4">
        <v>78.3</v>
      </c>
      <c r="L228" s="4">
        <v>17.7</v>
      </c>
      <c r="M228" s="4">
        <v>19.100000000000001</v>
      </c>
      <c r="N228" s="4">
        <v>28.7</v>
      </c>
      <c r="O228" s="4">
        <v>25.5</v>
      </c>
      <c r="P228" s="4">
        <v>48.3</v>
      </c>
      <c r="Q228" s="4">
        <v>23.8</v>
      </c>
      <c r="R228" s="4">
        <v>17.2</v>
      </c>
      <c r="T228" s="10"/>
      <c r="V228" s="17">
        <f>G228*'IAA digestibility'!G228</f>
        <v>15.385999999999999</v>
      </c>
      <c r="W228" s="17">
        <f>H228*'IAA digestibility'!H228</f>
        <v>49.048999999999999</v>
      </c>
      <c r="X228" s="17">
        <f>I228*'IAA digestibility'!I228</f>
        <v>47.917999999999999</v>
      </c>
      <c r="Y228" s="17">
        <f>J228*'IAA digestibility'!J228</f>
        <v>90.846000000000004</v>
      </c>
      <c r="Z228" s="17">
        <f>K228*'IAA digestibility'!K228</f>
        <v>75.167999999999992</v>
      </c>
      <c r="AA228" s="17">
        <f>L228*'IAA digestibility'!L228</f>
        <v>17.169</v>
      </c>
      <c r="AB228" s="17">
        <f>M228*'IAA digestibility'!M228</f>
        <v>18.145</v>
      </c>
      <c r="AC228" s="17">
        <f>N228*'IAA digestibility'!N228</f>
        <v>27.552</v>
      </c>
      <c r="AD228" s="17">
        <f>O228*'IAA digestibility'!O228</f>
        <v>24.48</v>
      </c>
      <c r="AE228" s="17">
        <f>P228*'IAA digestibility'!P228</f>
        <v>45.884999999999998</v>
      </c>
      <c r="AF228" s="17">
        <f>R228*'IAA digestibility'!R228</f>
        <v>16.683999999999997</v>
      </c>
      <c r="AG228" s="10"/>
      <c r="AH228" s="17">
        <f t="shared" si="37"/>
        <v>19.723112421484426</v>
      </c>
      <c r="AI228" s="17">
        <f t="shared" si="38"/>
        <v>62.875272400974239</v>
      </c>
      <c r="AJ228" s="17">
        <f t="shared" si="39"/>
        <v>61.42545827458018</v>
      </c>
      <c r="AK228" s="17">
        <f t="shared" si="40"/>
        <v>116.45430073067556</v>
      </c>
      <c r="AL228" s="17">
        <f t="shared" si="41"/>
        <v>96.356877323420065</v>
      </c>
      <c r="AM228" s="17">
        <f t="shared" si="42"/>
        <v>45.268555313421352</v>
      </c>
      <c r="AN228" s="18">
        <f t="shared" si="43"/>
        <v>66.699141135751816</v>
      </c>
      <c r="AO228" s="17">
        <f t="shared" si="44"/>
        <v>58.819382130496081</v>
      </c>
      <c r="AP228" s="17">
        <f t="shared" si="45"/>
        <v>21.387001666453013</v>
      </c>
    </row>
    <row r="229" spans="1:42" s="4" customFormat="1" x14ac:dyDescent="0.25">
      <c r="A229" s="4" t="str">
        <f>'IAA digestibility'!A229</f>
        <v>milk protein concentrate (MPC)</v>
      </c>
      <c r="B229" s="4" t="str">
        <f>'IAA digestibility'!B229</f>
        <v>Milk products</v>
      </c>
      <c r="C229" s="4">
        <f>'IAA digestibility'!C229</f>
        <v>21</v>
      </c>
      <c r="D229" s="7"/>
      <c r="F229" s="4">
        <v>679.3</v>
      </c>
      <c r="G229" s="4">
        <v>10.1</v>
      </c>
      <c r="H229" s="4">
        <v>30.2</v>
      </c>
      <c r="I229" s="4">
        <v>36.1</v>
      </c>
      <c r="J229" s="4">
        <v>69.099999999999994</v>
      </c>
      <c r="K229" s="4">
        <v>55</v>
      </c>
      <c r="L229" s="4">
        <v>18.3</v>
      </c>
      <c r="M229" s="4">
        <v>4.5999999999999996</v>
      </c>
      <c r="N229" s="4">
        <v>34.200000000000003</v>
      </c>
      <c r="O229" s="4">
        <v>34.200000000000003</v>
      </c>
      <c r="P229" s="4">
        <v>44.3</v>
      </c>
      <c r="Q229" s="4">
        <v>24.5</v>
      </c>
      <c r="R229" s="4">
        <v>20.399999999999999</v>
      </c>
      <c r="T229" s="10"/>
      <c r="V229" s="17">
        <f>G229*'IAA digestibility'!G229</f>
        <v>9.7969999999999988</v>
      </c>
      <c r="W229" s="17">
        <f>H229*'IAA digestibility'!H229</f>
        <v>28.086000000000002</v>
      </c>
      <c r="X229" s="17">
        <f>I229*'IAA digestibility'!I229</f>
        <v>33.573</v>
      </c>
      <c r="Y229" s="17">
        <f>J229*'IAA digestibility'!J229</f>
        <v>67.717999999999989</v>
      </c>
      <c r="Z229" s="17">
        <f>K229*'IAA digestibility'!K229</f>
        <v>52.8</v>
      </c>
      <c r="AA229" s="17">
        <f>L229*'IAA digestibility'!L229</f>
        <v>17.751000000000001</v>
      </c>
      <c r="AB229" s="17">
        <f>M229*'IAA digestibility'!M229</f>
        <v>3.9099999999999997</v>
      </c>
      <c r="AC229" s="17">
        <f>N229*'IAA digestibility'!N229</f>
        <v>33.173999999999999</v>
      </c>
      <c r="AD229" s="17">
        <f>O229*'IAA digestibility'!O229</f>
        <v>33.516000000000005</v>
      </c>
      <c r="AE229" s="17">
        <f>P229*'IAA digestibility'!P229</f>
        <v>41.641999999999996</v>
      </c>
      <c r="AF229" s="17">
        <f>R229*'IAA digestibility'!R229</f>
        <v>20.195999999999998</v>
      </c>
      <c r="AG229" s="10"/>
      <c r="AH229" s="17">
        <f t="shared" si="37"/>
        <v>14.422199322832327</v>
      </c>
      <c r="AI229" s="17">
        <f t="shared" si="38"/>
        <v>41.345502723391732</v>
      </c>
      <c r="AJ229" s="17">
        <f t="shared" si="39"/>
        <v>49.422935374650379</v>
      </c>
      <c r="AK229" s="17">
        <f t="shared" si="40"/>
        <v>99.687914029147649</v>
      </c>
      <c r="AL229" s="17">
        <f t="shared" si="41"/>
        <v>77.727071985867809</v>
      </c>
      <c r="AM229" s="17">
        <f t="shared" si="42"/>
        <v>31.887236861475049</v>
      </c>
      <c r="AN229" s="18">
        <f t="shared" si="43"/>
        <v>98.174591491240989</v>
      </c>
      <c r="AO229" s="17">
        <f t="shared" si="44"/>
        <v>61.301339614308844</v>
      </c>
      <c r="AP229" s="17">
        <f t="shared" si="45"/>
        <v>29.730605034594436</v>
      </c>
    </row>
    <row r="230" spans="1:42" s="4" customFormat="1" x14ac:dyDescent="0.25">
      <c r="A230" s="4" t="str">
        <f>'IAA digestibility'!A230</f>
        <v>skimmed milk powder (SMP)</v>
      </c>
      <c r="B230" s="4" t="str">
        <f>'IAA digestibility'!B230</f>
        <v>Milk products</v>
      </c>
      <c r="C230" s="4">
        <f>'IAA digestibility'!C230</f>
        <v>21</v>
      </c>
      <c r="D230" s="7"/>
      <c r="F230" s="4">
        <v>346.5</v>
      </c>
      <c r="G230" s="4">
        <v>5.4</v>
      </c>
      <c r="H230" s="4">
        <v>15</v>
      </c>
      <c r="I230" s="4">
        <v>18</v>
      </c>
      <c r="J230" s="4">
        <v>34.700000000000003</v>
      </c>
      <c r="K230" s="4">
        <v>29</v>
      </c>
      <c r="L230" s="4">
        <v>8.3000000000000007</v>
      </c>
      <c r="M230" s="4">
        <v>2.6</v>
      </c>
      <c r="N230" s="4">
        <v>17</v>
      </c>
      <c r="O230" s="4">
        <v>16.100000000000001</v>
      </c>
      <c r="P230" s="4">
        <v>22.7</v>
      </c>
      <c r="Q230" s="4">
        <v>12</v>
      </c>
      <c r="R230" s="4">
        <v>10.7</v>
      </c>
      <c r="T230" s="10"/>
      <c r="V230" s="17">
        <f>G230*'IAA digestibility'!G230</f>
        <v>4.9140000000000006</v>
      </c>
      <c r="W230" s="17">
        <f>H230*'IAA digestibility'!H230</f>
        <v>12.299999999999999</v>
      </c>
      <c r="X230" s="17">
        <f>I230*'IAA digestibility'!I230</f>
        <v>16.02</v>
      </c>
      <c r="Y230" s="17">
        <f>J230*'IAA digestibility'!J230</f>
        <v>32.618000000000002</v>
      </c>
      <c r="Z230" s="17">
        <f>K230*'IAA digestibility'!K230</f>
        <v>27.549999999999997</v>
      </c>
      <c r="AA230" s="17">
        <f>L230*'IAA digestibility'!L230</f>
        <v>7.968</v>
      </c>
      <c r="AB230" s="17">
        <f>M230*'IAA digestibility'!M230</f>
        <v>1.8979999999999999</v>
      </c>
      <c r="AC230" s="17">
        <f>N230*'IAA digestibility'!N230</f>
        <v>15.979999999999999</v>
      </c>
      <c r="AD230" s="17">
        <f>O230*'IAA digestibility'!O230</f>
        <v>15.295</v>
      </c>
      <c r="AE230" s="17">
        <f>P230*'IAA digestibility'!P230</f>
        <v>20.43</v>
      </c>
      <c r="AF230" s="17">
        <f>R230*'IAA digestibility'!R230</f>
        <v>10.057999999999998</v>
      </c>
      <c r="AG230" s="10"/>
      <c r="AH230" s="17">
        <f t="shared" si="37"/>
        <v>14.181818181818183</v>
      </c>
      <c r="AI230" s="17">
        <f t="shared" si="38"/>
        <v>35.497835497835496</v>
      </c>
      <c r="AJ230" s="17">
        <f t="shared" si="39"/>
        <v>46.233766233766232</v>
      </c>
      <c r="AK230" s="17">
        <f t="shared" si="40"/>
        <v>94.135642135642144</v>
      </c>
      <c r="AL230" s="17">
        <f t="shared" si="41"/>
        <v>79.509379509379499</v>
      </c>
      <c r="AM230" s="17">
        <f t="shared" si="42"/>
        <v>28.473304473304474</v>
      </c>
      <c r="AN230" s="18">
        <f t="shared" si="43"/>
        <v>90.259740259740255</v>
      </c>
      <c r="AO230" s="17">
        <f t="shared" si="44"/>
        <v>58.961038961038959</v>
      </c>
      <c r="AP230" s="17">
        <f t="shared" si="45"/>
        <v>29.027417027417023</v>
      </c>
    </row>
    <row r="231" spans="1:42" s="4" customFormat="1" x14ac:dyDescent="0.25">
      <c r="A231" s="4" t="str">
        <f>'IAA digestibility'!A231</f>
        <v>pea protein concentrate (PPC)</v>
      </c>
      <c r="B231" s="4" t="str">
        <f>'IAA digestibility'!B231</f>
        <v>Legumes &amp; oilseeds</v>
      </c>
      <c r="C231" s="4">
        <f>'IAA digestibility'!C231</f>
        <v>21</v>
      </c>
      <c r="D231" s="7"/>
      <c r="F231" s="4">
        <v>544.6</v>
      </c>
      <c r="G231" s="4">
        <v>4.8</v>
      </c>
      <c r="H231" s="4">
        <v>19.5</v>
      </c>
      <c r="I231" s="4">
        <v>23.1</v>
      </c>
      <c r="J231" s="4">
        <v>40.4</v>
      </c>
      <c r="K231" s="4">
        <v>41.1</v>
      </c>
      <c r="L231" s="4">
        <v>4.9000000000000004</v>
      </c>
      <c r="M231" s="4">
        <v>6.3</v>
      </c>
      <c r="N231" s="4">
        <v>27</v>
      </c>
      <c r="O231" s="4">
        <v>17.899999999999999</v>
      </c>
      <c r="P231" s="4">
        <v>26.1</v>
      </c>
      <c r="Q231" s="4">
        <v>48.3</v>
      </c>
      <c r="R231" s="4">
        <v>14.3</v>
      </c>
      <c r="T231" s="10"/>
      <c r="V231" s="17">
        <f>G231*'IAA digestibility'!G231</f>
        <v>4.1760000000000002</v>
      </c>
      <c r="W231" s="17">
        <f>H231*'IAA digestibility'!H231</f>
        <v>17.16</v>
      </c>
      <c r="X231" s="17">
        <f>I231*'IAA digestibility'!I231</f>
        <v>21.021000000000001</v>
      </c>
      <c r="Y231" s="17">
        <f>J231*'IAA digestibility'!J231</f>
        <v>37.167999999999999</v>
      </c>
      <c r="Z231" s="17">
        <f>K231*'IAA digestibility'!K231</f>
        <v>39.456000000000003</v>
      </c>
      <c r="AA231" s="17">
        <f>L231*'IAA digestibility'!L231</f>
        <v>4.41</v>
      </c>
      <c r="AB231" s="17">
        <f>M231*'IAA digestibility'!M231</f>
        <v>4.7249999999999996</v>
      </c>
      <c r="AC231" s="17">
        <f>N231*'IAA digestibility'!N231</f>
        <v>24.84</v>
      </c>
      <c r="AD231" s="17">
        <f>O231*'IAA digestibility'!O231</f>
        <v>16.646999999999998</v>
      </c>
      <c r="AE231" s="17">
        <f>P231*'IAA digestibility'!P231</f>
        <v>23.229000000000003</v>
      </c>
      <c r="AF231" s="17">
        <f>R231*'IAA digestibility'!R231</f>
        <v>13.585000000000001</v>
      </c>
      <c r="AG231" s="10"/>
      <c r="AH231" s="17">
        <f t="shared" si="37"/>
        <v>7.6680132207124494</v>
      </c>
      <c r="AI231" s="17">
        <f t="shared" si="38"/>
        <v>31.509364671318394</v>
      </c>
      <c r="AJ231" s="17">
        <f t="shared" si="39"/>
        <v>38.598971722365036</v>
      </c>
      <c r="AK231" s="17">
        <f t="shared" si="40"/>
        <v>68.248255600440686</v>
      </c>
      <c r="AL231" s="17">
        <f t="shared" si="41"/>
        <v>72.449504223283142</v>
      </c>
      <c r="AM231" s="17">
        <f t="shared" si="42"/>
        <v>16.77377892030848</v>
      </c>
      <c r="AN231" s="18">
        <f t="shared" si="43"/>
        <v>76.178846860080782</v>
      </c>
      <c r="AO231" s="17">
        <f t="shared" si="44"/>
        <v>42.653323540213009</v>
      </c>
      <c r="AP231" s="17">
        <f t="shared" si="45"/>
        <v>24.944913698127067</v>
      </c>
    </row>
    <row r="232" spans="1:42" s="4" customFormat="1" x14ac:dyDescent="0.25">
      <c r="A232" s="4" t="str">
        <f>'IAA digestibility'!A232</f>
        <v>soy protein isolate (SPI)</v>
      </c>
      <c r="B232" s="4" t="str">
        <f>'IAA digestibility'!B232</f>
        <v>Legumes &amp; oilseeds</v>
      </c>
      <c r="C232" s="4">
        <f>'IAA digestibility'!C232</f>
        <v>21</v>
      </c>
      <c r="D232" s="7"/>
      <c r="F232" s="4">
        <v>926.6</v>
      </c>
      <c r="G232" s="4">
        <v>13</v>
      </c>
      <c r="H232" s="4">
        <v>33.5</v>
      </c>
      <c r="I232" s="4">
        <v>43.8</v>
      </c>
      <c r="J232" s="4">
        <v>73.8</v>
      </c>
      <c r="K232" s="4">
        <v>56.9</v>
      </c>
      <c r="L232" s="4">
        <v>11.8</v>
      </c>
      <c r="M232" s="4">
        <v>10.6</v>
      </c>
      <c r="N232" s="4">
        <v>48.6</v>
      </c>
      <c r="O232" s="4">
        <v>33.1</v>
      </c>
      <c r="P232" s="4">
        <v>44.2</v>
      </c>
      <c r="Q232" s="4">
        <v>69.5</v>
      </c>
      <c r="R232" s="4">
        <v>24.1</v>
      </c>
      <c r="T232" s="10"/>
      <c r="V232" s="17">
        <f>G232*'IAA digestibility'!G232</f>
        <v>12.48</v>
      </c>
      <c r="W232" s="17">
        <f>H232*'IAA digestibility'!H232</f>
        <v>30.82</v>
      </c>
      <c r="X232" s="17">
        <f>I232*'IAA digestibility'!I232</f>
        <v>41.609999999999992</v>
      </c>
      <c r="Y232" s="17">
        <f>J232*'IAA digestibility'!J232</f>
        <v>70.11</v>
      </c>
      <c r="Z232" s="17">
        <f>K232*'IAA digestibility'!K232</f>
        <v>55.192999999999998</v>
      </c>
      <c r="AA232" s="17">
        <f>L232*'IAA digestibility'!L232</f>
        <v>11.327999999999999</v>
      </c>
      <c r="AB232" s="17">
        <f>M232*'IAA digestibility'!M232</f>
        <v>9.6460000000000008</v>
      </c>
      <c r="AC232" s="17">
        <f>N232*'IAA digestibility'!N232</f>
        <v>46.655999999999999</v>
      </c>
      <c r="AD232" s="17">
        <f>O232*'IAA digestibility'!O232</f>
        <v>31.776</v>
      </c>
      <c r="AE232" s="17">
        <f>P232*'IAA digestibility'!P232</f>
        <v>41.548000000000002</v>
      </c>
      <c r="AF232" s="17">
        <f>R232*'IAA digestibility'!R232</f>
        <v>23.377000000000002</v>
      </c>
      <c r="AG232" s="10"/>
      <c r="AH232" s="17">
        <f t="shared" si="37"/>
        <v>13.468594862939781</v>
      </c>
      <c r="AI232" s="17">
        <f t="shared" si="38"/>
        <v>33.261385711202244</v>
      </c>
      <c r="AJ232" s="17">
        <f t="shared" si="39"/>
        <v>44.906108353118924</v>
      </c>
      <c r="AK232" s="17">
        <f t="shared" si="40"/>
        <v>75.663716814159287</v>
      </c>
      <c r="AL232" s="17">
        <f t="shared" si="41"/>
        <v>59.565076624217568</v>
      </c>
      <c r="AM232" s="17">
        <f t="shared" si="42"/>
        <v>22.635441398661772</v>
      </c>
      <c r="AN232" s="18">
        <f t="shared" si="43"/>
        <v>84.644938484783083</v>
      </c>
      <c r="AO232" s="17">
        <f t="shared" si="44"/>
        <v>44.839197064537018</v>
      </c>
      <c r="AP232" s="17">
        <f t="shared" si="45"/>
        <v>25.228793438376862</v>
      </c>
    </row>
    <row r="233" spans="1:42" s="4" customFormat="1" x14ac:dyDescent="0.25">
      <c r="A233" s="4" t="str">
        <f>'IAA digestibility'!A233</f>
        <v>soya flour</v>
      </c>
      <c r="B233" s="4" t="str">
        <f>'IAA digestibility'!B233</f>
        <v>Legumes &amp; oilseeds</v>
      </c>
      <c r="C233" s="4">
        <f>'IAA digestibility'!C233</f>
        <v>21</v>
      </c>
      <c r="D233" s="7"/>
      <c r="F233" s="4">
        <v>522.9</v>
      </c>
      <c r="G233" s="4">
        <v>7.9</v>
      </c>
      <c r="H233" s="4">
        <v>20</v>
      </c>
      <c r="I233" s="4">
        <v>23.5</v>
      </c>
      <c r="J233" s="4">
        <v>40</v>
      </c>
      <c r="K233" s="4">
        <v>33</v>
      </c>
      <c r="L233" s="4">
        <v>7.3</v>
      </c>
      <c r="M233" s="4">
        <v>7.2</v>
      </c>
      <c r="N233" s="4">
        <v>26</v>
      </c>
      <c r="O233" s="4">
        <v>18.2</v>
      </c>
      <c r="P233" s="4">
        <v>25.3</v>
      </c>
      <c r="Q233" s="4">
        <v>37.1</v>
      </c>
      <c r="R233" s="4">
        <v>14.3</v>
      </c>
      <c r="T233" s="10"/>
      <c r="V233" s="17">
        <f>G233*'IAA digestibility'!G233</f>
        <v>7.2680000000000007</v>
      </c>
      <c r="W233" s="17">
        <f>H233*'IAA digestibility'!H233</f>
        <v>17.399999999999999</v>
      </c>
      <c r="X233" s="17">
        <f>I233*'IAA digestibility'!I233</f>
        <v>21.62</v>
      </c>
      <c r="Y233" s="17">
        <f>J233*'IAA digestibility'!J233</f>
        <v>36.4</v>
      </c>
      <c r="Z233" s="17">
        <f>K233*'IAA digestibility'!K233</f>
        <v>30.69</v>
      </c>
      <c r="AA233" s="17">
        <f>L233*'IAA digestibility'!L233</f>
        <v>6.7890000000000006</v>
      </c>
      <c r="AB233" s="17">
        <f>M233*'IAA digestibility'!M233</f>
        <v>5.8320000000000007</v>
      </c>
      <c r="AC233" s="17">
        <f>N233*'IAA digestibility'!N233</f>
        <v>23.92</v>
      </c>
      <c r="AD233" s="17">
        <f>O233*'IAA digestibility'!O233</f>
        <v>16.926000000000002</v>
      </c>
      <c r="AE233" s="17">
        <f>P233*'IAA digestibility'!P233</f>
        <v>23.023</v>
      </c>
      <c r="AF233" s="17">
        <f>R233*'IAA digestibility'!R233</f>
        <v>13.156000000000001</v>
      </c>
      <c r="AG233" s="10"/>
      <c r="AH233" s="17">
        <f t="shared" si="37"/>
        <v>13.899407152419203</v>
      </c>
      <c r="AI233" s="17">
        <f t="shared" si="38"/>
        <v>33.275960986804364</v>
      </c>
      <c r="AJ233" s="17">
        <f t="shared" si="39"/>
        <v>41.346337731879899</v>
      </c>
      <c r="AK233" s="17">
        <f t="shared" si="40"/>
        <v>69.611780455153948</v>
      </c>
      <c r="AL233" s="17">
        <f t="shared" si="41"/>
        <v>58.691910499139418</v>
      </c>
      <c r="AM233" s="17">
        <f t="shared" si="42"/>
        <v>24.136546184738961</v>
      </c>
      <c r="AN233" s="18">
        <f t="shared" si="43"/>
        <v>78.114362210747757</v>
      </c>
      <c r="AO233" s="17">
        <f t="shared" si="44"/>
        <v>44.029451137884877</v>
      </c>
      <c r="AP233" s="17">
        <f t="shared" si="45"/>
        <v>25.159686364505646</v>
      </c>
    </row>
    <row r="234" spans="1:42" s="4" customFormat="1" x14ac:dyDescent="0.25">
      <c r="A234" s="4" t="str">
        <f>'IAA digestibility'!A234</f>
        <v>wheat</v>
      </c>
      <c r="B234" s="4" t="str">
        <f>'IAA digestibility'!B234</f>
        <v xml:space="preserve">Cereals &amp; cereal products </v>
      </c>
      <c r="C234" s="4">
        <f>'IAA digestibility'!C234</f>
        <v>21</v>
      </c>
      <c r="D234" s="7"/>
      <c r="F234" s="4">
        <v>116.7</v>
      </c>
      <c r="G234" s="4">
        <v>1.2</v>
      </c>
      <c r="H234" s="4">
        <v>3.4</v>
      </c>
      <c r="I234" s="4">
        <v>3.9</v>
      </c>
      <c r="J234" s="4">
        <v>7.8</v>
      </c>
      <c r="K234" s="4">
        <v>3.9</v>
      </c>
      <c r="L234" s="4">
        <v>2.1</v>
      </c>
      <c r="M234" s="4">
        <v>2.5</v>
      </c>
      <c r="N234" s="4">
        <v>5.2</v>
      </c>
      <c r="O234" s="4">
        <v>2.4</v>
      </c>
      <c r="P234" s="4">
        <v>5.2</v>
      </c>
      <c r="Q234" s="4">
        <v>5.6</v>
      </c>
      <c r="R234" s="4">
        <v>3</v>
      </c>
      <c r="T234" s="10"/>
      <c r="V234" s="17">
        <f>G234*'IAA digestibility'!G234</f>
        <v>0.88800000000000001</v>
      </c>
      <c r="W234" s="17">
        <f>H234*'IAA digestibility'!H234</f>
        <v>2.72</v>
      </c>
      <c r="X234" s="17">
        <f>I234*'IAA digestibility'!I234</f>
        <v>3.3149999999999999</v>
      </c>
      <c r="Y234" s="17">
        <f>J234*'IAA digestibility'!J234</f>
        <v>6.7080000000000002</v>
      </c>
      <c r="Z234" s="17">
        <f>K234*'IAA digestibility'!K234</f>
        <v>3.0030000000000001</v>
      </c>
      <c r="AA234" s="17">
        <f>L234*'IAA digestibility'!L234</f>
        <v>1.8480000000000001</v>
      </c>
      <c r="AB234" s="17">
        <f>M234*'IAA digestibility'!M234</f>
        <v>2.15</v>
      </c>
      <c r="AC234" s="17">
        <f>N234*'IAA digestibility'!N234</f>
        <v>4.524</v>
      </c>
      <c r="AD234" s="17">
        <f>O234*'IAA digestibility'!O234</f>
        <v>2.16</v>
      </c>
      <c r="AE234" s="17">
        <f>P234*'IAA digestibility'!P234</f>
        <v>4.3159999999999998</v>
      </c>
      <c r="AF234" s="17">
        <f>R234*'IAA digestibility'!R234</f>
        <v>2.5499999999999998</v>
      </c>
      <c r="AG234" s="10"/>
      <c r="AH234" s="17">
        <f t="shared" si="37"/>
        <v>7.6092544987146535</v>
      </c>
      <c r="AI234" s="17">
        <f t="shared" si="38"/>
        <v>23.307626392459298</v>
      </c>
      <c r="AJ234" s="17">
        <f t="shared" si="39"/>
        <v>28.406169665809767</v>
      </c>
      <c r="AK234" s="17">
        <f t="shared" si="40"/>
        <v>57.480719794344473</v>
      </c>
      <c r="AL234" s="17">
        <f t="shared" si="41"/>
        <v>25.732647814910024</v>
      </c>
      <c r="AM234" s="17">
        <f t="shared" si="42"/>
        <v>34.258783204798632</v>
      </c>
      <c r="AN234" s="18">
        <f t="shared" si="43"/>
        <v>57.275064267352185</v>
      </c>
      <c r="AO234" s="17">
        <f t="shared" si="44"/>
        <v>36.98371893744644</v>
      </c>
      <c r="AP234" s="17">
        <f t="shared" si="45"/>
        <v>21.85089974293059</v>
      </c>
    </row>
    <row r="235" spans="1:42" s="4" customFormat="1" x14ac:dyDescent="0.25">
      <c r="A235" s="4" t="str">
        <f>'IAA digestibility'!A235</f>
        <v>Faba beans (cultivar - Alfred), high tannin</v>
      </c>
      <c r="B235" s="4" t="str">
        <f>'IAA digestibility'!B235</f>
        <v>Legumes &amp; oilseeds</v>
      </c>
      <c r="C235" s="4">
        <f>'IAA digestibility'!C235</f>
        <v>22</v>
      </c>
      <c r="F235" s="4">
        <v>288.8</v>
      </c>
      <c r="G235" s="4">
        <v>0.73</v>
      </c>
      <c r="H235" s="4">
        <v>3.39</v>
      </c>
      <c r="I235" s="4">
        <v>4.26</v>
      </c>
      <c r="J235" s="4">
        <v>7.38</v>
      </c>
      <c r="K235" s="4">
        <v>6.26</v>
      </c>
      <c r="L235" s="4">
        <v>0.73</v>
      </c>
      <c r="M235" s="4">
        <v>1.1599999999999999</v>
      </c>
      <c r="N235" s="4">
        <v>4.13</v>
      </c>
      <c r="O235" s="4">
        <v>2.9</v>
      </c>
      <c r="P235" s="4">
        <v>4.8099999999999996</v>
      </c>
      <c r="Q235" s="4">
        <v>8.6999999999999993</v>
      </c>
      <c r="R235" s="4">
        <v>2.77</v>
      </c>
      <c r="T235" s="10"/>
      <c r="V235" s="17">
        <f>G235*'IAA digestibility'!G235</f>
        <v>0.59105666666666667</v>
      </c>
      <c r="W235" s="17">
        <f>H235*'IAA digestibility'!H235</f>
        <v>2.8170899999999999</v>
      </c>
      <c r="X235" s="17">
        <f>I235*'IAA digestibility'!I235</f>
        <v>3.5187599999999994</v>
      </c>
      <c r="Y235" s="17">
        <f>J235*'IAA digestibility'!J235</f>
        <v>6.1622999999999992</v>
      </c>
      <c r="Z235" s="17">
        <f>K235*'IAA digestibility'!K235</f>
        <v>5.4086400000000001</v>
      </c>
      <c r="AA235" s="17">
        <f>L235*'IAA digestibility'!L235</f>
        <v>0.56867000000000001</v>
      </c>
      <c r="AB235" s="17">
        <f>M235*'IAA digestibility'!M235</f>
        <v>0.75515999999999994</v>
      </c>
      <c r="AC235" s="17">
        <f>N235*'IAA digestibility'!N235</f>
        <v>3.4155099999999998</v>
      </c>
      <c r="AD235" s="17">
        <f>O235*'IAA digestibility'!O235</f>
        <v>2.2648999999999999</v>
      </c>
      <c r="AE235" s="17">
        <f>P235*'IAA digestibility'!P235</f>
        <v>3.5930699999999995</v>
      </c>
      <c r="AF235" s="17">
        <f>R235*'IAA digestibility'!R235</f>
        <v>2.3822000000000001</v>
      </c>
      <c r="AG235" s="10"/>
      <c r="AH235" s="17">
        <f t="shared" si="37"/>
        <v>2.0465951061865186</v>
      </c>
      <c r="AI235" s="17">
        <f t="shared" si="38"/>
        <v>9.7544667590027689</v>
      </c>
      <c r="AJ235" s="17">
        <f t="shared" si="39"/>
        <v>12.184072022160663</v>
      </c>
      <c r="AK235" s="17">
        <f t="shared" si="40"/>
        <v>21.33760387811634</v>
      </c>
      <c r="AL235" s="17">
        <f t="shared" si="41"/>
        <v>18.727977839335182</v>
      </c>
      <c r="AM235" s="17">
        <f t="shared" si="42"/>
        <v>4.5838988919667596</v>
      </c>
      <c r="AN235" s="18">
        <f t="shared" si="43"/>
        <v>19.669009695290857</v>
      </c>
      <c r="AO235" s="17">
        <f t="shared" si="44"/>
        <v>12.441378116343488</v>
      </c>
      <c r="AP235" s="17">
        <f t="shared" si="45"/>
        <v>8.2486149584487531</v>
      </c>
    </row>
    <row r="236" spans="1:42" s="4" customFormat="1" x14ac:dyDescent="0.25">
      <c r="A236" s="4" t="str">
        <f>'IAA digestibility'!A236</f>
        <v xml:space="preserve">Faba beans (cultivar - Alfred), high tannin, dehulled, </v>
      </c>
      <c r="B236" s="4" t="str">
        <f>'IAA digestibility'!B236</f>
        <v>Legumes &amp; oilseeds</v>
      </c>
      <c r="C236" s="4">
        <f>'IAA digestibility'!C236</f>
        <v>22</v>
      </c>
      <c r="F236" s="4">
        <v>321.3</v>
      </c>
      <c r="G236" s="4">
        <v>0.84</v>
      </c>
      <c r="H236" s="4">
        <v>2.95</v>
      </c>
      <c r="I236" s="4">
        <v>4.4400000000000004</v>
      </c>
      <c r="J236" s="4">
        <v>7.7</v>
      </c>
      <c r="K236" s="4">
        <v>6.08</v>
      </c>
      <c r="L236" s="4">
        <v>0.76</v>
      </c>
      <c r="M236" s="4">
        <v>1.1100000000000001</v>
      </c>
      <c r="N236" s="4">
        <v>4.1900000000000004</v>
      </c>
      <c r="O236" s="4">
        <v>2.62</v>
      </c>
      <c r="P236" s="4">
        <v>5.1100000000000003</v>
      </c>
      <c r="Q236" s="4">
        <v>8.85</v>
      </c>
      <c r="R236" s="4">
        <v>2.87</v>
      </c>
      <c r="T236" s="10"/>
      <c r="V236" s="17">
        <f>G236*'IAA digestibility'!G236</f>
        <v>0.71182999999999996</v>
      </c>
      <c r="W236" s="17">
        <f>H236*'IAA digestibility'!H236</f>
        <v>2.5134000000000003</v>
      </c>
      <c r="X236" s="17">
        <f>I236*'IAA digestibility'!I236</f>
        <v>3.7873200000000002</v>
      </c>
      <c r="Y236" s="17">
        <f>J236*'IAA digestibility'!J236</f>
        <v>6.6759000000000004</v>
      </c>
      <c r="Z236" s="17">
        <f>K236*'IAA digestibility'!K236</f>
        <v>5.3564800000000004</v>
      </c>
      <c r="AA236" s="17">
        <f>L236*'IAA digestibility'!L236</f>
        <v>0.64447999999999994</v>
      </c>
      <c r="AB236" s="17">
        <f>M236*'IAA digestibility'!M236</f>
        <v>0.80697000000000008</v>
      </c>
      <c r="AC236" s="17">
        <f>N236*'IAA digestibility'!N236</f>
        <v>3.5992100000000002</v>
      </c>
      <c r="AD236" s="17">
        <f>O236*'IAA digestibility'!O236</f>
        <v>2.0960000000000001</v>
      </c>
      <c r="AE236" s="17">
        <f>P236*'IAA digestibility'!P236</f>
        <v>4.0624500000000001</v>
      </c>
      <c r="AF236" s="17">
        <f>R236*'IAA digestibility'!R236</f>
        <v>2.59735</v>
      </c>
      <c r="AG236" s="10"/>
      <c r="AH236" s="17">
        <f t="shared" si="37"/>
        <v>2.2154684095860566</v>
      </c>
      <c r="AI236" s="17">
        <f t="shared" si="38"/>
        <v>7.8225957049486459</v>
      </c>
      <c r="AJ236" s="17">
        <f t="shared" si="39"/>
        <v>11.787488328664798</v>
      </c>
      <c r="AK236" s="17">
        <f t="shared" si="40"/>
        <v>20.777777777777779</v>
      </c>
      <c r="AL236" s="17">
        <f t="shared" si="41"/>
        <v>16.671272953625895</v>
      </c>
      <c r="AM236" s="17">
        <f t="shared" si="42"/>
        <v>4.5174291938997815</v>
      </c>
      <c r="AN236" s="18">
        <f t="shared" si="43"/>
        <v>17.725521319638965</v>
      </c>
      <c r="AO236" s="17">
        <f t="shared" si="44"/>
        <v>12.643790849673202</v>
      </c>
      <c r="AP236" s="17">
        <f t="shared" si="45"/>
        <v>8.0838779956427018</v>
      </c>
    </row>
    <row r="237" spans="1:42" s="4" customFormat="1" x14ac:dyDescent="0.25">
      <c r="A237" s="4" t="str">
        <f>'IAA digestibility'!A237</f>
        <v>Faba beans (cultivar - Blandine )</v>
      </c>
      <c r="B237" s="4" t="str">
        <f>'IAA digestibility'!B237</f>
        <v>Legumes &amp; oilseeds</v>
      </c>
      <c r="C237" s="4">
        <f>'IAA digestibility'!C237</f>
        <v>22</v>
      </c>
      <c r="F237" s="4">
        <v>334.4</v>
      </c>
      <c r="G237" s="4">
        <v>0.84</v>
      </c>
      <c r="H237" s="4">
        <v>3.5</v>
      </c>
      <c r="I237" s="4">
        <v>4.33</v>
      </c>
      <c r="J237" s="4">
        <v>7.56</v>
      </c>
      <c r="K237" s="4">
        <v>6.57</v>
      </c>
      <c r="L237" s="4">
        <v>0.7</v>
      </c>
      <c r="M237" s="4">
        <v>1.1100000000000001</v>
      </c>
      <c r="N237" s="4">
        <v>4.34</v>
      </c>
      <c r="O237" s="4">
        <v>2.94</v>
      </c>
      <c r="P237" s="4">
        <v>4.8899999999999997</v>
      </c>
      <c r="Q237" s="4">
        <v>8.69</v>
      </c>
      <c r="R237" s="4">
        <v>2.54</v>
      </c>
      <c r="T237" s="10"/>
      <c r="V237" s="17">
        <f>G237*'IAA digestibility'!G237</f>
        <v>0.71134000000000008</v>
      </c>
      <c r="W237" s="17">
        <f>H237*'IAA digestibility'!H237</f>
        <v>3.073</v>
      </c>
      <c r="X237" s="17">
        <f>I237*'IAA digestibility'!I237</f>
        <v>3.7151399999999999</v>
      </c>
      <c r="Y237" s="17">
        <f>J237*'IAA digestibility'!J237</f>
        <v>6.62256</v>
      </c>
      <c r="Z237" s="17">
        <f>K237*'IAA digestibility'!K237</f>
        <v>5.8341600000000007</v>
      </c>
      <c r="AA237" s="17">
        <f>L237*'IAA digestibility'!L237</f>
        <v>0.56420000000000003</v>
      </c>
      <c r="AB237" s="17">
        <f>M237*'IAA digestibility'!M237</f>
        <v>0.80364000000000002</v>
      </c>
      <c r="AC237" s="17">
        <f>N237*'IAA digestibility'!N237</f>
        <v>3.7974999999999999</v>
      </c>
      <c r="AD237" s="17">
        <f>O237*'IAA digestibility'!O237</f>
        <v>2.4137399999999998</v>
      </c>
      <c r="AE237" s="17">
        <f>P237*'IAA digestibility'!P237</f>
        <v>3.9413399999999998</v>
      </c>
      <c r="AF237" s="17">
        <f>R237*'IAA digestibility'!R237</f>
        <v>2.2072600000000002</v>
      </c>
      <c r="AG237" s="10"/>
      <c r="AH237" s="17">
        <f t="shared" si="37"/>
        <v>2.1272129186602875</v>
      </c>
      <c r="AI237" s="17">
        <f t="shared" si="38"/>
        <v>9.1895933014354068</v>
      </c>
      <c r="AJ237" s="17">
        <f t="shared" si="39"/>
        <v>11.109868421052632</v>
      </c>
      <c r="AK237" s="17">
        <f t="shared" si="40"/>
        <v>19.804306220095697</v>
      </c>
      <c r="AL237" s="17">
        <f t="shared" si="41"/>
        <v>17.446650717703353</v>
      </c>
      <c r="AM237" s="17">
        <f t="shared" si="42"/>
        <v>4.0904306220095705</v>
      </c>
      <c r="AN237" s="18">
        <f t="shared" si="43"/>
        <v>18.574282296650718</v>
      </c>
      <c r="AO237" s="17">
        <f t="shared" si="44"/>
        <v>11.786303827751198</v>
      </c>
      <c r="AP237" s="17">
        <f t="shared" si="45"/>
        <v>6.6006578947368428</v>
      </c>
    </row>
    <row r="238" spans="1:42" s="4" customFormat="1" x14ac:dyDescent="0.25">
      <c r="A238" s="4" t="str">
        <f>'IAA digestibility'!A238</f>
        <v>Lupins (cultivar - Lublanc )</v>
      </c>
      <c r="B238" s="4" t="str">
        <f>'IAA digestibility'!B238</f>
        <v>Legumes &amp; oilseeds</v>
      </c>
      <c r="C238" s="4">
        <f>'IAA digestibility'!C238</f>
        <v>22</v>
      </c>
      <c r="F238" s="4">
        <v>387.5</v>
      </c>
      <c r="G238" s="4">
        <v>0.72</v>
      </c>
      <c r="H238" s="4">
        <v>3.69</v>
      </c>
      <c r="I238" s="4">
        <v>4.87</v>
      </c>
      <c r="J238" s="4">
        <v>7.55</v>
      </c>
      <c r="K238" s="4">
        <v>4.6900000000000004</v>
      </c>
      <c r="L238" s="4">
        <v>0.64</v>
      </c>
      <c r="M238" s="4">
        <v>1.3</v>
      </c>
      <c r="N238" s="4">
        <v>3.72</v>
      </c>
      <c r="O238" s="4">
        <v>4.6500000000000004</v>
      </c>
      <c r="P238" s="4">
        <v>4.46</v>
      </c>
      <c r="Q238" s="4">
        <v>10.4</v>
      </c>
      <c r="R238" s="4">
        <v>2.2400000000000002</v>
      </c>
      <c r="T238" s="10"/>
      <c r="V238" s="17">
        <f>G238*'IAA digestibility'!G238</f>
        <v>0.58463999999999994</v>
      </c>
      <c r="W238" s="17">
        <f>H238*'IAA digestibility'!H238</f>
        <v>2.9372400000000001</v>
      </c>
      <c r="X238" s="17">
        <f>I238*'IAA digestibility'!I238</f>
        <v>4.1443700000000003</v>
      </c>
      <c r="Y238" s="17">
        <f>J238*'IAA digestibility'!J238</f>
        <v>6.3948499999999999</v>
      </c>
      <c r="Z238" s="17">
        <f>K238*'IAA digestibility'!K238</f>
        <v>3.8176600000000001</v>
      </c>
      <c r="AA238" s="17">
        <f>L238*'IAA digestibility'!L238</f>
        <v>0.46335999999999999</v>
      </c>
      <c r="AB238" s="17">
        <f>M238*'IAA digestibility'!M238</f>
        <v>0.93989999999999996</v>
      </c>
      <c r="AC238" s="17">
        <f>N238*'IAA digestibility'!N238</f>
        <v>3.1099200000000002</v>
      </c>
      <c r="AD238" s="17">
        <f>O238*'IAA digestibility'!O238</f>
        <v>3.9478500000000003</v>
      </c>
      <c r="AE238" s="17">
        <f>P238*'IAA digestibility'!P238</f>
        <v>3.1844399999999999</v>
      </c>
      <c r="AF238" s="17">
        <f>R238*'IAA digestibility'!R238</f>
        <v>1.8928</v>
      </c>
      <c r="AG238" s="10"/>
      <c r="AH238" s="17">
        <f t="shared" si="37"/>
        <v>1.5087483870967739</v>
      </c>
      <c r="AI238" s="17">
        <f t="shared" si="38"/>
        <v>7.5799741935483871</v>
      </c>
      <c r="AJ238" s="17">
        <f t="shared" si="39"/>
        <v>10.695148387096774</v>
      </c>
      <c r="AK238" s="17">
        <f t="shared" si="40"/>
        <v>16.50283870967742</v>
      </c>
      <c r="AL238" s="17">
        <f t="shared" si="41"/>
        <v>9.8520258064516124</v>
      </c>
      <c r="AM238" s="17">
        <f t="shared" si="42"/>
        <v>3.621316129032258</v>
      </c>
      <c r="AN238" s="18">
        <f t="shared" si="43"/>
        <v>18.2136</v>
      </c>
      <c r="AO238" s="17">
        <f t="shared" si="44"/>
        <v>8.2179096774193532</v>
      </c>
      <c r="AP238" s="17">
        <f t="shared" si="45"/>
        <v>4.8846451612903232</v>
      </c>
    </row>
    <row r="239" spans="1:42" s="4" customFormat="1" x14ac:dyDescent="0.25">
      <c r="A239" s="4" t="str">
        <f>'IAA digestibility'!A239</f>
        <v>Lupins (cultivar - Australian)</v>
      </c>
      <c r="B239" s="4" t="str">
        <f>'IAA digestibility'!B239</f>
        <v>Legumes &amp; oilseeds</v>
      </c>
      <c r="C239" s="4">
        <f>'IAA digestibility'!C239</f>
        <v>22</v>
      </c>
      <c r="F239" s="4">
        <v>329.4</v>
      </c>
      <c r="G239" s="4">
        <v>0.76</v>
      </c>
      <c r="H239" s="4">
        <v>3.47</v>
      </c>
      <c r="I239" s="4">
        <v>4.8099999999999996</v>
      </c>
      <c r="J239" s="4">
        <v>7.34</v>
      </c>
      <c r="K239" s="4">
        <v>4.7300000000000004</v>
      </c>
      <c r="L239" s="4">
        <v>0.76</v>
      </c>
      <c r="M239" s="4">
        <v>1.43</v>
      </c>
      <c r="N239" s="4">
        <v>3.95</v>
      </c>
      <c r="O239" s="4">
        <v>2.78</v>
      </c>
      <c r="P239" s="4">
        <v>4.32</v>
      </c>
      <c r="Q239" s="4">
        <v>10.8</v>
      </c>
      <c r="R239" s="4">
        <v>2.84</v>
      </c>
      <c r="T239" s="10"/>
      <c r="V239" s="17">
        <f>G239*'IAA digestibility'!G239</f>
        <v>0.67659000000000002</v>
      </c>
      <c r="W239" s="17">
        <f>H239*'IAA digestibility'!H239</f>
        <v>3.1368800000000001</v>
      </c>
      <c r="X239" s="17">
        <f>I239*'IAA digestibility'!I239</f>
        <v>4.3530499999999996</v>
      </c>
      <c r="Y239" s="17">
        <f>J239*'IAA digestibility'!J239</f>
        <v>6.6720600000000001</v>
      </c>
      <c r="Z239" s="17">
        <f>K239*'IAA digestibility'!K239</f>
        <v>4.1813200000000004</v>
      </c>
      <c r="AA239" s="17">
        <f>L239*'IAA digestibility'!L239</f>
        <v>0.68247999999999998</v>
      </c>
      <c r="AB239" s="17">
        <f>M239*'IAA digestibility'!M239</f>
        <v>1.1754599999999999</v>
      </c>
      <c r="AC239" s="17">
        <f>N239*'IAA digestibility'!N239</f>
        <v>3.5708000000000002</v>
      </c>
      <c r="AD239" s="17">
        <f>O239*'IAA digestibility'!O239</f>
        <v>2.4130399999999996</v>
      </c>
      <c r="AE239" s="17">
        <f>P239*'IAA digestibility'!P239</f>
        <v>3.5942400000000001</v>
      </c>
      <c r="AF239" s="17">
        <f>R239*'IAA digestibility'!R239</f>
        <v>2.5957599999999998</v>
      </c>
      <c r="AG239" s="10"/>
      <c r="AH239" s="17">
        <f t="shared" si="37"/>
        <v>2.0540072859744996</v>
      </c>
      <c r="AI239" s="17">
        <f t="shared" si="38"/>
        <v>9.5230115361262904</v>
      </c>
      <c r="AJ239" s="17">
        <f t="shared" si="39"/>
        <v>13.21508803885853</v>
      </c>
      <c r="AK239" s="17">
        <f t="shared" si="40"/>
        <v>20.255191256830603</v>
      </c>
      <c r="AL239" s="17">
        <f t="shared" si="41"/>
        <v>12.693746205221617</v>
      </c>
      <c r="AM239" s="17">
        <f t="shared" si="42"/>
        <v>5.6403764420157865</v>
      </c>
      <c r="AN239" s="18">
        <f t="shared" si="43"/>
        <v>18.1658773527626</v>
      </c>
      <c r="AO239" s="17">
        <f t="shared" si="44"/>
        <v>10.911475409836067</v>
      </c>
      <c r="AP239" s="17">
        <f t="shared" si="45"/>
        <v>7.8802671523983001</v>
      </c>
    </row>
    <row r="240" spans="1:42" s="4" customFormat="1" x14ac:dyDescent="0.25">
      <c r="A240" s="4" t="str">
        <f>'IAA digestibility'!A240</f>
        <v>Peas (Cultivar - Amino)</v>
      </c>
      <c r="B240" s="4" t="str">
        <f>'IAA digestibility'!B240</f>
        <v>Legumes &amp; oilseeds</v>
      </c>
      <c r="C240" s="4">
        <f>'IAA digestibility'!C240</f>
        <v>22</v>
      </c>
      <c r="F240" s="4">
        <v>259.39999999999998</v>
      </c>
      <c r="G240" s="4">
        <v>0.81</v>
      </c>
      <c r="H240" s="4">
        <v>3.61</v>
      </c>
      <c r="I240" s="4">
        <v>4.32</v>
      </c>
      <c r="J240" s="4">
        <v>7.46</v>
      </c>
      <c r="K240" s="4">
        <v>7.66</v>
      </c>
      <c r="L240" s="4">
        <v>0.83</v>
      </c>
      <c r="M240" s="4">
        <v>1.18</v>
      </c>
      <c r="N240" s="4">
        <v>4.8899999999999997</v>
      </c>
      <c r="O240" s="4">
        <v>2.73</v>
      </c>
      <c r="P240" s="4">
        <v>4.79</v>
      </c>
      <c r="Q240" s="4">
        <v>9.16</v>
      </c>
      <c r="R240" s="4">
        <v>2.4</v>
      </c>
      <c r="T240" s="10"/>
      <c r="V240" s="17">
        <f>G240*'IAA digestibility'!G240</f>
        <v>0.64638000000000007</v>
      </c>
      <c r="W240" s="17">
        <f>H240*'IAA digestibility'!H240</f>
        <v>2.8663400000000001</v>
      </c>
      <c r="X240" s="17">
        <f>I240*'IAA digestibility'!I240</f>
        <v>3.3998400000000002</v>
      </c>
      <c r="Y240" s="17">
        <f>J240*'IAA digestibility'!J240</f>
        <v>6.0127600000000001</v>
      </c>
      <c r="Z240" s="17">
        <f>K240*'IAA digestibility'!K240</f>
        <v>6.5876000000000001</v>
      </c>
      <c r="AA240" s="17">
        <f>L240*'IAA digestibility'!L240</f>
        <v>0.60424</v>
      </c>
      <c r="AB240" s="17">
        <f>M240*'IAA digestibility'!M240</f>
        <v>0.86139999999999994</v>
      </c>
      <c r="AC240" s="17">
        <f>N240*'IAA digestibility'!N240</f>
        <v>3.9902399999999996</v>
      </c>
      <c r="AD240" s="17">
        <f>O240*'IAA digestibility'!O240</f>
        <v>2.0857200000000002</v>
      </c>
      <c r="AE240" s="17">
        <f>P240*'IAA digestibility'!P240</f>
        <v>3.6547700000000001</v>
      </c>
      <c r="AF240" s="17">
        <f>R240*'IAA digestibility'!R240</f>
        <v>1.9607999999999999</v>
      </c>
      <c r="AG240" s="10"/>
      <c r="AH240" s="17">
        <f t="shared" si="37"/>
        <v>2.4918272937548194</v>
      </c>
      <c r="AI240" s="17">
        <f t="shared" si="38"/>
        <v>11.049884348496532</v>
      </c>
      <c r="AJ240" s="17">
        <f t="shared" si="39"/>
        <v>13.106553585196609</v>
      </c>
      <c r="AK240" s="17">
        <f t="shared" si="40"/>
        <v>23.179491133384737</v>
      </c>
      <c r="AL240" s="17">
        <f t="shared" si="41"/>
        <v>25.395528141865846</v>
      </c>
      <c r="AM240" s="17">
        <f t="shared" si="42"/>
        <v>5.6501156515034703</v>
      </c>
      <c r="AN240" s="18">
        <f t="shared" si="43"/>
        <v>23.423130300693909</v>
      </c>
      <c r="AO240" s="17">
        <f t="shared" si="44"/>
        <v>14.089321511179648</v>
      </c>
      <c r="AP240" s="17">
        <f t="shared" si="45"/>
        <v>7.5589822667694682</v>
      </c>
    </row>
    <row r="241" spans="1:43" s="4" customFormat="1" x14ac:dyDescent="0.25">
      <c r="A241" s="4" t="str">
        <f>'IAA digestibility'!A241</f>
        <v>Peas (Cultivar - Australian)</v>
      </c>
      <c r="B241" s="4" t="str">
        <f>'IAA digestibility'!B241</f>
        <v>Legumes &amp; oilseeds</v>
      </c>
      <c r="C241" s="4">
        <f>'IAA digestibility'!C241</f>
        <v>22</v>
      </c>
      <c r="F241" s="4">
        <v>276.89999999999998</v>
      </c>
      <c r="G241" s="4">
        <v>0.76</v>
      </c>
      <c r="H241" s="4">
        <v>3.27</v>
      </c>
      <c r="I241" s="4">
        <v>4.33</v>
      </c>
      <c r="J241" s="4">
        <v>6.83</v>
      </c>
      <c r="K241" s="4">
        <v>7.15</v>
      </c>
      <c r="L241" s="4">
        <v>0.78</v>
      </c>
      <c r="M241" s="4">
        <v>1.22</v>
      </c>
      <c r="N241" s="4">
        <v>4.3</v>
      </c>
      <c r="O241" s="4">
        <v>2.61</v>
      </c>
      <c r="P241" s="4">
        <v>4.6900000000000004</v>
      </c>
      <c r="Q241" s="4">
        <v>10.199999999999999</v>
      </c>
      <c r="R241" s="4">
        <v>2.33</v>
      </c>
      <c r="T241" s="10"/>
      <c r="V241" s="17">
        <f>G241*'IAA digestibility'!G241</f>
        <v>0.5838066666666667</v>
      </c>
      <c r="W241" s="17">
        <f>H241*'IAA digestibility'!H241</f>
        <v>2.4950100000000002</v>
      </c>
      <c r="X241" s="17">
        <f>I241*'IAA digestibility'!I241</f>
        <v>3.3817300000000001</v>
      </c>
      <c r="Y241" s="17">
        <f>J241*'IAA digestibility'!J241</f>
        <v>5.3615500000000003</v>
      </c>
      <c r="Z241" s="17">
        <f>K241*'IAA digestibility'!K241</f>
        <v>5.9559499999999996</v>
      </c>
      <c r="AA241" s="17">
        <f>L241*'IAA digestibility'!L241</f>
        <v>0.53586000000000011</v>
      </c>
      <c r="AB241" s="17">
        <f>M241*'IAA digestibility'!M241</f>
        <v>0.80520000000000003</v>
      </c>
      <c r="AC241" s="17">
        <f>N241*'IAA digestibility'!N241</f>
        <v>3.3496999999999999</v>
      </c>
      <c r="AD241" s="17">
        <f>O241*'IAA digestibility'!O241</f>
        <v>1.9444499999999998</v>
      </c>
      <c r="AE241" s="17">
        <f>P241*'IAA digestibility'!P241</f>
        <v>3.4049400000000003</v>
      </c>
      <c r="AF241" s="17">
        <f>R241*'IAA digestibility'!R241</f>
        <v>1.8826400000000001</v>
      </c>
      <c r="AG241" s="10"/>
      <c r="AH241" s="17">
        <f t="shared" si="37"/>
        <v>2.1083664379439031</v>
      </c>
      <c r="AI241" s="17">
        <f t="shared" si="38"/>
        <v>9.0105092091007588</v>
      </c>
      <c r="AJ241" s="17">
        <f t="shared" si="39"/>
        <v>12.212820512820514</v>
      </c>
      <c r="AK241" s="17">
        <f t="shared" si="40"/>
        <v>19.362766341639585</v>
      </c>
      <c r="AL241" s="17">
        <f t="shared" si="41"/>
        <v>21.5093896713615</v>
      </c>
      <c r="AM241" s="17">
        <f t="shared" si="42"/>
        <v>4.843120260021669</v>
      </c>
      <c r="AN241" s="18">
        <f t="shared" si="43"/>
        <v>19.119357168652947</v>
      </c>
      <c r="AO241" s="17">
        <f t="shared" si="44"/>
        <v>12.296641386782234</v>
      </c>
      <c r="AP241" s="17">
        <f t="shared" si="45"/>
        <v>6.798988804622609</v>
      </c>
    </row>
    <row r="242" spans="1:43" s="4" customFormat="1" x14ac:dyDescent="0.25">
      <c r="A242" s="4" t="str">
        <f>'IAA digestibility'!A242</f>
        <v>Peas (Cultivar - Finale)</v>
      </c>
      <c r="B242" s="4" t="str">
        <f>'IAA digestibility'!B242</f>
        <v>Legumes &amp; oilseeds</v>
      </c>
      <c r="C242" s="4">
        <f>'IAA digestibility'!C242</f>
        <v>22</v>
      </c>
      <c r="F242" s="4">
        <v>250.6</v>
      </c>
      <c r="G242" s="4">
        <v>0.88</v>
      </c>
      <c r="H242" s="4">
        <v>3.75</v>
      </c>
      <c r="I242" s="4">
        <v>4.7</v>
      </c>
      <c r="J242" s="4">
        <v>7.26</v>
      </c>
      <c r="K242" s="4">
        <v>7.57</v>
      </c>
      <c r="L242" s="4">
        <v>1.06</v>
      </c>
      <c r="M242" s="4">
        <v>1.35</v>
      </c>
      <c r="N242" s="4">
        <v>4.58</v>
      </c>
      <c r="O242" s="4">
        <v>2.64</v>
      </c>
      <c r="P242" s="4">
        <v>4.9800000000000004</v>
      </c>
      <c r="Q242" s="4">
        <v>8.57</v>
      </c>
      <c r="R242" s="4">
        <v>2.66</v>
      </c>
      <c r="T242" s="10"/>
      <c r="V242" s="17">
        <f>G242*'IAA digestibility'!G242</f>
        <v>0.71954666666666645</v>
      </c>
      <c r="W242" s="17">
        <f>H242*'IAA digestibility'!H242</f>
        <v>3.0524999999999998</v>
      </c>
      <c r="X242" s="17">
        <f>I242*'IAA digestibility'!I242</f>
        <v>3.9056999999999999</v>
      </c>
      <c r="Y242" s="17">
        <f>J242*'IAA digestibility'!J242</f>
        <v>5.9894999999999996</v>
      </c>
      <c r="Z242" s="17">
        <f>K242*'IAA digestibility'!K242</f>
        <v>6.5253399999999999</v>
      </c>
      <c r="AA242" s="17">
        <f>L242*'IAA digestibility'!L242</f>
        <v>0.88404000000000005</v>
      </c>
      <c r="AB242" s="17">
        <f>M242*'IAA digestibility'!M242</f>
        <v>1.0287000000000002</v>
      </c>
      <c r="AC242" s="17">
        <f>N242*'IAA digestibility'!N242</f>
        <v>3.7464399999999998</v>
      </c>
      <c r="AD242" s="17">
        <f>O242*'IAA digestibility'!O242</f>
        <v>2.0327999999999999</v>
      </c>
      <c r="AE242" s="17">
        <f>P242*'IAA digestibility'!P242</f>
        <v>3.6553200000000001</v>
      </c>
      <c r="AF242" s="17">
        <f>R242*'IAA digestibility'!R242</f>
        <v>2.2610000000000001</v>
      </c>
      <c r="AG242" s="10"/>
      <c r="AH242" s="17">
        <f t="shared" si="37"/>
        <v>2.8712955573290762</v>
      </c>
      <c r="AI242" s="17">
        <f t="shared" si="38"/>
        <v>12.180766161213088</v>
      </c>
      <c r="AJ242" s="17">
        <f t="shared" si="39"/>
        <v>15.5853950518755</v>
      </c>
      <c r="AK242" s="17">
        <f t="shared" si="40"/>
        <v>23.900638467677574</v>
      </c>
      <c r="AL242" s="17">
        <f t="shared" si="41"/>
        <v>26.03886671987231</v>
      </c>
      <c r="AM242" s="17">
        <f t="shared" si="42"/>
        <v>7.6326416600159632</v>
      </c>
      <c r="AN242" s="18">
        <f t="shared" si="43"/>
        <v>23.061612130885873</v>
      </c>
      <c r="AO242" s="17">
        <f t="shared" si="44"/>
        <v>14.586272944932162</v>
      </c>
      <c r="AP242" s="17">
        <f t="shared" si="45"/>
        <v>9.0223463687150858</v>
      </c>
    </row>
    <row r="243" spans="1:43" s="4" customFormat="1" x14ac:dyDescent="0.25">
      <c r="A243" s="4" t="str">
        <f>'IAA digestibility'!A243</f>
        <v>Peas (Cultivar - Frilene), high in trypsin inhibitor</v>
      </c>
      <c r="B243" s="4" t="str">
        <f>'IAA digestibility'!B243</f>
        <v>Legumes &amp; oilseeds</v>
      </c>
      <c r="C243" s="4">
        <f>'IAA digestibility'!C243</f>
        <v>22</v>
      </c>
      <c r="F243" s="4">
        <v>266.89999999999998</v>
      </c>
      <c r="G243" s="4">
        <v>0.86</v>
      </c>
      <c r="H243" s="4">
        <v>3.72</v>
      </c>
      <c r="I243" s="4">
        <v>4.47</v>
      </c>
      <c r="J243" s="4">
        <v>7.12</v>
      </c>
      <c r="K243" s="4">
        <v>6.66</v>
      </c>
      <c r="L243" s="4">
        <v>0.89</v>
      </c>
      <c r="M243" s="4">
        <v>1.26</v>
      </c>
      <c r="N243" s="4">
        <v>4.32</v>
      </c>
      <c r="O243" s="4">
        <v>2.56</v>
      </c>
      <c r="P243" s="4">
        <v>4.78</v>
      </c>
      <c r="Q243" s="4">
        <v>10.199999999999999</v>
      </c>
      <c r="R243" s="4">
        <v>2.44</v>
      </c>
      <c r="T243" s="10"/>
      <c r="V243" s="17">
        <f>G243*'IAA digestibility'!G243</f>
        <v>0.64973000000000003</v>
      </c>
      <c r="W243" s="17">
        <f>H243*'IAA digestibility'!H243</f>
        <v>2.8681200000000002</v>
      </c>
      <c r="X243" s="17">
        <f>I243*'IAA digestibility'!I243</f>
        <v>3.4016699999999997</v>
      </c>
      <c r="Y243" s="17">
        <f>J243*'IAA digestibility'!J243</f>
        <v>5.4468000000000005</v>
      </c>
      <c r="Z243" s="17">
        <f>K243*'IAA digestibility'!K243</f>
        <v>5.4279000000000002</v>
      </c>
      <c r="AA243" s="17">
        <f>L243*'IAA digestibility'!L243</f>
        <v>0.62656000000000001</v>
      </c>
      <c r="AB243" s="17">
        <f>M243*'IAA digestibility'!M243</f>
        <v>0.79127999999999998</v>
      </c>
      <c r="AC243" s="17">
        <f>N243*'IAA digestibility'!N243</f>
        <v>3.2184000000000004</v>
      </c>
      <c r="AD243" s="17">
        <f>O243*'IAA digestibility'!O243</f>
        <v>1.78688</v>
      </c>
      <c r="AE243" s="17">
        <f>P243*'IAA digestibility'!P243</f>
        <v>3.4033600000000002</v>
      </c>
      <c r="AF243" s="17">
        <f>R243*'IAA digestibility'!R243</f>
        <v>1.9788400000000002</v>
      </c>
      <c r="AG243" s="10"/>
      <c r="AH243" s="17">
        <f t="shared" si="37"/>
        <v>2.4343574372424133</v>
      </c>
      <c r="AI243" s="17">
        <f t="shared" si="38"/>
        <v>10.746047208692396</v>
      </c>
      <c r="AJ243" s="17">
        <f t="shared" si="39"/>
        <v>12.74511052828775</v>
      </c>
      <c r="AK243" s="17">
        <f t="shared" si="40"/>
        <v>20.407643312101914</v>
      </c>
      <c r="AL243" s="17">
        <f t="shared" si="41"/>
        <v>20.336830273510678</v>
      </c>
      <c r="AM243" s="17">
        <f t="shared" si="42"/>
        <v>5.3122517796927688</v>
      </c>
      <c r="AN243" s="18">
        <f t="shared" si="43"/>
        <v>18.753390783064823</v>
      </c>
      <c r="AO243" s="17">
        <f t="shared" si="44"/>
        <v>12.751442487823157</v>
      </c>
      <c r="AP243" s="17">
        <f t="shared" si="45"/>
        <v>7.4141626077182474</v>
      </c>
    </row>
    <row r="244" spans="1:43" s="4" customFormat="1" x14ac:dyDescent="0.25">
      <c r="A244" s="4" t="str">
        <f>'IAA digestibility'!A244</f>
        <v>Peas (Cultivar - Frilene), high in trypsin inhibitor, extruded</v>
      </c>
      <c r="B244" s="4" t="str">
        <f>'IAA digestibility'!B244</f>
        <v>Legumes &amp; oilseeds</v>
      </c>
      <c r="C244" s="4">
        <f>'IAA digestibility'!C244</f>
        <v>22</v>
      </c>
      <c r="F244" s="4">
        <v>268.10000000000002</v>
      </c>
      <c r="G244" s="4">
        <v>0.75</v>
      </c>
      <c r="H244" s="4">
        <v>3.56</v>
      </c>
      <c r="I244" s="4">
        <v>3.89</v>
      </c>
      <c r="J244" s="4">
        <v>6.72</v>
      </c>
      <c r="K244" s="4">
        <v>6.7</v>
      </c>
      <c r="L244" s="4">
        <v>0.82</v>
      </c>
      <c r="M244" s="4">
        <v>1.46</v>
      </c>
      <c r="N244" s="4">
        <v>4.2</v>
      </c>
      <c r="O244" s="4">
        <v>3.17</v>
      </c>
      <c r="P244" s="4">
        <v>4.6399999999999997</v>
      </c>
      <c r="Q244" s="4">
        <v>8.68</v>
      </c>
      <c r="R244" s="4">
        <v>2.36</v>
      </c>
      <c r="T244" s="10"/>
      <c r="V244" s="17">
        <f>G244*'IAA digestibility'!G244</f>
        <v>0.66993749999999996</v>
      </c>
      <c r="W244" s="17">
        <f>H244*'IAA digestibility'!H244</f>
        <v>3.2538400000000003</v>
      </c>
      <c r="X244" s="17">
        <f>I244*'IAA digestibility'!I244</f>
        <v>3.47377</v>
      </c>
      <c r="Y244" s="17">
        <f>J244*'IAA digestibility'!J244</f>
        <v>6.09504</v>
      </c>
      <c r="Z244" s="17">
        <f>K244*'IAA digestibility'!K244</f>
        <v>6.1238000000000001</v>
      </c>
      <c r="AA244" s="17">
        <f>L244*'IAA digestibility'!L244</f>
        <v>0.67403999999999997</v>
      </c>
      <c r="AB244" s="17">
        <f>M244*'IAA digestibility'!M244</f>
        <v>1.26728</v>
      </c>
      <c r="AC244" s="17">
        <f>N244*'IAA digestibility'!N244</f>
        <v>3.8220000000000005</v>
      </c>
      <c r="AD244" s="17">
        <f>O244*'IAA digestibility'!O244</f>
        <v>2.76424</v>
      </c>
      <c r="AE244" s="17">
        <f>P244*'IAA digestibility'!P244</f>
        <v>3.9671999999999996</v>
      </c>
      <c r="AF244" s="17">
        <f>R244*'IAA digestibility'!R244</f>
        <v>2.1947999999999999</v>
      </c>
      <c r="AG244" s="10"/>
      <c r="AH244" s="17">
        <f t="shared" si="37"/>
        <v>2.4988343901529273</v>
      </c>
      <c r="AI244" s="17">
        <f t="shared" si="38"/>
        <v>12.136665423349495</v>
      </c>
      <c r="AJ244" s="17">
        <f t="shared" si="39"/>
        <v>12.95699365908243</v>
      </c>
      <c r="AK244" s="17">
        <f t="shared" si="40"/>
        <v>22.734203655352477</v>
      </c>
      <c r="AL244" s="17">
        <f t="shared" si="41"/>
        <v>22.841477060798208</v>
      </c>
      <c r="AM244" s="17">
        <f t="shared" si="42"/>
        <v>7.2410294666169328</v>
      </c>
      <c r="AN244" s="18">
        <f t="shared" si="43"/>
        <v>24.566355837374111</v>
      </c>
      <c r="AO244" s="17">
        <f t="shared" si="44"/>
        <v>14.797463632972768</v>
      </c>
      <c r="AP244" s="17">
        <f t="shared" si="45"/>
        <v>8.1864975755315168</v>
      </c>
    </row>
    <row r="245" spans="1:43" s="4" customFormat="1" x14ac:dyDescent="0.25">
      <c r="A245" s="4" t="str">
        <f>'IAA digestibility'!A245</f>
        <v xml:space="preserve">Pea protein isolate, yellow </v>
      </c>
      <c r="B245" s="4" t="str">
        <f>'IAA digestibility'!B245</f>
        <v>Legumes &amp; oilseeds</v>
      </c>
      <c r="C245" s="4">
        <f>'IAA digestibility'!C245</f>
        <v>23</v>
      </c>
      <c r="T245" s="10"/>
      <c r="V245" s="17"/>
      <c r="W245" s="17"/>
      <c r="X245" s="17"/>
      <c r="Y245" s="17"/>
      <c r="Z245" s="17"/>
      <c r="AA245" s="17"/>
      <c r="AB245" s="17"/>
      <c r="AC245" s="17"/>
      <c r="AD245" s="17"/>
      <c r="AE245" s="17"/>
      <c r="AF245" s="17"/>
      <c r="AG245" s="10"/>
      <c r="AH245" s="17"/>
      <c r="AI245" s="17"/>
      <c r="AJ245" s="17"/>
      <c r="AK245" s="17"/>
      <c r="AL245" s="17"/>
      <c r="AM245" s="17"/>
      <c r="AN245" s="18"/>
      <c r="AO245" s="17"/>
      <c r="AP245" s="17"/>
      <c r="AQ245" s="4" t="s">
        <v>428</v>
      </c>
    </row>
    <row r="246" spans="1:43" s="4" customFormat="1" x14ac:dyDescent="0.25">
      <c r="A246" s="4" t="str">
        <f>'IAA digestibility'!A246</f>
        <v xml:space="preserve">Casein </v>
      </c>
      <c r="B246" s="4" t="str">
        <f>'IAA digestibility'!B246</f>
        <v>Milk products</v>
      </c>
      <c r="C246" s="4">
        <f>'IAA digestibility'!C246</f>
        <v>23</v>
      </c>
      <c r="T246" s="10"/>
      <c r="V246" s="17"/>
      <c r="W246" s="17"/>
      <c r="X246" s="17"/>
      <c r="Y246" s="17"/>
      <c r="Z246" s="17"/>
      <c r="AA246" s="17"/>
      <c r="AB246" s="17"/>
      <c r="AC246" s="17"/>
      <c r="AD246" s="17"/>
      <c r="AE246" s="17"/>
      <c r="AF246" s="17"/>
      <c r="AG246" s="10"/>
      <c r="AH246" s="17"/>
      <c r="AI246" s="17"/>
      <c r="AJ246" s="17"/>
      <c r="AK246" s="17"/>
      <c r="AL246" s="17"/>
      <c r="AM246" s="17"/>
      <c r="AN246" s="18"/>
      <c r="AO246" s="17"/>
      <c r="AP246" s="17"/>
      <c r="AQ246" s="4" t="s">
        <v>428</v>
      </c>
    </row>
    <row r="247" spans="1:43" s="4" customFormat="1" x14ac:dyDescent="0.25">
      <c r="A247" s="4" t="str">
        <f>'IAA digestibility'!A247</f>
        <v>Beef, lean (80%)</v>
      </c>
      <c r="B247" s="4" t="str">
        <f>'IAA digestibility'!B247</f>
        <v>Animal products</v>
      </c>
      <c r="C247" s="4">
        <f>'IAA digestibility'!C247</f>
        <v>24</v>
      </c>
      <c r="F247" s="4">
        <v>240.4</v>
      </c>
      <c r="G247" s="4">
        <v>2.5</v>
      </c>
      <c r="H247" s="4">
        <v>9.1999999999999993</v>
      </c>
      <c r="I247" s="4">
        <v>10.199999999999999</v>
      </c>
      <c r="J247" s="4">
        <v>17.3</v>
      </c>
      <c r="K247" s="4">
        <v>17.899999999999999</v>
      </c>
      <c r="L247" s="4">
        <v>5.4</v>
      </c>
      <c r="M247" s="4">
        <v>2.2999999999999998</v>
      </c>
      <c r="N247" s="4">
        <v>9.3000000000000007</v>
      </c>
      <c r="O247" s="4">
        <v>8</v>
      </c>
      <c r="P247" s="4">
        <v>11.5</v>
      </c>
      <c r="Q247" s="4">
        <v>15</v>
      </c>
      <c r="R247" s="4">
        <v>6.5</v>
      </c>
      <c r="T247" s="10"/>
      <c r="V247" s="17">
        <f>G247*'IAA digestibility'!G247</f>
        <v>2.3725000000000001</v>
      </c>
      <c r="W247" s="17">
        <f>H247*'IAA digestibility'!H247</f>
        <v>8.178799999999999</v>
      </c>
      <c r="X247" s="17">
        <f>I247*'IAA digestibility'!I247</f>
        <v>9.5675999999999988</v>
      </c>
      <c r="Y247" s="17">
        <f>J247*'IAA digestibility'!J247</f>
        <v>16.296600000000002</v>
      </c>
      <c r="Z247" s="17">
        <f>K247*'IAA digestibility'!K247</f>
        <v>17.237699999999997</v>
      </c>
      <c r="AA247" s="17">
        <f>L247*'IAA digestibility'!L247</f>
        <v>5.1732000000000005</v>
      </c>
      <c r="AB247" s="17">
        <f>M247*'IAA digestibility'!M247</f>
        <v>1.4466999999999999</v>
      </c>
      <c r="AC247" s="17">
        <f>N247*'IAA digestibility'!N247</f>
        <v>8.6211000000000002</v>
      </c>
      <c r="AD247" s="17">
        <f>O247*'IAA digestibility'!O247</f>
        <v>7.3840000000000003</v>
      </c>
      <c r="AE247" s="17">
        <f>P247*'IAA digestibility'!P247</f>
        <v>10.5915</v>
      </c>
      <c r="AF247" s="17">
        <f>R247*'IAA digestibility'!R247</f>
        <v>6.0515000000000008</v>
      </c>
      <c r="AG247" s="10"/>
      <c r="AH247" s="17">
        <f t="shared" si="37"/>
        <v>9.868968386023294</v>
      </c>
      <c r="AI247" s="17">
        <f t="shared" si="38"/>
        <v>34.021630615640589</v>
      </c>
      <c r="AJ247" s="17">
        <f t="shared" si="39"/>
        <v>39.79866888519134</v>
      </c>
      <c r="AK247" s="17">
        <f t="shared" si="40"/>
        <v>67.789517470881876</v>
      </c>
      <c r="AL247" s="17">
        <f t="shared" si="41"/>
        <v>71.704242928452572</v>
      </c>
      <c r="AM247" s="17">
        <f t="shared" si="42"/>
        <v>27.537021630615641</v>
      </c>
      <c r="AN247" s="18">
        <f t="shared" si="43"/>
        <v>66.576955074875201</v>
      </c>
      <c r="AO247" s="17">
        <f t="shared" si="44"/>
        <v>44.057820299500833</v>
      </c>
      <c r="AP247" s="17">
        <f t="shared" si="45"/>
        <v>25.17262895174709</v>
      </c>
    </row>
    <row r="248" spans="1:43" s="4" customFormat="1" x14ac:dyDescent="0.25">
      <c r="A248" s="4" t="str">
        <f>'IAA digestibility'!A248</f>
        <v>Beef, lean (93%)</v>
      </c>
      <c r="B248" s="4" t="str">
        <f>'IAA digestibility'!B248</f>
        <v>Animal products</v>
      </c>
      <c r="C248" s="4">
        <f>'IAA digestibility'!C248</f>
        <v>24</v>
      </c>
      <c r="F248" s="4">
        <v>276.10000000000002</v>
      </c>
      <c r="G248" s="4">
        <v>3.3</v>
      </c>
      <c r="H248" s="4">
        <v>11.9</v>
      </c>
      <c r="I248" s="4">
        <v>13.4</v>
      </c>
      <c r="J248" s="4">
        <v>22</v>
      </c>
      <c r="K248" s="4">
        <v>23.2</v>
      </c>
      <c r="L248" s="4">
        <v>7.2</v>
      </c>
      <c r="M248" s="4">
        <v>2.9</v>
      </c>
      <c r="N248" s="4">
        <v>11.4</v>
      </c>
      <c r="O248" s="4">
        <v>10.1</v>
      </c>
      <c r="P248" s="4">
        <v>13.8</v>
      </c>
      <c r="Q248" s="4">
        <v>17.399999999999999</v>
      </c>
      <c r="R248" s="4">
        <v>8.5</v>
      </c>
      <c r="T248" s="10"/>
      <c r="V248" s="17">
        <f>G248*'IAA digestibility'!G248</f>
        <v>3.3</v>
      </c>
      <c r="W248" s="17">
        <f>H248*'IAA digestibility'!H248</f>
        <v>11.114600000000001</v>
      </c>
      <c r="X248" s="17">
        <f>I248*'IAA digestibility'!I248</f>
        <v>12.8238</v>
      </c>
      <c r="Y248" s="17">
        <f>J248*'IAA digestibility'!J248</f>
        <v>21.163999999999998</v>
      </c>
      <c r="Z248" s="17">
        <f>K248*'IAA digestibility'!K248</f>
        <v>22.666399999999999</v>
      </c>
      <c r="AA248" s="17">
        <f>L248*'IAA digestibility'!L248</f>
        <v>6.984</v>
      </c>
      <c r="AB248" s="17">
        <f>M248*'IAA digestibility'!M248</f>
        <v>2.1372999999999998</v>
      </c>
      <c r="AC248" s="17">
        <f>N248*'IAA digestibility'!N248</f>
        <v>10.8414</v>
      </c>
      <c r="AD248" s="17">
        <f>O248*'IAA digestibility'!O248</f>
        <v>6.5952999999999999</v>
      </c>
      <c r="AE248" s="17">
        <f>P248*'IAA digestibility'!P248</f>
        <v>13.137600000000001</v>
      </c>
      <c r="AF248" s="17">
        <f>R248*'IAA digestibility'!R248</f>
        <v>8.16</v>
      </c>
      <c r="AG248" s="10"/>
      <c r="AH248" s="17">
        <f t="shared" si="37"/>
        <v>11.952191235059759</v>
      </c>
      <c r="AI248" s="17">
        <f t="shared" si="38"/>
        <v>40.255704454907644</v>
      </c>
      <c r="AJ248" s="17">
        <f t="shared" si="39"/>
        <v>46.446215139442231</v>
      </c>
      <c r="AK248" s="17">
        <f t="shared" si="40"/>
        <v>76.653386454183249</v>
      </c>
      <c r="AL248" s="17">
        <f t="shared" si="41"/>
        <v>82.094893154654102</v>
      </c>
      <c r="AM248" s="17">
        <f t="shared" si="42"/>
        <v>33.036218761318359</v>
      </c>
      <c r="AN248" s="18">
        <f t="shared" si="43"/>
        <v>63.153567547989859</v>
      </c>
      <c r="AO248" s="17">
        <f t="shared" si="44"/>
        <v>47.58275986961246</v>
      </c>
      <c r="AP248" s="17">
        <f t="shared" si="45"/>
        <v>29.554509235784135</v>
      </c>
    </row>
    <row r="249" spans="1:43" s="4" customFormat="1" x14ac:dyDescent="0.25">
      <c r="A249" s="4" t="str">
        <f>'IAA digestibility'!A249</f>
        <v>Pork</v>
      </c>
      <c r="B249" s="4" t="str">
        <f>'IAA digestibility'!B249</f>
        <v>Animal products</v>
      </c>
      <c r="C249" s="4">
        <f>'IAA digestibility'!C249</f>
        <v>24</v>
      </c>
      <c r="F249" s="4">
        <v>196.2</v>
      </c>
      <c r="G249" s="4">
        <v>2.2999999999999998</v>
      </c>
      <c r="H249" s="4">
        <v>8.3000000000000007</v>
      </c>
      <c r="I249" s="4">
        <v>9</v>
      </c>
      <c r="J249" s="4">
        <v>14.8</v>
      </c>
      <c r="K249" s="4">
        <v>15.5</v>
      </c>
      <c r="L249" s="4">
        <v>4.9000000000000004</v>
      </c>
      <c r="M249" s="4">
        <v>1.9</v>
      </c>
      <c r="N249" s="4">
        <v>7.8</v>
      </c>
      <c r="O249" s="4">
        <v>7.1</v>
      </c>
      <c r="P249" s="4">
        <v>9.6999999999999993</v>
      </c>
      <c r="Q249" s="4">
        <v>12.9</v>
      </c>
      <c r="R249" s="4">
        <v>6.2</v>
      </c>
      <c r="T249" s="10"/>
      <c r="V249" s="17">
        <f>G249*'IAA digestibility'!G249</f>
        <v>2.2999999999999998</v>
      </c>
      <c r="W249" s="17">
        <f>H249*'IAA digestibility'!H249</f>
        <v>7.8933</v>
      </c>
      <c r="X249" s="17">
        <f>I249*'IAA digestibility'!I249</f>
        <v>8.6669999999999998</v>
      </c>
      <c r="Y249" s="17">
        <f>J249*'IAA digestibility'!J249</f>
        <v>14.3264</v>
      </c>
      <c r="Z249" s="17">
        <f>K249*'IAA digestibility'!K249</f>
        <v>15.282999999999999</v>
      </c>
      <c r="AA249" s="17">
        <f>L249*'IAA digestibility'!L249</f>
        <v>4.7530000000000001</v>
      </c>
      <c r="AB249" s="17">
        <f>M249*'IAA digestibility'!M249</f>
        <v>1.4972000000000001</v>
      </c>
      <c r="AC249" s="17">
        <f>N249*'IAA digestibility'!N249</f>
        <v>7.4802</v>
      </c>
      <c r="AD249" s="17">
        <f>O249*'IAA digestibility'!O249</f>
        <v>6.7449999999999992</v>
      </c>
      <c r="AE249" s="17">
        <f>P249*'IAA digestibility'!P249</f>
        <v>9.3216999999999981</v>
      </c>
      <c r="AF249" s="17">
        <f>R249*'IAA digestibility'!R249</f>
        <v>6.0574000000000003</v>
      </c>
      <c r="AG249" s="10"/>
      <c r="AH249" s="17">
        <f t="shared" si="37"/>
        <v>11.722731906218144</v>
      </c>
      <c r="AI249" s="17">
        <f t="shared" si="38"/>
        <v>40.230886850152906</v>
      </c>
      <c r="AJ249" s="17">
        <f t="shared" si="39"/>
        <v>44.174311926605512</v>
      </c>
      <c r="AK249" s="17">
        <f t="shared" si="40"/>
        <v>73.019367991845058</v>
      </c>
      <c r="AL249" s="17">
        <f t="shared" si="41"/>
        <v>77.895005096839952</v>
      </c>
      <c r="AM249" s="17">
        <f t="shared" si="42"/>
        <v>31.85626911314985</v>
      </c>
      <c r="AN249" s="18">
        <f t="shared" si="43"/>
        <v>72.503567787971463</v>
      </c>
      <c r="AO249" s="17">
        <f t="shared" si="44"/>
        <v>47.511213047910289</v>
      </c>
      <c r="AP249" s="17">
        <f t="shared" si="45"/>
        <v>30.873598369011216</v>
      </c>
    </row>
    <row r="250" spans="1:43" s="4" customFormat="1" x14ac:dyDescent="0.25">
      <c r="A250" s="4" t="str">
        <f>'IAA digestibility'!A250</f>
        <v xml:space="preserve">Impossible burger </v>
      </c>
      <c r="B250" s="4" t="str">
        <f>'IAA digestibility'!B250</f>
        <v xml:space="preserve">Plant based </v>
      </c>
      <c r="C250" s="4">
        <f>'IAA digestibility'!C250</f>
        <v>24</v>
      </c>
      <c r="F250" s="4">
        <v>181</v>
      </c>
      <c r="G250" s="4">
        <v>2.2999999999999998</v>
      </c>
      <c r="H250" s="4">
        <v>6.8</v>
      </c>
      <c r="I250" s="4">
        <v>8.6999999999999993</v>
      </c>
      <c r="J250" s="4">
        <v>13.5</v>
      </c>
      <c r="K250" s="4">
        <v>10.199999999999999</v>
      </c>
      <c r="L250" s="4">
        <v>1.9</v>
      </c>
      <c r="M250" s="4">
        <v>3.5</v>
      </c>
      <c r="N250" s="4">
        <v>9.3000000000000007</v>
      </c>
      <c r="O250" s="4">
        <v>6.8</v>
      </c>
      <c r="P250" s="4">
        <v>9.4</v>
      </c>
      <c r="Q250" s="4">
        <v>11.1</v>
      </c>
      <c r="R250" s="4">
        <v>4.2</v>
      </c>
      <c r="T250" s="10"/>
      <c r="V250" s="17">
        <f>G250*'IAA digestibility'!G250</f>
        <v>2.2769999999999997</v>
      </c>
      <c r="W250" s="17">
        <f>H250*'IAA digestibility'!H250</f>
        <v>6.1336000000000004</v>
      </c>
      <c r="X250" s="17">
        <f>I250*'IAA digestibility'!I250</f>
        <v>8.1866999999999983</v>
      </c>
      <c r="Y250" s="17">
        <f>J250*'IAA digestibility'!J250</f>
        <v>12.676499999999999</v>
      </c>
      <c r="Z250" s="17">
        <f>K250*'IAA digestibility'!K250</f>
        <v>9.7715999999999994</v>
      </c>
      <c r="AA250" s="17">
        <f>L250*'IAA digestibility'!L250</f>
        <v>1.7992999999999999</v>
      </c>
      <c r="AB250" s="17">
        <f>M250*'IAA digestibility'!M250</f>
        <v>2.681</v>
      </c>
      <c r="AC250" s="17">
        <f>N250*'IAA digestibility'!N250</f>
        <v>8.8256999999999994</v>
      </c>
      <c r="AD250" s="17">
        <f>O250*'IAA digestibility'!O250</f>
        <v>6.4735999999999994</v>
      </c>
      <c r="AE250" s="17">
        <f>P250*'IAA digestibility'!P250</f>
        <v>8.7890000000000015</v>
      </c>
      <c r="AF250" s="17">
        <f>R250*'IAA digestibility'!R250</f>
        <v>4.0152000000000001</v>
      </c>
      <c r="AG250" s="10"/>
      <c r="AH250" s="17">
        <f t="shared" si="37"/>
        <v>12.580110497237568</v>
      </c>
      <c r="AI250" s="17">
        <f t="shared" si="38"/>
        <v>33.887292817679565</v>
      </c>
      <c r="AJ250" s="17">
        <f t="shared" si="39"/>
        <v>45.230386740331483</v>
      </c>
      <c r="AK250" s="17">
        <f t="shared" si="40"/>
        <v>70.035911602209936</v>
      </c>
      <c r="AL250" s="17">
        <f t="shared" si="41"/>
        <v>53.98674033149171</v>
      </c>
      <c r="AM250" s="17">
        <f t="shared" si="42"/>
        <v>24.753038674033146</v>
      </c>
      <c r="AN250" s="18">
        <f t="shared" si="43"/>
        <v>84.526519337016566</v>
      </c>
      <c r="AO250" s="17">
        <f t="shared" si="44"/>
        <v>48.558011049723767</v>
      </c>
      <c r="AP250" s="17">
        <f t="shared" si="45"/>
        <v>22.183425414364642</v>
      </c>
    </row>
    <row r="251" spans="1:43" s="4" customFormat="1" x14ac:dyDescent="0.25">
      <c r="A251" s="4" t="str">
        <f>'IAA digestibility'!A251</f>
        <v>Beyond burger</v>
      </c>
      <c r="B251" s="4" t="str">
        <f>'IAA digestibility'!B251</f>
        <v xml:space="preserve">Plant based </v>
      </c>
      <c r="C251" s="4">
        <f>'IAA digestibility'!C251</f>
        <v>24</v>
      </c>
      <c r="F251" s="4">
        <v>202.2</v>
      </c>
      <c r="G251" s="4">
        <v>1.8</v>
      </c>
      <c r="H251" s="4">
        <v>7.5</v>
      </c>
      <c r="I251" s="4">
        <v>10</v>
      </c>
      <c r="J251" s="4">
        <v>16.899999999999999</v>
      </c>
      <c r="K251" s="4">
        <v>13.6</v>
      </c>
      <c r="L251" s="4">
        <v>2.6</v>
      </c>
      <c r="M251" s="4">
        <v>2.7</v>
      </c>
      <c r="N251" s="4">
        <v>11.6</v>
      </c>
      <c r="O251" s="4">
        <v>7.8</v>
      </c>
      <c r="P251" s="4">
        <v>11.2</v>
      </c>
      <c r="Q251" s="4">
        <v>16.3</v>
      </c>
      <c r="R251" s="4">
        <v>5</v>
      </c>
      <c r="T251" s="10"/>
      <c r="V251" s="17">
        <f>G251*'IAA digestibility'!G251</f>
        <v>1.7604</v>
      </c>
      <c r="W251" s="17">
        <f>H251*'IAA digestibility'!H251</f>
        <v>6.4349999999999996</v>
      </c>
      <c r="X251" s="17">
        <f>I251*'IAA digestibility'!I251</f>
        <v>9.01</v>
      </c>
      <c r="Y251" s="17">
        <f>J251*'IAA digestibility'!J251</f>
        <v>15.209999999999999</v>
      </c>
      <c r="Z251" s="17">
        <f>K251*'IAA digestibility'!K251</f>
        <v>12.811199999999999</v>
      </c>
      <c r="AA251" s="17">
        <f>L251*'IAA digestibility'!L251</f>
        <v>2.1814</v>
      </c>
      <c r="AB251" s="17">
        <f>M251*'IAA digestibility'!M251</f>
        <v>1.7280000000000002</v>
      </c>
      <c r="AC251" s="17">
        <f>N251*'IAA digestibility'!N251</f>
        <v>10.6488</v>
      </c>
      <c r="AD251" s="17">
        <f>O251*'IAA digestibility'!O251</f>
        <v>7.1370000000000005</v>
      </c>
      <c r="AE251" s="17">
        <f>P251*'IAA digestibility'!P251</f>
        <v>9.9567999999999994</v>
      </c>
      <c r="AF251" s="17">
        <f>R251*'IAA digestibility'!R251</f>
        <v>4.49</v>
      </c>
      <c r="AG251" s="10"/>
      <c r="AH251" s="17">
        <f t="shared" ref="AH251:AH262" si="55">(V251/$F251)*1000</f>
        <v>8.7062314540059358</v>
      </c>
      <c r="AI251" s="17">
        <f t="shared" ref="AI251:AI262" si="56">(W251/$F251)*1000</f>
        <v>31.82492581602374</v>
      </c>
      <c r="AJ251" s="17">
        <f t="shared" ref="AJ251:AJ262" si="57">(X251/$F251)*1000</f>
        <v>44.559841740850651</v>
      </c>
      <c r="AK251" s="17">
        <f t="shared" ref="AK251:AK262" si="58">(Y251/$F251)*1000</f>
        <v>75.222551928783389</v>
      </c>
      <c r="AL251" s="17">
        <f t="shared" ref="AL251:AL262" si="59">(Z251/$F251)*1000</f>
        <v>63.359050445103854</v>
      </c>
      <c r="AM251" s="17">
        <f t="shared" ref="AM251:AM262" si="60">((AA251+AB251)/$F251)*1000</f>
        <v>19.334322453016817</v>
      </c>
      <c r="AN251" s="18">
        <f t="shared" ref="AN251:AN262" si="61">((AC251+AD251)/$F251)*1000</f>
        <v>87.961424332344237</v>
      </c>
      <c r="AO251" s="17">
        <f t="shared" ref="AO251:AO262" si="62">(AE251/$F251)*1000</f>
        <v>49.242334322453011</v>
      </c>
      <c r="AP251" s="17">
        <f t="shared" ref="AP251:AP262" si="63">(AF251/$F251)*1000</f>
        <v>22.205736894164197</v>
      </c>
    </row>
    <row r="252" spans="1:43" s="4" customFormat="1" x14ac:dyDescent="0.25">
      <c r="A252" s="4" t="str">
        <f>'IAA digestibility'!A252</f>
        <v xml:space="preserve">Burger bun </v>
      </c>
      <c r="B252" s="4" t="str">
        <f>'IAA digestibility'!B252</f>
        <v xml:space="preserve">Cereals &amp; cereal products </v>
      </c>
      <c r="C252" s="4">
        <f>'IAA digestibility'!C252</f>
        <v>24</v>
      </c>
      <c r="F252" s="4">
        <v>121</v>
      </c>
      <c r="G252" s="4">
        <v>1.3</v>
      </c>
      <c r="H252" s="4">
        <v>3.2</v>
      </c>
      <c r="I252" s="4">
        <v>4.5</v>
      </c>
      <c r="J252" s="4">
        <v>7.8</v>
      </c>
      <c r="K252" s="4">
        <v>2.8</v>
      </c>
      <c r="L252" s="4">
        <v>1.8</v>
      </c>
      <c r="M252" s="4">
        <v>2.5</v>
      </c>
      <c r="N252" s="4">
        <v>5.9</v>
      </c>
      <c r="O252" s="4">
        <v>3.3</v>
      </c>
      <c r="P252" s="4">
        <v>5</v>
      </c>
      <c r="Q252" s="4">
        <v>4.2</v>
      </c>
      <c r="R252" s="4">
        <v>2.4</v>
      </c>
      <c r="T252" s="10"/>
      <c r="V252" s="17">
        <f>G252*'IAA digestibility'!G252</f>
        <v>1.2323999999999999</v>
      </c>
      <c r="W252" s="17">
        <f>H252*'IAA digestibility'!H252</f>
        <v>2.8256000000000001</v>
      </c>
      <c r="X252" s="17">
        <f>I252*'IAA digestibility'!I252</f>
        <v>4.1085000000000003</v>
      </c>
      <c r="Y252" s="17">
        <f>J252*'IAA digestibility'!J252</f>
        <v>7.2696000000000005</v>
      </c>
      <c r="Z252" s="17">
        <f>K252*'IAA digestibility'!K252</f>
        <v>1.7891999999999999</v>
      </c>
      <c r="AA252" s="17">
        <f>L252*'IAA digestibility'!L252</f>
        <v>1.6740000000000002</v>
      </c>
      <c r="AB252" s="17">
        <f>M252*'IAA digestibility'!M252</f>
        <v>2.29</v>
      </c>
      <c r="AC252" s="17">
        <f>N252*'IAA digestibility'!N252</f>
        <v>5.5518999999999998</v>
      </c>
      <c r="AD252" s="17">
        <f>O252*'IAA digestibility'!O252</f>
        <v>2.9600999999999997</v>
      </c>
      <c r="AE252" s="17">
        <f>P252*'IAA digestibility'!P252</f>
        <v>4.51</v>
      </c>
      <c r="AF252" s="17">
        <f>R252*'IAA digestibility'!R252</f>
        <v>2.2176</v>
      </c>
      <c r="AG252" s="10"/>
      <c r="AH252" s="17">
        <f t="shared" si="55"/>
        <v>10.185123966942148</v>
      </c>
      <c r="AI252" s="17">
        <f t="shared" si="56"/>
        <v>23.352066115702481</v>
      </c>
      <c r="AJ252" s="17">
        <f t="shared" si="57"/>
        <v>33.95454545454546</v>
      </c>
      <c r="AK252" s="17">
        <f t="shared" si="58"/>
        <v>60.079338842975211</v>
      </c>
      <c r="AL252" s="17">
        <f t="shared" si="59"/>
        <v>14.786776859504132</v>
      </c>
      <c r="AM252" s="17">
        <f t="shared" si="60"/>
        <v>32.760330578512402</v>
      </c>
      <c r="AN252" s="18">
        <f t="shared" si="61"/>
        <v>70.347107438016536</v>
      </c>
      <c r="AO252" s="17">
        <f t="shared" si="62"/>
        <v>37.272727272727273</v>
      </c>
      <c r="AP252" s="17">
        <f t="shared" si="63"/>
        <v>18.327272727272728</v>
      </c>
    </row>
    <row r="253" spans="1:43" s="4" customFormat="1" x14ac:dyDescent="0.25">
      <c r="A253" s="4" t="str">
        <f>'IAA digestibility'!A253</f>
        <v>Beef, lean (80%) + burger bun</v>
      </c>
      <c r="B253" s="4" t="str">
        <f>'IAA digestibility'!B253</f>
        <v>Mixed food (animal + cereal product)</v>
      </c>
      <c r="C253" s="4">
        <f>'IAA digestibility'!C253</f>
        <v>24</v>
      </c>
      <c r="T253" s="10"/>
      <c r="V253" s="17"/>
      <c r="W253" s="17"/>
      <c r="X253" s="17"/>
      <c r="Y253" s="17"/>
      <c r="Z253" s="17"/>
      <c r="AA253" s="17"/>
      <c r="AB253" s="17"/>
      <c r="AC253" s="17"/>
      <c r="AD253" s="17"/>
      <c r="AE253" s="17"/>
      <c r="AF253" s="17"/>
      <c r="AG253" s="10"/>
      <c r="AH253" s="17"/>
      <c r="AI253" s="17"/>
      <c r="AJ253" s="17"/>
      <c r="AK253" s="17"/>
      <c r="AL253" s="17"/>
      <c r="AM253" s="17"/>
      <c r="AN253" s="18"/>
      <c r="AO253" s="17"/>
      <c r="AP253" s="17"/>
      <c r="AQ253" s="4" t="s">
        <v>429</v>
      </c>
    </row>
    <row r="254" spans="1:43" s="4" customFormat="1" x14ac:dyDescent="0.25">
      <c r="A254" s="4" t="str">
        <f>'IAA digestibility'!A254</f>
        <v>Pork + burger bun</v>
      </c>
      <c r="B254" s="4" t="str">
        <f>'IAA digestibility'!B254</f>
        <v>Mixed food (animal + cereal product)</v>
      </c>
      <c r="C254" s="4">
        <f>'IAA digestibility'!C254</f>
        <v>24</v>
      </c>
      <c r="T254" s="10"/>
      <c r="V254" s="17"/>
      <c r="W254" s="17"/>
      <c r="X254" s="17"/>
      <c r="Y254" s="17"/>
      <c r="Z254" s="17"/>
      <c r="AA254" s="17"/>
      <c r="AB254" s="17"/>
      <c r="AC254" s="17"/>
      <c r="AD254" s="17"/>
      <c r="AE254" s="17"/>
      <c r="AF254" s="17"/>
      <c r="AG254" s="10"/>
      <c r="AH254" s="17"/>
      <c r="AI254" s="17"/>
      <c r="AJ254" s="17"/>
      <c r="AK254" s="17"/>
      <c r="AL254" s="17"/>
      <c r="AM254" s="17"/>
      <c r="AN254" s="18"/>
      <c r="AO254" s="17"/>
      <c r="AP254" s="17"/>
      <c r="AQ254" s="4" t="s">
        <v>429</v>
      </c>
    </row>
    <row r="255" spans="1:43" s="4" customFormat="1" x14ac:dyDescent="0.25">
      <c r="A255" s="4" t="str">
        <f>'IAA digestibility'!A255</f>
        <v>Impossible burger + burger bun</v>
      </c>
      <c r="B255" s="4" t="str">
        <f>'IAA digestibility'!B255</f>
        <v>Mixed food (plant based)</v>
      </c>
      <c r="C255" s="4">
        <f>'IAA digestibility'!C255</f>
        <v>24</v>
      </c>
      <c r="T255" s="10"/>
      <c r="V255" s="17"/>
      <c r="W255" s="17"/>
      <c r="X255" s="17"/>
      <c r="Y255" s="17"/>
      <c r="Z255" s="17"/>
      <c r="AA255" s="17"/>
      <c r="AB255" s="17"/>
      <c r="AC255" s="17"/>
      <c r="AD255" s="17"/>
      <c r="AE255" s="17"/>
      <c r="AF255" s="17"/>
      <c r="AG255" s="10"/>
      <c r="AH255" s="17"/>
      <c r="AI255" s="17"/>
      <c r="AJ255" s="17"/>
      <c r="AK255" s="17"/>
      <c r="AL255" s="17"/>
      <c r="AM255" s="17"/>
      <c r="AN255" s="18"/>
      <c r="AO255" s="17"/>
      <c r="AP255" s="17"/>
      <c r="AQ255" s="4" t="s">
        <v>429</v>
      </c>
    </row>
    <row r="256" spans="1:43" s="4" customFormat="1" x14ac:dyDescent="0.25">
      <c r="A256" s="4" t="str">
        <f>'IAA digestibility'!A256</f>
        <v>Millet</v>
      </c>
      <c r="B256" s="4" t="str">
        <f>'IAA digestibility'!B256</f>
        <v xml:space="preserve">Cereals &amp; cereal products </v>
      </c>
      <c r="C256" s="4">
        <f>'IAA digestibility'!C256</f>
        <v>25</v>
      </c>
      <c r="T256" s="10"/>
      <c r="V256" s="17"/>
      <c r="W256" s="17"/>
      <c r="X256" s="17"/>
      <c r="Y256" s="17"/>
      <c r="Z256" s="17"/>
      <c r="AA256" s="17"/>
      <c r="AB256" s="17"/>
      <c r="AC256" s="17"/>
      <c r="AD256" s="17"/>
      <c r="AE256" s="17"/>
      <c r="AF256" s="17"/>
      <c r="AG256" s="10"/>
      <c r="AH256" s="17"/>
      <c r="AI256" s="17"/>
      <c r="AJ256" s="17"/>
      <c r="AK256" s="17"/>
      <c r="AL256" s="17"/>
      <c r="AM256" s="17"/>
      <c r="AN256" s="18"/>
      <c r="AO256" s="17"/>
      <c r="AP256" s="17"/>
      <c r="AQ256" s="4" t="s">
        <v>432</v>
      </c>
    </row>
    <row r="257" spans="1:43" s="4" customFormat="1" x14ac:dyDescent="0.25">
      <c r="A257" s="4" t="str">
        <f>'IAA digestibility'!A257</f>
        <v>Adlay (Chinese pearl barley)</v>
      </c>
      <c r="B257" s="4" t="str">
        <f>'IAA digestibility'!B257</f>
        <v xml:space="preserve">Cereals &amp; cereal products </v>
      </c>
      <c r="C257" s="4">
        <f>'IAA digestibility'!C257</f>
        <v>25</v>
      </c>
      <c r="T257" s="10"/>
      <c r="V257" s="17"/>
      <c r="W257" s="17"/>
      <c r="X257" s="17"/>
      <c r="Y257" s="17"/>
      <c r="Z257" s="17"/>
      <c r="AA257" s="17"/>
      <c r="AB257" s="17"/>
      <c r="AC257" s="17"/>
      <c r="AD257" s="17"/>
      <c r="AE257" s="17"/>
      <c r="AF257" s="17"/>
      <c r="AG257" s="10"/>
      <c r="AH257" s="17"/>
      <c r="AI257" s="17"/>
      <c r="AJ257" s="17"/>
      <c r="AK257" s="17"/>
      <c r="AL257" s="17"/>
      <c r="AM257" s="17"/>
      <c r="AN257" s="18"/>
      <c r="AO257" s="17"/>
      <c r="AP257" s="17"/>
      <c r="AQ257" s="4" t="s">
        <v>432</v>
      </c>
    </row>
    <row r="258" spans="1:43" s="4" customFormat="1" x14ac:dyDescent="0.25">
      <c r="A258" s="4" t="str">
        <f>'IAA digestibility'!A258</f>
        <v>Mung bean (32%) + millet (68%)</v>
      </c>
      <c r="B258" s="4" t="str">
        <f>'IAA digestibility'!B258</f>
        <v>Mixed food (cereal + legume)</v>
      </c>
      <c r="C258" s="4">
        <f>'IAA digestibility'!C258</f>
        <v>25</v>
      </c>
      <c r="T258" s="10"/>
      <c r="V258" s="17"/>
      <c r="W258" s="17"/>
      <c r="X258" s="17"/>
      <c r="Y258" s="17"/>
      <c r="Z258" s="17"/>
      <c r="AA258" s="17"/>
      <c r="AB258" s="17"/>
      <c r="AC258" s="17"/>
      <c r="AD258" s="17"/>
      <c r="AE258" s="17"/>
      <c r="AF258" s="17"/>
      <c r="AG258" s="10"/>
      <c r="AH258" s="17"/>
      <c r="AI258" s="17"/>
      <c r="AJ258" s="17"/>
      <c r="AK258" s="17"/>
      <c r="AL258" s="17"/>
      <c r="AM258" s="17"/>
      <c r="AN258" s="18"/>
      <c r="AO258" s="17"/>
      <c r="AP258" s="17"/>
      <c r="AQ258" s="4" t="s">
        <v>432</v>
      </c>
    </row>
    <row r="259" spans="1:43" s="4" customFormat="1" x14ac:dyDescent="0.25">
      <c r="A259" s="4" t="str">
        <f>'IAA digestibility'!A259</f>
        <v>Adzuki bean (40%)+ adlay (Chinese pearl barley) (60%)</v>
      </c>
      <c r="B259" s="4" t="str">
        <f>'IAA digestibility'!B259</f>
        <v>Mixed food (cereal + legume)</v>
      </c>
      <c r="C259" s="4">
        <f>'IAA digestibility'!C259</f>
        <v>25</v>
      </c>
      <c r="T259" s="10"/>
      <c r="V259" s="17"/>
      <c r="W259" s="17"/>
      <c r="X259" s="17"/>
      <c r="Y259" s="17"/>
      <c r="Z259" s="17"/>
      <c r="AA259" s="17"/>
      <c r="AB259" s="17"/>
      <c r="AC259" s="17"/>
      <c r="AD259" s="17"/>
      <c r="AE259" s="17"/>
      <c r="AF259" s="17"/>
      <c r="AG259" s="10"/>
      <c r="AH259" s="17"/>
      <c r="AI259" s="17"/>
      <c r="AJ259" s="17"/>
      <c r="AK259" s="17"/>
      <c r="AL259" s="17"/>
      <c r="AM259" s="17"/>
      <c r="AN259" s="18"/>
      <c r="AO259" s="17"/>
      <c r="AP259" s="17"/>
      <c r="AQ259" s="4" t="s">
        <v>432</v>
      </c>
    </row>
    <row r="260" spans="1:43" s="4" customFormat="1" x14ac:dyDescent="0.25">
      <c r="A260" s="4" t="str">
        <f>'IAA digestibility'!A260</f>
        <v>Cornflakes (Kelloggs company)</v>
      </c>
      <c r="B260" s="4" t="str">
        <f>'IAA digestibility'!B260</f>
        <v xml:space="preserve">Cereals &amp; cereal products </v>
      </c>
      <c r="C260" s="4">
        <f>'IAA digestibility'!C260</f>
        <v>26</v>
      </c>
      <c r="F260" s="4">
        <v>58.5</v>
      </c>
      <c r="G260" s="4">
        <v>0.3</v>
      </c>
      <c r="H260" s="4">
        <v>1.9</v>
      </c>
      <c r="I260" s="4">
        <v>2.4</v>
      </c>
      <c r="J260" s="4">
        <v>9.1999999999999993</v>
      </c>
      <c r="K260" s="4">
        <v>0.7</v>
      </c>
      <c r="L260" s="4">
        <v>1.1000000000000001</v>
      </c>
      <c r="M260" s="4">
        <v>1.1000000000000001</v>
      </c>
      <c r="N260" s="4">
        <v>3.4</v>
      </c>
      <c r="O260" s="4">
        <v>2.6</v>
      </c>
      <c r="P260" s="4">
        <v>2.8</v>
      </c>
      <c r="Q260" s="4">
        <v>1.5</v>
      </c>
      <c r="R260" s="4">
        <v>1.7</v>
      </c>
      <c r="T260" s="10"/>
      <c r="V260" s="17">
        <f>G260*'IAA digestibility'!G260</f>
        <v>0.2742</v>
      </c>
      <c r="W260" s="17">
        <f>H260*'IAA digestibility'!H260</f>
        <v>1.7688999999999999</v>
      </c>
      <c r="X260" s="17">
        <f>I260*'IAA digestibility'!I260</f>
        <v>2.2200000000000002</v>
      </c>
      <c r="Y260" s="17">
        <f>J260*'IAA digestibility'!J260</f>
        <v>8.9147999999999996</v>
      </c>
      <c r="Z260" s="17">
        <f>K260*'IAA digestibility'!K260</f>
        <v>0.54530000000000001</v>
      </c>
      <c r="AA260" s="17">
        <f>L260*'IAA digestibility'!L260</f>
        <v>1.0747</v>
      </c>
      <c r="AB260" s="17">
        <f>M260*'IAA digestibility'!M260</f>
        <v>1.0186000000000002</v>
      </c>
      <c r="AC260" s="17">
        <f>N260*'IAA digestibility'!N260</f>
        <v>3.2231999999999998</v>
      </c>
      <c r="AD260" s="17">
        <f>O260*'IAA digestibility'!O260</f>
        <v>2.4803999999999999</v>
      </c>
      <c r="AE260" s="17">
        <f>P260*'IAA digestibility'!P260</f>
        <v>2.6403999999999996</v>
      </c>
      <c r="AF260" s="17">
        <f>R260*'IAA digestibility'!R260</f>
        <v>1.4908999999999999</v>
      </c>
      <c r="AG260" s="10"/>
      <c r="AH260" s="17">
        <f t="shared" si="55"/>
        <v>4.6871794871794874</v>
      </c>
      <c r="AI260" s="17">
        <f t="shared" si="56"/>
        <v>30.237606837606833</v>
      </c>
      <c r="AJ260" s="17">
        <f t="shared" si="57"/>
        <v>37.948717948717949</v>
      </c>
      <c r="AK260" s="17">
        <f t="shared" si="58"/>
        <v>152.38974358974357</v>
      </c>
      <c r="AL260" s="17">
        <f t="shared" si="59"/>
        <v>9.3213675213675202</v>
      </c>
      <c r="AM260" s="17">
        <f t="shared" si="60"/>
        <v>35.78290598290598</v>
      </c>
      <c r="AN260" s="18">
        <f t="shared" si="61"/>
        <v>97.497435897435892</v>
      </c>
      <c r="AO260" s="17">
        <f t="shared" si="62"/>
        <v>45.135042735042731</v>
      </c>
      <c r="AP260" s="17">
        <f t="shared" si="63"/>
        <v>25.485470085470084</v>
      </c>
    </row>
    <row r="261" spans="1:43" s="4" customFormat="1" x14ac:dyDescent="0.25">
      <c r="A261" s="4" t="str">
        <f>'IAA digestibility'!A261</f>
        <v>Quick Oats</v>
      </c>
      <c r="B261" s="4" t="str">
        <f>'IAA digestibility'!B261</f>
        <v xml:space="preserve">Cereals &amp; cereal products </v>
      </c>
      <c r="C261" s="4">
        <f>'IAA digestibility'!C261</f>
        <v>26</v>
      </c>
      <c r="F261" s="4">
        <v>166.3</v>
      </c>
      <c r="G261" s="4">
        <v>1.8</v>
      </c>
      <c r="H261" s="4">
        <v>5.0999999999999996</v>
      </c>
      <c r="I261" s="4">
        <v>6.3</v>
      </c>
      <c r="J261" s="4">
        <v>11.9</v>
      </c>
      <c r="K261" s="4">
        <v>6.5</v>
      </c>
      <c r="L261" s="4">
        <v>2.6</v>
      </c>
      <c r="M261" s="4">
        <v>5</v>
      </c>
      <c r="N261" s="4">
        <v>8.6</v>
      </c>
      <c r="O261" s="4">
        <v>5.6</v>
      </c>
      <c r="P261" s="4">
        <v>8.3000000000000007</v>
      </c>
      <c r="Q261" s="4">
        <v>10.6</v>
      </c>
      <c r="R261" s="4">
        <v>3.6</v>
      </c>
      <c r="T261" s="10"/>
      <c r="V261" s="17">
        <f>G261*'IAA digestibility'!G261</f>
        <v>1.5336000000000001</v>
      </c>
      <c r="W261" s="17">
        <f>H261*'IAA digestibility'!H261</f>
        <v>4.3196999999999992</v>
      </c>
      <c r="X261" s="17">
        <f>I261*'IAA digestibility'!I261</f>
        <v>5.4620999999999995</v>
      </c>
      <c r="Y261" s="17">
        <f>J261*'IAA digestibility'!J261</f>
        <v>10.4839</v>
      </c>
      <c r="Z261" s="17">
        <f>K261*'IAA digestibility'!K261</f>
        <v>5.3754999999999997</v>
      </c>
      <c r="AA261" s="17">
        <f>L261*'IAA digestibility'!L261</f>
        <v>2.3088000000000002</v>
      </c>
      <c r="AB261" s="17">
        <f>M261*'IAA digestibility'!M261</f>
        <v>4.4800000000000004</v>
      </c>
      <c r="AC261" s="17">
        <f>N261*'IAA digestibility'!N261</f>
        <v>7.6023999999999994</v>
      </c>
      <c r="AD261" s="17">
        <f>O261*'IAA digestibility'!O261</f>
        <v>4.9335999999999993</v>
      </c>
      <c r="AE261" s="17">
        <f>P261*'IAA digestibility'!P261</f>
        <v>7.1297000000000006</v>
      </c>
      <c r="AF261" s="17">
        <f>R261*'IAA digestibility'!R261</f>
        <v>3.15</v>
      </c>
      <c r="AG261" s="10"/>
      <c r="AH261" s="17">
        <f t="shared" si="55"/>
        <v>9.2218881539386643</v>
      </c>
      <c r="AI261" s="17">
        <f t="shared" si="56"/>
        <v>25.975345760673477</v>
      </c>
      <c r="AJ261" s="17">
        <f t="shared" si="57"/>
        <v>32.844858689116052</v>
      </c>
      <c r="AK261" s="17">
        <f t="shared" si="58"/>
        <v>63.0420926037282</v>
      </c>
      <c r="AL261" s="17">
        <f t="shared" si="59"/>
        <v>32.324113048707154</v>
      </c>
      <c r="AM261" s="17">
        <f t="shared" si="60"/>
        <v>40.822609741431151</v>
      </c>
      <c r="AN261" s="18">
        <f t="shared" si="61"/>
        <v>75.381840048105815</v>
      </c>
      <c r="AO261" s="17">
        <f t="shared" si="62"/>
        <v>42.872519542994588</v>
      </c>
      <c r="AP261" s="17">
        <f t="shared" si="63"/>
        <v>18.941671677690916</v>
      </c>
    </row>
    <row r="262" spans="1:43" s="4" customFormat="1" x14ac:dyDescent="0.25">
      <c r="A262" s="4" t="str">
        <f>'IAA digestibility'!A262</f>
        <v>milk, dried, non fat</v>
      </c>
      <c r="B262" s="4" t="str">
        <f>'IAA digestibility'!B262</f>
        <v>Animal products</v>
      </c>
      <c r="C262" s="4">
        <f>'IAA digestibility'!C262</f>
        <v>26</v>
      </c>
      <c r="F262" s="4">
        <v>343</v>
      </c>
      <c r="G262" s="4">
        <v>5</v>
      </c>
      <c r="H262" s="4">
        <v>14.4</v>
      </c>
      <c r="I262" s="4">
        <v>18.600000000000001</v>
      </c>
      <c r="J262" s="4">
        <v>33.799999999999997</v>
      </c>
      <c r="K262" s="4">
        <v>28.1</v>
      </c>
      <c r="L262" s="4">
        <v>8.6</v>
      </c>
      <c r="M262" s="4">
        <v>2.9</v>
      </c>
      <c r="N262" s="4">
        <v>17.100000000000001</v>
      </c>
      <c r="O262" s="4">
        <v>16.600000000000001</v>
      </c>
      <c r="P262" s="4">
        <v>22</v>
      </c>
      <c r="Q262" s="4">
        <v>11.8</v>
      </c>
      <c r="R262" s="4">
        <v>9.6999999999999993</v>
      </c>
      <c r="T262" s="10"/>
      <c r="V262" s="17">
        <f>G262*'IAA digestibility'!G262</f>
        <v>4.84</v>
      </c>
      <c r="W262" s="17">
        <f>H262*'IAA digestibility'!H262</f>
        <v>13.766399999999999</v>
      </c>
      <c r="X262" s="17">
        <f>I262*'IAA digestibility'!I262</f>
        <v>17.744399999999999</v>
      </c>
      <c r="Y262" s="17">
        <f>J262*'IAA digestibility'!J262</f>
        <v>33.326799999999999</v>
      </c>
      <c r="Z262" s="17">
        <f>K262*'IAA digestibility'!K262</f>
        <v>27.060300000000002</v>
      </c>
      <c r="AA262" s="17">
        <f>L262*'IAA digestibility'!L262</f>
        <v>8.4710000000000001</v>
      </c>
      <c r="AB262" s="17">
        <f>M262*'IAA digestibility'!M262</f>
        <v>2.8738999999999999</v>
      </c>
      <c r="AC262" s="17">
        <f>N262*'IAA digestibility'!N262</f>
        <v>16.9803</v>
      </c>
      <c r="AD262" s="17">
        <f>O262*'IAA digestibility'!O262</f>
        <v>16.434000000000001</v>
      </c>
      <c r="AE262" s="17">
        <f>P262*'IAA digestibility'!P262</f>
        <v>21.251999999999999</v>
      </c>
      <c r="AF262" s="17">
        <f>R262*'IAA digestibility'!R262</f>
        <v>9.6320999999999994</v>
      </c>
      <c r="AG262" s="10"/>
      <c r="AH262" s="17">
        <f t="shared" si="55"/>
        <v>14.110787172011662</v>
      </c>
      <c r="AI262" s="17">
        <f t="shared" si="56"/>
        <v>40.135276967930025</v>
      </c>
      <c r="AJ262" s="17">
        <f t="shared" si="57"/>
        <v>51.732944606413994</v>
      </c>
      <c r="AK262" s="17">
        <f t="shared" si="58"/>
        <v>97.16268221574343</v>
      </c>
      <c r="AL262" s="17">
        <f t="shared" si="59"/>
        <v>78.893002915451902</v>
      </c>
      <c r="AM262" s="17">
        <f t="shared" si="60"/>
        <v>33.075510204081631</v>
      </c>
      <c r="AN262" s="18">
        <f t="shared" si="61"/>
        <v>97.417784256559756</v>
      </c>
      <c r="AO262" s="17">
        <f t="shared" si="62"/>
        <v>61.959183673469383</v>
      </c>
      <c r="AP262" s="17">
        <f t="shared" si="63"/>
        <v>28.081924198250725</v>
      </c>
    </row>
    <row r="263" spans="1:43" s="4" customFormat="1" x14ac:dyDescent="0.25">
      <c r="A263" s="4" t="str">
        <f>'IAA digestibility'!A263</f>
        <v>Cornflakes + dry milk (ratio of mix 2.6:1)</v>
      </c>
      <c r="B263" s="4" t="str">
        <f>'IAA digestibility'!B263</f>
        <v>Mixed food (cereal + animal product)</v>
      </c>
      <c r="C263" s="4">
        <f>'IAA digestibility'!C263</f>
        <v>26</v>
      </c>
      <c r="T263" s="10"/>
      <c r="V263" s="17"/>
      <c r="W263" s="17"/>
      <c r="X263" s="17"/>
      <c r="Y263" s="17"/>
      <c r="Z263" s="17"/>
      <c r="AA263" s="17"/>
      <c r="AB263" s="17"/>
      <c r="AC263" s="17"/>
      <c r="AD263" s="17"/>
      <c r="AE263" s="17"/>
      <c r="AF263" s="17"/>
      <c r="AG263" s="10"/>
      <c r="AH263" s="17"/>
      <c r="AI263" s="17"/>
      <c r="AJ263" s="17"/>
      <c r="AK263" s="17"/>
      <c r="AL263" s="17"/>
      <c r="AM263" s="17"/>
      <c r="AN263" s="18"/>
      <c r="AO263" s="17"/>
      <c r="AP263" s="17"/>
      <c r="AQ263" s="4" t="s">
        <v>440</v>
      </c>
    </row>
    <row r="264" spans="1:43" s="4" customFormat="1" x14ac:dyDescent="0.25">
      <c r="A264" s="4" t="str">
        <f>'IAA digestibility'!A264</f>
        <v>Quick oats + dry milk (ratio  of mix 2.4:1)</v>
      </c>
      <c r="B264" s="4" t="str">
        <f>'IAA digestibility'!B264</f>
        <v>Mixed food (cereal + animal product)</v>
      </c>
      <c r="C264" s="4">
        <f>'IAA digestibility'!C264</f>
        <v>26</v>
      </c>
      <c r="T264" s="10"/>
      <c r="V264" s="17"/>
      <c r="W264" s="17"/>
      <c r="X264" s="17"/>
      <c r="Y264" s="17"/>
      <c r="Z264" s="17"/>
      <c r="AA264" s="17"/>
      <c r="AB264" s="17"/>
      <c r="AC264" s="17"/>
      <c r="AD264" s="17"/>
      <c r="AE264" s="17"/>
      <c r="AF264" s="17"/>
      <c r="AG264" s="10"/>
      <c r="AH264" s="17"/>
      <c r="AI264" s="17"/>
      <c r="AJ264" s="17"/>
      <c r="AK264" s="17"/>
      <c r="AL264" s="17"/>
      <c r="AM264" s="17"/>
      <c r="AN264" s="18"/>
      <c r="AO264" s="17"/>
      <c r="AP264" s="17"/>
      <c r="AQ264" s="4" t="s">
        <v>440</v>
      </c>
    </row>
    <row r="265" spans="1:43" s="4" customFormat="1" x14ac:dyDescent="0.25">
      <c r="A265" s="4" t="str">
        <f>'IAA digestibility'!A265</f>
        <v>Pinto bean (served with corn tortilla and guacamole)</v>
      </c>
      <c r="B265" s="4" t="str">
        <f>'IAA digestibility'!A265</f>
        <v>Pinto bean (served with corn tortilla and guacamole)</v>
      </c>
      <c r="C265" s="4">
        <f>'IAA digestibility'!C265</f>
        <v>27</v>
      </c>
      <c r="T265" s="10"/>
      <c r="V265" s="17"/>
      <c r="W265" s="17"/>
      <c r="X265" s="17"/>
      <c r="Y265" s="17"/>
      <c r="Z265" s="17"/>
      <c r="AA265" s="17"/>
      <c r="AB265" s="17"/>
      <c r="AC265" s="17"/>
      <c r="AD265" s="17"/>
      <c r="AE265" s="17"/>
      <c r="AF265" s="17"/>
      <c r="AG265" s="10"/>
      <c r="AH265" s="17"/>
      <c r="AI265" s="17">
        <v>32</v>
      </c>
      <c r="AJ265" s="17">
        <v>33.299999999999997</v>
      </c>
      <c r="AK265" s="17">
        <v>74.3</v>
      </c>
      <c r="AL265" s="17">
        <v>52.9</v>
      </c>
      <c r="AM265" s="17">
        <v>19.100000000000001</v>
      </c>
      <c r="AN265" s="18">
        <v>55.2</v>
      </c>
      <c r="AO265" s="17">
        <v>38.9</v>
      </c>
      <c r="AP265" s="17"/>
      <c r="AQ265" s="4" t="s">
        <v>454</v>
      </c>
    </row>
    <row r="266" spans="1:43" s="4" customFormat="1" x14ac:dyDescent="0.25">
      <c r="A266" s="4" t="str">
        <f>'IAA digestibility'!A266</f>
        <v>Salami (fully coked, cured and fermented), includes pok and pork hearts</v>
      </c>
      <c r="B266" s="4" t="str">
        <f>'IAA digestibility'!A266</f>
        <v>Salami (fully coked, cured and fermented), includes pok and pork hearts</v>
      </c>
      <c r="C266" s="4">
        <f>'IAA digestibility'!C266</f>
        <v>28</v>
      </c>
      <c r="F266" s="4">
        <v>170.8</v>
      </c>
      <c r="G266" s="4">
        <v>2</v>
      </c>
      <c r="H266" s="4">
        <v>6.9</v>
      </c>
      <c r="I266" s="4">
        <v>7.9</v>
      </c>
      <c r="J266" s="4">
        <v>13</v>
      </c>
      <c r="K266" s="4">
        <v>13.4</v>
      </c>
      <c r="L266" s="4">
        <v>3.3</v>
      </c>
      <c r="M266" s="4">
        <v>2</v>
      </c>
      <c r="N266" s="4">
        <v>6.7</v>
      </c>
      <c r="O266" s="4">
        <v>6.2</v>
      </c>
      <c r="P266" s="4">
        <v>8.6</v>
      </c>
      <c r="Q266" s="4">
        <v>10.4</v>
      </c>
      <c r="R266" s="4">
        <v>5.6</v>
      </c>
      <c r="T266" s="10"/>
      <c r="V266" s="17">
        <f>G266*'IAA digestibility'!G266</f>
        <v>1.9239999999999999</v>
      </c>
      <c r="W266" s="17">
        <f>H266*'IAA digestibility'!H266</f>
        <v>6.6239999999999997</v>
      </c>
      <c r="X266" s="17">
        <f>I266*'IAA digestibility'!I266</f>
        <v>7.5524000000000004</v>
      </c>
      <c r="Y266" s="17">
        <f>J266*'IAA digestibility'!J266</f>
        <v>12.506</v>
      </c>
      <c r="Z266" s="17">
        <f>K266*'IAA digestibility'!K266</f>
        <v>12.904199999999999</v>
      </c>
      <c r="AA266" s="17">
        <f>L266*'IAA digestibility'!L266</f>
        <v>3.1712999999999996</v>
      </c>
      <c r="AB266" s="17">
        <f>M266*'IAA digestibility'!M266</f>
        <v>1.82</v>
      </c>
      <c r="AC266" s="17">
        <f>N266*'IAA digestibility'!N266</f>
        <v>6.3917999999999999</v>
      </c>
      <c r="AD266" s="17">
        <f>O266*'IAA digestibility'!O266</f>
        <v>5.9458000000000002</v>
      </c>
      <c r="AE266" s="17">
        <f>P266*'IAA digestibility'!P266</f>
        <v>8.2302</v>
      </c>
      <c r="AF266" s="17">
        <f>R266*'IAA digestibility'!R266</f>
        <v>5.3367999999999993</v>
      </c>
      <c r="AG266" s="10"/>
      <c r="AH266" s="17">
        <f t="shared" ref="AH266" si="64">(V266/$F266)*1000</f>
        <v>11.264637002341919</v>
      </c>
      <c r="AI266" s="17">
        <f t="shared" ref="AI266" si="65">(W266/$F266)*1000</f>
        <v>38.782201405152222</v>
      </c>
      <c r="AJ266" s="17">
        <f t="shared" ref="AJ266" si="66">(X266/$F266)*1000</f>
        <v>44.217798594847778</v>
      </c>
      <c r="AK266" s="17">
        <f t="shared" ref="AK266" si="67">(Y266/$F266)*1000</f>
        <v>73.220140515222482</v>
      </c>
      <c r="AL266" s="17">
        <f t="shared" ref="AL266" si="68">(Z266/$F266)*1000</f>
        <v>75.551522248243543</v>
      </c>
      <c r="AM266" s="17">
        <f t="shared" ref="AM266" si="69">((AA266+AB266)/$F266)*1000</f>
        <v>29.223067915690866</v>
      </c>
      <c r="AN266" s="18">
        <f t="shared" ref="AN266" si="70">((AC266+AD266)/$F266)*1000</f>
        <v>72.23419203747072</v>
      </c>
      <c r="AO266" s="17">
        <f t="shared" ref="AO266" si="71">(AE266/$F266)*1000</f>
        <v>48.186182669789225</v>
      </c>
      <c r="AP266" s="17">
        <f t="shared" ref="AP266" si="72">(AF266/$F266)*1000</f>
        <v>31.245901639344257</v>
      </c>
    </row>
    <row r="267" spans="1:43" s="4" customFormat="1" x14ac:dyDescent="0.25">
      <c r="A267" s="4" t="str">
        <f>'IAA digestibility'!A267</f>
        <v>Bologna (fully cooked and cured), includes pork and beef</v>
      </c>
      <c r="B267" s="4" t="str">
        <f>'IAA digestibility'!A267</f>
        <v>Bologna (fully cooked and cured), includes pork and beef</v>
      </c>
      <c r="C267" s="4">
        <f>'IAA digestibility'!C267</f>
        <v>28</v>
      </c>
      <c r="F267" s="4">
        <v>119.3</v>
      </c>
      <c r="G267" s="4">
        <v>1.8</v>
      </c>
      <c r="H267" s="4">
        <v>5.4</v>
      </c>
      <c r="I267" s="4">
        <v>6</v>
      </c>
      <c r="J267" s="4">
        <v>9.6999999999999993</v>
      </c>
      <c r="K267" s="4">
        <v>10.3</v>
      </c>
      <c r="L267" s="4">
        <v>2.6</v>
      </c>
      <c r="M267" s="4">
        <v>1.5</v>
      </c>
      <c r="N267" s="4">
        <v>5.0999999999999996</v>
      </c>
      <c r="O267" s="4">
        <v>4.9000000000000004</v>
      </c>
      <c r="P267" s="4">
        <v>6.5</v>
      </c>
      <c r="Q267" s="4">
        <v>7.9</v>
      </c>
      <c r="R267" s="4">
        <v>4.5999999999999996</v>
      </c>
      <c r="T267" s="10"/>
      <c r="V267" s="17">
        <f>G267*'IAA digestibility'!G267</f>
        <v>1.7622</v>
      </c>
      <c r="W267" s="17">
        <f>H267*'IAA digestibility'!H267</f>
        <v>5.1246</v>
      </c>
      <c r="X267" s="17">
        <f>I267*'IAA digestibility'!I267</f>
        <v>5.79</v>
      </c>
      <c r="Y267" s="17">
        <f>J267*'IAA digestibility'!J267</f>
        <v>9.3798999999999992</v>
      </c>
      <c r="Z267" s="17">
        <f>K267*'IAA digestibility'!K267</f>
        <v>9.9703999999999997</v>
      </c>
      <c r="AA267" s="17">
        <f>L267*'IAA digestibility'!L267</f>
        <v>2.5064000000000002</v>
      </c>
      <c r="AB267" s="17">
        <f>M267*'IAA digestibility'!M267</f>
        <v>1.3605</v>
      </c>
      <c r="AC267" s="17">
        <f>N267*'IAA digestibility'!N267</f>
        <v>4.9010999999999996</v>
      </c>
      <c r="AD267" s="17">
        <f>O267*'IAA digestibility'!O267</f>
        <v>4.7039999999999997</v>
      </c>
      <c r="AE267" s="17">
        <f>P267*'IAA digestibility'!P267</f>
        <v>6.2204999999999995</v>
      </c>
      <c r="AF267" s="17">
        <f>R267*'IAA digestibility'!R267</f>
        <v>4.4573999999999998</v>
      </c>
      <c r="AG267" s="10"/>
      <c r="AH267" s="17">
        <f t="shared" ref="AH267:AH292" si="73">(V267/$F267)*1000</f>
        <v>14.77116512992456</v>
      </c>
      <c r="AI267" s="17">
        <f t="shared" ref="AI267:AI292" si="74">(W267/$F267)*1000</f>
        <v>42.955574182732612</v>
      </c>
      <c r="AJ267" s="17">
        <f t="shared" ref="AJ267:AJ292" si="75">(X267/$F267)*1000</f>
        <v>48.533109807208724</v>
      </c>
      <c r="AK267" s="17">
        <f t="shared" ref="AK267:AK292" si="76">(Y267/$F267)*1000</f>
        <v>78.624476110645418</v>
      </c>
      <c r="AL267" s="17">
        <f t="shared" ref="AL267:AL292" si="77">(Z267/$F267)*1000</f>
        <v>83.574182732606872</v>
      </c>
      <c r="AM267" s="17">
        <f t="shared" ref="AM267:AM292" si="78">((AA267+AB267)/$F267)*1000</f>
        <v>32.413243922883488</v>
      </c>
      <c r="AN267" s="18">
        <f t="shared" ref="AN267:AN292" si="79">((AC267+AD267)/$F267)*1000</f>
        <v>80.512154233025996</v>
      </c>
      <c r="AO267" s="17">
        <f t="shared" ref="AO267:AO292" si="80">(AE267/$F267)*1000</f>
        <v>52.141659681475275</v>
      </c>
      <c r="AP267" s="17">
        <f t="shared" ref="AP267:AP292" si="81">(AF267/$F267)*1000</f>
        <v>37.362950544844928</v>
      </c>
    </row>
    <row r="268" spans="1:43" s="4" customFormat="1" x14ac:dyDescent="0.25">
      <c r="A268" s="4" t="str">
        <f>'IAA digestibility'!A268</f>
        <v xml:space="preserve">Beef jerky </v>
      </c>
      <c r="B268" s="4" t="str">
        <f>'IAA digestibility'!A268</f>
        <v xml:space="preserve">Beef jerky </v>
      </c>
      <c r="C268" s="4">
        <f>'IAA digestibility'!C268</f>
        <v>28</v>
      </c>
      <c r="F268" s="4">
        <v>488.6</v>
      </c>
      <c r="G268" s="4">
        <v>6.7</v>
      </c>
      <c r="H268" s="4">
        <v>21.5</v>
      </c>
      <c r="I268" s="4">
        <v>25.4</v>
      </c>
      <c r="J268" s="4">
        <v>40.299999999999997</v>
      </c>
      <c r="K268" s="4">
        <v>43.5</v>
      </c>
      <c r="L268" s="4">
        <v>9</v>
      </c>
      <c r="M268" s="4">
        <v>5.3</v>
      </c>
      <c r="N268" s="4">
        <v>20.399999999999999</v>
      </c>
      <c r="O268" s="4">
        <v>20.6</v>
      </c>
      <c r="P268" s="4">
        <v>25.6</v>
      </c>
      <c r="Q268" s="4">
        <v>30.4</v>
      </c>
      <c r="R268" s="4">
        <v>19.5</v>
      </c>
      <c r="T268" s="10"/>
      <c r="V268" s="17">
        <f>G268*'IAA digestibility'!G268</f>
        <v>6.4923000000000002</v>
      </c>
      <c r="W268" s="17">
        <f>H268*'IAA digestibility'!H268</f>
        <v>20.683</v>
      </c>
      <c r="X268" s="17">
        <f>I268*'IAA digestibility'!I268</f>
        <v>24.561799999999998</v>
      </c>
      <c r="Y268" s="17">
        <f>J268*'IAA digestibility'!J268</f>
        <v>39.171599999999998</v>
      </c>
      <c r="Z268" s="17">
        <f>K268*'IAA digestibility'!K268</f>
        <v>41.933999999999997</v>
      </c>
      <c r="AA268" s="17">
        <f>L268*'IAA digestibility'!L268</f>
        <v>8.73</v>
      </c>
      <c r="AB268" s="17">
        <f>M268*'IAA digestibility'!M268</f>
        <v>4.7647000000000004</v>
      </c>
      <c r="AC268" s="17">
        <f>N268*'IAA digestibility'!N268</f>
        <v>19.685999999999996</v>
      </c>
      <c r="AD268" s="17">
        <f>O268*'IAA digestibility'!O268</f>
        <v>19.981999999999999</v>
      </c>
      <c r="AE268" s="17">
        <f>P268*'IAA digestibility'!P268</f>
        <v>24.6784</v>
      </c>
      <c r="AF268" s="17">
        <f>R268*'IAA digestibility'!R268</f>
        <v>18.681000000000001</v>
      </c>
      <c r="AG268" s="10"/>
      <c r="AH268" s="17">
        <f t="shared" si="73"/>
        <v>13.287556283258288</v>
      </c>
      <c r="AI268" s="17">
        <f t="shared" si="74"/>
        <v>42.33115022513303</v>
      </c>
      <c r="AJ268" s="17">
        <f t="shared" si="75"/>
        <v>50.26975030699959</v>
      </c>
      <c r="AK268" s="17">
        <f t="shared" si="76"/>
        <v>80.171101105198531</v>
      </c>
      <c r="AL268" s="17">
        <f t="shared" si="77"/>
        <v>85.824805566925903</v>
      </c>
      <c r="AM268" s="17">
        <f t="shared" si="78"/>
        <v>27.619115841178878</v>
      </c>
      <c r="AN268" s="18">
        <f t="shared" si="79"/>
        <v>81.187065083913197</v>
      </c>
      <c r="AO268" s="17">
        <f t="shared" si="80"/>
        <v>50.508391322144902</v>
      </c>
      <c r="AP268" s="17">
        <f t="shared" si="81"/>
        <v>38.233729021694643</v>
      </c>
    </row>
    <row r="269" spans="1:43" s="4" customFormat="1" x14ac:dyDescent="0.25">
      <c r="A269" s="4" t="str">
        <f>'IAA digestibility'!A269</f>
        <v>Beef, ground, raw</v>
      </c>
      <c r="B269" s="4" t="str">
        <f>'IAA digestibility'!A269</f>
        <v>Beef, ground, raw</v>
      </c>
      <c r="C269" s="4">
        <f>'IAA digestibility'!C269</f>
        <v>28</v>
      </c>
      <c r="F269" s="4">
        <v>181.1</v>
      </c>
      <c r="G269" s="4">
        <v>1.7</v>
      </c>
      <c r="H269" s="4">
        <v>7.5</v>
      </c>
      <c r="I269" s="4">
        <v>8.4</v>
      </c>
      <c r="J269" s="4">
        <v>13.6</v>
      </c>
      <c r="K269" s="4">
        <v>15</v>
      </c>
      <c r="L269" s="4">
        <v>4.5</v>
      </c>
      <c r="M269" s="4">
        <v>2</v>
      </c>
      <c r="N269" s="4">
        <v>7.3</v>
      </c>
      <c r="O269" s="4">
        <v>6.6</v>
      </c>
      <c r="P269" s="4">
        <v>9</v>
      </c>
      <c r="Q269" s="4">
        <v>12.6</v>
      </c>
      <c r="R269" s="4">
        <v>5.7</v>
      </c>
      <c r="T269" s="10"/>
      <c r="V269" s="17">
        <f>G269*'IAA digestibility'!G269</f>
        <v>1.6694</v>
      </c>
      <c r="W269" s="17">
        <f>H269*'IAA digestibility'!H269</f>
        <v>7.4024999999999999</v>
      </c>
      <c r="X269" s="17">
        <f>I269*'IAA digestibility'!I269</f>
        <v>8.1983999999999995</v>
      </c>
      <c r="Y269" s="17">
        <f>J269*'IAA digestibility'!J269</f>
        <v>13.395999999999999</v>
      </c>
      <c r="Z269" s="17">
        <f>K269*'IAA digestibility'!K269</f>
        <v>14.76</v>
      </c>
      <c r="AA269" s="17">
        <f>L269*'IAA digestibility'!L269</f>
        <v>4.3964999999999996</v>
      </c>
      <c r="AB269" s="17">
        <f>M269*'IAA digestibility'!M269</f>
        <v>1.92</v>
      </c>
      <c r="AC269" s="17">
        <f>N269*'IAA digestibility'!N269</f>
        <v>7.1539999999999999</v>
      </c>
      <c r="AD269" s="17">
        <f>O269*'IAA digestibility'!O269</f>
        <v>6.5339999999999998</v>
      </c>
      <c r="AE269" s="17">
        <f>P269*'IAA digestibility'!P269</f>
        <v>8.766</v>
      </c>
      <c r="AF269" s="17">
        <f>R269*'IAA digestibility'!R269</f>
        <v>5.6315999999999997</v>
      </c>
      <c r="AG269" s="10"/>
      <c r="AH269" s="17">
        <f t="shared" si="73"/>
        <v>9.218111540585312</v>
      </c>
      <c r="AI269" s="17">
        <f t="shared" si="74"/>
        <v>40.875207067918282</v>
      </c>
      <c r="AJ269" s="17">
        <f t="shared" si="75"/>
        <v>45.270016565433458</v>
      </c>
      <c r="AK269" s="17">
        <f t="shared" si="76"/>
        <v>73.970182219768077</v>
      </c>
      <c r="AL269" s="17">
        <f t="shared" si="77"/>
        <v>81.501932633903934</v>
      </c>
      <c r="AM269" s="17">
        <f t="shared" si="78"/>
        <v>34.878520154610712</v>
      </c>
      <c r="AN269" s="18">
        <f t="shared" si="79"/>
        <v>75.582551076753177</v>
      </c>
      <c r="AO269" s="17">
        <f t="shared" si="80"/>
        <v>48.404196576477084</v>
      </c>
      <c r="AP269" s="17">
        <f t="shared" si="81"/>
        <v>31.096631695196024</v>
      </c>
    </row>
    <row r="270" spans="1:43" s="4" customFormat="1" x14ac:dyDescent="0.25">
      <c r="A270" s="4" t="str">
        <f>'IAA digestibility'!A270</f>
        <v>Beef, ground, cooked</v>
      </c>
      <c r="B270" s="4" t="str">
        <f>'IAA digestibility'!A270</f>
        <v>Beef, ground, cooked</v>
      </c>
      <c r="C270" s="4">
        <f>'IAA digestibility'!C270</f>
        <v>28</v>
      </c>
      <c r="F270" s="4">
        <v>305.60000000000002</v>
      </c>
      <c r="G270" s="4">
        <v>3.1</v>
      </c>
      <c r="H270" s="4">
        <v>10.3</v>
      </c>
      <c r="I270" s="4">
        <v>11.6</v>
      </c>
      <c r="J270" s="4">
        <v>19.100000000000001</v>
      </c>
      <c r="K270" s="4">
        <v>21</v>
      </c>
      <c r="L270" s="4">
        <v>6</v>
      </c>
      <c r="M270" s="4">
        <v>2.5</v>
      </c>
      <c r="N270" s="4">
        <v>10.1</v>
      </c>
      <c r="O270" s="4">
        <v>9.6999999999999993</v>
      </c>
      <c r="P270" s="4">
        <v>12.7</v>
      </c>
      <c r="Q270" s="4">
        <v>16.8</v>
      </c>
      <c r="R270" s="4">
        <v>7.7</v>
      </c>
      <c r="T270" s="10"/>
      <c r="V270" s="17">
        <f>G270*'IAA digestibility'!G270</f>
        <v>3.0255999999999998</v>
      </c>
      <c r="W270" s="17">
        <f>H270*'IAA digestibility'!H270</f>
        <v>9.9497999999999998</v>
      </c>
      <c r="X270" s="17">
        <f>I270*'IAA digestibility'!I270</f>
        <v>11.1708</v>
      </c>
      <c r="Y270" s="17">
        <f>J270*'IAA digestibility'!J270</f>
        <v>18.527000000000001</v>
      </c>
      <c r="Z270" s="17">
        <f>K270*'IAA digestibility'!K270</f>
        <v>20.201999999999998</v>
      </c>
      <c r="AA270" s="17">
        <f>L270*'IAA digestibility'!L270</f>
        <v>5.7959999999999994</v>
      </c>
      <c r="AB270" s="17">
        <f>M270*'IAA digestibility'!M270</f>
        <v>2.2075</v>
      </c>
      <c r="AC270" s="17">
        <f>N270*'IAA digestibility'!N270</f>
        <v>9.7161999999999988</v>
      </c>
      <c r="AD270" s="17">
        <f>O270*'IAA digestibility'!O270</f>
        <v>9.4380999999999986</v>
      </c>
      <c r="AE270" s="17">
        <f>P270*'IAA digestibility'!P270</f>
        <v>12.2555</v>
      </c>
      <c r="AF270" s="17">
        <f>R270*'IAA digestibility'!R270</f>
        <v>7.4227999999999996</v>
      </c>
      <c r="AG270" s="10"/>
      <c r="AH270" s="17">
        <f t="shared" si="73"/>
        <v>9.9005235602094235</v>
      </c>
      <c r="AI270" s="17">
        <f t="shared" si="74"/>
        <v>32.558246073298427</v>
      </c>
      <c r="AJ270" s="17">
        <f t="shared" si="75"/>
        <v>36.553664921465966</v>
      </c>
      <c r="AK270" s="17">
        <f t="shared" si="76"/>
        <v>60.625</v>
      </c>
      <c r="AL270" s="17">
        <f t="shared" si="77"/>
        <v>66.106020942408364</v>
      </c>
      <c r="AM270" s="17">
        <f t="shared" si="78"/>
        <v>26.189463350785335</v>
      </c>
      <c r="AN270" s="18">
        <f t="shared" si="79"/>
        <v>62.677683246073286</v>
      </c>
      <c r="AO270" s="17">
        <f t="shared" si="80"/>
        <v>40.103075916230367</v>
      </c>
      <c r="AP270" s="17">
        <f t="shared" si="81"/>
        <v>24.289267015706805</v>
      </c>
    </row>
    <row r="271" spans="1:43" s="4" customFormat="1" x14ac:dyDescent="0.25">
      <c r="A271" s="4" t="str">
        <f>'IAA digestibility'!A271</f>
        <v>ribeye roast, medium rare (cooked to 56oC)</v>
      </c>
      <c r="B271" s="4" t="str">
        <f>'IAA digestibility'!A271</f>
        <v>ribeye roast, medium rare (cooked to 56oC)</v>
      </c>
      <c r="C271" s="4">
        <f>'IAA digestibility'!C271</f>
        <v>28</v>
      </c>
      <c r="F271" s="4">
        <v>244</v>
      </c>
      <c r="G271" s="4">
        <v>2.8</v>
      </c>
      <c r="H271" s="4">
        <v>9.5</v>
      </c>
      <c r="I271" s="4">
        <v>10.8</v>
      </c>
      <c r="J271" s="4">
        <v>17.399999999999999</v>
      </c>
      <c r="K271" s="4">
        <v>19.399999999999999</v>
      </c>
      <c r="L271" s="4">
        <v>5.5</v>
      </c>
      <c r="M271" s="4">
        <v>2.4</v>
      </c>
      <c r="N271" s="4">
        <v>9</v>
      </c>
      <c r="O271" s="4">
        <v>9.3000000000000007</v>
      </c>
      <c r="P271" s="4">
        <v>11.2</v>
      </c>
      <c r="Q271" s="4">
        <v>14.1</v>
      </c>
      <c r="R271" s="4">
        <v>7.5</v>
      </c>
      <c r="T271" s="10"/>
      <c r="V271" s="17">
        <f>G271*'IAA digestibility'!G271</f>
        <v>2.7187999999999999</v>
      </c>
      <c r="W271" s="17">
        <f>H271*'IAA digestibility'!H271</f>
        <v>9.1865000000000006</v>
      </c>
      <c r="X271" s="17">
        <f>I271*'IAA digestibility'!I271</f>
        <v>10.476000000000001</v>
      </c>
      <c r="Y271" s="17">
        <f>J271*'IAA digestibility'!J271</f>
        <v>16.999799999999997</v>
      </c>
      <c r="Z271" s="17">
        <f>K271*'IAA digestibility'!K271</f>
        <v>18.953799999999998</v>
      </c>
      <c r="AA271" s="17">
        <f>L271*'IAA digestibility'!L271</f>
        <v>5.3624999999999998</v>
      </c>
      <c r="AB271" s="17">
        <f>M271*'IAA digestibility'!M271</f>
        <v>2.1528</v>
      </c>
      <c r="AC271" s="17">
        <f>N271*'IAA digestibility'!N271</f>
        <v>8.73</v>
      </c>
      <c r="AD271" s="17">
        <f>O271*'IAA digestibility'!O271</f>
        <v>9.1140000000000008</v>
      </c>
      <c r="AE271" s="17">
        <f>P271*'IAA digestibility'!P271</f>
        <v>10.852799999999998</v>
      </c>
      <c r="AF271" s="17">
        <f>R271*'IAA digestibility'!R271</f>
        <v>7.2974999999999994</v>
      </c>
      <c r="AG271" s="10"/>
      <c r="AH271" s="17">
        <f t="shared" si="73"/>
        <v>11.142622950819671</v>
      </c>
      <c r="AI271" s="17">
        <f t="shared" si="74"/>
        <v>37.649590163934427</v>
      </c>
      <c r="AJ271" s="17">
        <f t="shared" si="75"/>
        <v>42.934426229508205</v>
      </c>
      <c r="AK271" s="17">
        <f t="shared" si="76"/>
        <v>69.671311475409823</v>
      </c>
      <c r="AL271" s="17">
        <f t="shared" si="77"/>
        <v>77.679508196721301</v>
      </c>
      <c r="AM271" s="17">
        <f t="shared" si="78"/>
        <v>30.800409836065572</v>
      </c>
      <c r="AN271" s="18">
        <f t="shared" si="79"/>
        <v>73.131147540983619</v>
      </c>
      <c r="AO271" s="17">
        <f t="shared" si="80"/>
        <v>44.478688524590162</v>
      </c>
      <c r="AP271" s="17">
        <f t="shared" si="81"/>
        <v>29.907786885245901</v>
      </c>
    </row>
    <row r="272" spans="1:43" s="4" customFormat="1" x14ac:dyDescent="0.25">
      <c r="A272" s="4" t="str">
        <f>'IAA digestibility'!A272</f>
        <v>ribeye roast, medium (cooked to 64oC)</v>
      </c>
      <c r="B272" s="4" t="str">
        <f>'IAA digestibility'!A272</f>
        <v>ribeye roast, medium (cooked to 64oC)</v>
      </c>
      <c r="C272" s="4">
        <f>'IAA digestibility'!C272</f>
        <v>28</v>
      </c>
      <c r="F272" s="4">
        <v>264.2</v>
      </c>
      <c r="G272" s="4">
        <v>3.3</v>
      </c>
      <c r="H272" s="4">
        <v>12.2</v>
      </c>
      <c r="I272" s="4">
        <v>14.1</v>
      </c>
      <c r="J272" s="4">
        <v>22.4</v>
      </c>
      <c r="K272" s="4">
        <v>24.7</v>
      </c>
      <c r="L272" s="4">
        <v>7.4</v>
      </c>
      <c r="M272" s="4">
        <v>3.1</v>
      </c>
      <c r="N272" s="4">
        <v>11.5</v>
      </c>
      <c r="O272" s="4">
        <v>11.4</v>
      </c>
      <c r="P272" s="4">
        <v>14.5</v>
      </c>
      <c r="Q272" s="4">
        <v>17.600000000000001</v>
      </c>
      <c r="R272" s="4">
        <v>9.3000000000000007</v>
      </c>
      <c r="T272" s="10"/>
      <c r="V272" s="17">
        <f>G272*'IAA digestibility'!G272</f>
        <v>3.1283999999999996</v>
      </c>
      <c r="W272" s="17">
        <f>H272*'IAA digestibility'!H272</f>
        <v>11.480199999999998</v>
      </c>
      <c r="X272" s="17">
        <f>I272*'IAA digestibility'!I272</f>
        <v>13.536</v>
      </c>
      <c r="Y272" s="17">
        <f>J272*'IAA digestibility'!J272</f>
        <v>21.526399999999999</v>
      </c>
      <c r="Z272" s="17">
        <f>K272*'IAA digestibility'!K272</f>
        <v>23.736699999999999</v>
      </c>
      <c r="AA272" s="17">
        <f>L272*'IAA digestibility'!L272</f>
        <v>7.1484000000000005</v>
      </c>
      <c r="AB272" s="17">
        <f>M272*'IAA digestibility'!M272</f>
        <v>2.7218</v>
      </c>
      <c r="AC272" s="17">
        <f>N272*'IAA digestibility'!N272</f>
        <v>10.9595</v>
      </c>
      <c r="AD272" s="17">
        <f>O272*'IAA digestibility'!O272</f>
        <v>10.989599999999999</v>
      </c>
      <c r="AE272" s="17">
        <f>P272*'IAA digestibility'!P272</f>
        <v>13.731499999999999</v>
      </c>
      <c r="AF272" s="17">
        <f>R272*'IAA digestibility'!R272</f>
        <v>8.9187000000000012</v>
      </c>
      <c r="AG272" s="10"/>
      <c r="AH272" s="17">
        <f t="shared" si="73"/>
        <v>11.841029523088569</v>
      </c>
      <c r="AI272" s="17">
        <f t="shared" si="74"/>
        <v>43.452687358062072</v>
      </c>
      <c r="AJ272" s="17">
        <f t="shared" si="75"/>
        <v>51.233913701741109</v>
      </c>
      <c r="AK272" s="17">
        <f t="shared" si="76"/>
        <v>81.477668433005306</v>
      </c>
      <c r="AL272" s="17">
        <f t="shared" si="77"/>
        <v>89.843679031037098</v>
      </c>
      <c r="AM272" s="17">
        <f t="shared" si="78"/>
        <v>37.35881907645723</v>
      </c>
      <c r="AN272" s="18">
        <f t="shared" si="79"/>
        <v>83.0775927327782</v>
      </c>
      <c r="AO272" s="17">
        <f t="shared" si="80"/>
        <v>51.973883421650264</v>
      </c>
      <c r="AP272" s="17">
        <f t="shared" si="81"/>
        <v>33.757380772142326</v>
      </c>
    </row>
    <row r="273" spans="1:42" s="4" customFormat="1" x14ac:dyDescent="0.25">
      <c r="A273" s="4" t="str">
        <f>'IAA digestibility'!A273</f>
        <v>ribeye roast, well-done (ccoked to 72oC)</v>
      </c>
      <c r="B273" s="4" t="str">
        <f>'IAA digestibility'!A273</f>
        <v>ribeye roast, well-done (ccoked to 72oC)</v>
      </c>
      <c r="C273" s="4">
        <f>'IAA digestibility'!C273</f>
        <v>28</v>
      </c>
      <c r="D273" s="35"/>
      <c r="F273" s="4">
        <v>262.7</v>
      </c>
      <c r="G273" s="4">
        <v>2.6</v>
      </c>
      <c r="H273" s="4">
        <v>9.6</v>
      </c>
      <c r="I273" s="4">
        <v>11.1</v>
      </c>
      <c r="J273" s="4">
        <v>17.600000000000001</v>
      </c>
      <c r="K273" s="4">
        <v>19.5</v>
      </c>
      <c r="L273" s="4">
        <v>5.6</v>
      </c>
      <c r="M273" s="4">
        <v>2.5</v>
      </c>
      <c r="N273" s="4">
        <v>9.1999999999999993</v>
      </c>
      <c r="O273" s="4">
        <v>9.3000000000000007</v>
      </c>
      <c r="P273" s="4">
        <v>11.6</v>
      </c>
      <c r="Q273" s="4">
        <v>14.2</v>
      </c>
      <c r="R273" s="4">
        <v>7.4</v>
      </c>
      <c r="T273" s="10"/>
      <c r="V273" s="17">
        <f>G273*'IAA digestibility'!G273</f>
        <v>2.548</v>
      </c>
      <c r="W273" s="17">
        <f>H273*'IAA digestibility'!H273</f>
        <v>9.2639999999999993</v>
      </c>
      <c r="X273" s="17">
        <f>I273*'IAA digestibility'!I273</f>
        <v>10.7226</v>
      </c>
      <c r="Y273" s="17">
        <f>J273*'IAA digestibility'!J273</f>
        <v>17.107200000000002</v>
      </c>
      <c r="Z273" s="17">
        <f>K273*'IAA digestibility'!K273</f>
        <v>18.8565</v>
      </c>
      <c r="AA273" s="17">
        <f>L273*'IAA digestibility'!L273</f>
        <v>5.4319999999999995</v>
      </c>
      <c r="AB273" s="17">
        <f>M273*'IAA digestibility'!M273</f>
        <v>2.23</v>
      </c>
      <c r="AC273" s="17">
        <f>N273*'IAA digestibility'!N273</f>
        <v>8.8779999999999983</v>
      </c>
      <c r="AD273" s="17">
        <f>O273*'IAA digestibility'!O273</f>
        <v>9.0768000000000004</v>
      </c>
      <c r="AE273" s="17">
        <f>P273*'IAA digestibility'!P273</f>
        <v>11.193999999999999</v>
      </c>
      <c r="AF273" s="17">
        <f>R273*'IAA digestibility'!R273</f>
        <v>7.1261999999999999</v>
      </c>
      <c r="AG273" s="10"/>
      <c r="AH273" s="17">
        <f t="shared" si="73"/>
        <v>9.6992767415302641</v>
      </c>
      <c r="AI273" s="17">
        <f t="shared" si="74"/>
        <v>35.264560334982868</v>
      </c>
      <c r="AJ273" s="17">
        <f t="shared" si="75"/>
        <v>40.816901408450704</v>
      </c>
      <c r="AK273" s="17">
        <f t="shared" si="76"/>
        <v>65.12066996574039</v>
      </c>
      <c r="AL273" s="17">
        <f t="shared" si="77"/>
        <v>71.779596497906354</v>
      </c>
      <c r="AM273" s="17">
        <f t="shared" si="78"/>
        <v>29.166349448039586</v>
      </c>
      <c r="AN273" s="18">
        <f t="shared" si="79"/>
        <v>68.347164065473919</v>
      </c>
      <c r="AO273" s="17">
        <f t="shared" si="80"/>
        <v>42.611343738104303</v>
      </c>
      <c r="AP273" s="17">
        <f t="shared" si="81"/>
        <v>27.126760563380284</v>
      </c>
    </row>
    <row r="274" spans="1:42" s="4" customFormat="1" x14ac:dyDescent="0.25">
      <c r="A274" s="4" t="str">
        <f>'IAA digestibility'!A274</f>
        <v>pork belly, raw</v>
      </c>
      <c r="B274" s="4" t="str">
        <f>'IAA digestibility'!A274</f>
        <v>pork belly, raw</v>
      </c>
      <c r="C274" s="4">
        <v>29</v>
      </c>
      <c r="D274" s="35"/>
      <c r="F274" s="35">
        <v>164.6</v>
      </c>
      <c r="G274" s="4">
        <v>1.6</v>
      </c>
      <c r="H274" s="4">
        <v>7.3</v>
      </c>
      <c r="I274" s="4">
        <v>7.7</v>
      </c>
      <c r="J274" s="4">
        <v>12.5</v>
      </c>
      <c r="K274" s="4">
        <v>14.1</v>
      </c>
      <c r="L274" s="4">
        <v>4.2</v>
      </c>
      <c r="M274" s="4">
        <v>1.9</v>
      </c>
      <c r="N274" s="4">
        <v>6.6</v>
      </c>
      <c r="O274" s="4">
        <v>7.1</v>
      </c>
      <c r="P274" s="4">
        <v>8</v>
      </c>
      <c r="Q274" s="4">
        <v>10.9</v>
      </c>
      <c r="R274" s="4">
        <v>5.9</v>
      </c>
      <c r="T274" s="10"/>
      <c r="V274" s="17">
        <f>G274*'IAA digestibility'!G274</f>
        <v>1.5840000000000001</v>
      </c>
      <c r="W274" s="17">
        <f>H274*'IAA digestibility'!H274</f>
        <v>7.1393999999999993</v>
      </c>
      <c r="X274" s="17">
        <f>I274*'IAA digestibility'!I274</f>
        <v>7.5305999999999997</v>
      </c>
      <c r="Y274" s="17">
        <f>J274*'IAA digestibility'!J274</f>
        <v>12.25</v>
      </c>
      <c r="Z274" s="17">
        <f>K274*'IAA digestibility'!K274</f>
        <v>13.888499999999999</v>
      </c>
      <c r="AA274" s="17">
        <f>L274*'IAA digestibility'!L274</f>
        <v>4.1159999999999997</v>
      </c>
      <c r="AB274" s="17">
        <f>M274*'IAA digestibility'!M274</f>
        <v>1.7594000000000001</v>
      </c>
      <c r="AC274" s="17">
        <f>N274*'IAA digestibility'!N274</f>
        <v>6.4415999999999993</v>
      </c>
      <c r="AD274" s="17">
        <f>O274*'IAA digestibility'!O274</f>
        <v>6.9579999999999993</v>
      </c>
      <c r="AE274" s="17">
        <f>P274*'IAA digestibility'!P274</f>
        <v>7.76</v>
      </c>
      <c r="AF274" s="17">
        <f>R274*'IAA digestibility'!R274</f>
        <v>5.8115000000000006</v>
      </c>
      <c r="AG274" s="10"/>
      <c r="AH274" s="17">
        <f t="shared" si="73"/>
        <v>9.6233292831105715</v>
      </c>
      <c r="AI274" s="17">
        <f t="shared" si="74"/>
        <v>43.374240583232073</v>
      </c>
      <c r="AJ274" s="17">
        <f t="shared" si="75"/>
        <v>45.750911300121508</v>
      </c>
      <c r="AK274" s="17">
        <f t="shared" si="76"/>
        <v>74.422843256379096</v>
      </c>
      <c r="AL274" s="17">
        <f t="shared" si="77"/>
        <v>84.37727825030376</v>
      </c>
      <c r="AM274" s="17">
        <f t="shared" si="78"/>
        <v>35.695018226002432</v>
      </c>
      <c r="AN274" s="18">
        <f t="shared" si="79"/>
        <v>81.407047387606312</v>
      </c>
      <c r="AO274" s="17">
        <f t="shared" si="80"/>
        <v>47.144592952612392</v>
      </c>
      <c r="AP274" s="17">
        <f t="shared" si="81"/>
        <v>35.306804374240585</v>
      </c>
    </row>
    <row r="275" spans="1:42" s="4" customFormat="1" x14ac:dyDescent="0.25">
      <c r="A275" s="4" t="str">
        <f>'IAA digestibility'!A275</f>
        <v>Bacon, smoked</v>
      </c>
      <c r="B275" s="4" t="str">
        <f>'IAA digestibility'!A275</f>
        <v>Bacon, smoked</v>
      </c>
      <c r="C275" s="4">
        <v>29</v>
      </c>
      <c r="F275" s="35">
        <v>191.5</v>
      </c>
      <c r="G275" s="4">
        <v>2.4</v>
      </c>
      <c r="H275" s="4">
        <v>8.3000000000000007</v>
      </c>
      <c r="I275" s="4">
        <v>8.8000000000000007</v>
      </c>
      <c r="J275" s="4">
        <v>14.5</v>
      </c>
      <c r="K275" s="4">
        <v>16.100000000000001</v>
      </c>
      <c r="L275" s="4">
        <v>3.9</v>
      </c>
      <c r="M275" s="4">
        <v>2.1</v>
      </c>
      <c r="N275" s="4">
        <v>7.6</v>
      </c>
      <c r="O275" s="4">
        <v>8.1</v>
      </c>
      <c r="P275" s="4">
        <v>9.4</v>
      </c>
      <c r="Q275" s="4">
        <v>12</v>
      </c>
      <c r="R275" s="4">
        <v>7.6</v>
      </c>
      <c r="T275" s="10"/>
      <c r="V275" s="17">
        <f>G275*'IAA digestibility'!G275</f>
        <v>2.3327999999999998</v>
      </c>
      <c r="W275" s="17">
        <f>H275*'IAA digestibility'!H275</f>
        <v>7.9514000000000005</v>
      </c>
      <c r="X275" s="17">
        <f>I275*'IAA digestibility'!I275</f>
        <v>8.5007999999999999</v>
      </c>
      <c r="Y275" s="17">
        <f>J275*'IAA digestibility'!J275</f>
        <v>14.036</v>
      </c>
      <c r="Z275" s="17">
        <f>K275*'IAA digestibility'!K275</f>
        <v>15.6492</v>
      </c>
      <c r="AA275" s="17">
        <f>L275*'IAA digestibility'!L275</f>
        <v>3.7986</v>
      </c>
      <c r="AB275" s="17">
        <f>M275*'IAA digestibility'!M275</f>
        <v>1.8627</v>
      </c>
      <c r="AC275" s="17">
        <f>N275*'IAA digestibility'!N275</f>
        <v>7.5164</v>
      </c>
      <c r="AD275" s="17">
        <f>O275*'IAA digestibility'!O275</f>
        <v>7.8407999999999998</v>
      </c>
      <c r="AE275" s="17">
        <f>P275*'IAA digestibility'!P275</f>
        <v>8.9675999999999991</v>
      </c>
      <c r="AF275" s="17">
        <f>R275*'IAA digestibility'!R275</f>
        <v>7.3491999999999997</v>
      </c>
      <c r="AG275" s="10"/>
      <c r="AH275" s="17">
        <f t="shared" si="73"/>
        <v>12.181723237597911</v>
      </c>
      <c r="AI275" s="17">
        <f t="shared" si="74"/>
        <v>41.521671018276763</v>
      </c>
      <c r="AJ275" s="17">
        <f t="shared" si="75"/>
        <v>44.390600522193211</v>
      </c>
      <c r="AK275" s="17">
        <f t="shared" si="76"/>
        <v>73.295039164490859</v>
      </c>
      <c r="AL275" s="17">
        <f t="shared" si="77"/>
        <v>81.719060052219319</v>
      </c>
      <c r="AM275" s="17">
        <f t="shared" si="78"/>
        <v>29.562924281984333</v>
      </c>
      <c r="AN275" s="18">
        <f t="shared" si="79"/>
        <v>80.194255874673615</v>
      </c>
      <c r="AO275" s="17">
        <f t="shared" si="80"/>
        <v>46.828198433420361</v>
      </c>
      <c r="AP275" s="17">
        <f t="shared" si="81"/>
        <v>38.377023498694513</v>
      </c>
    </row>
    <row r="276" spans="1:42" s="4" customFormat="1" x14ac:dyDescent="0.25">
      <c r="A276" s="4" t="str">
        <f>'IAA digestibility'!A276</f>
        <v>Bacon, smoked, cooked</v>
      </c>
      <c r="B276" s="4" t="str">
        <f>'IAA digestibility'!A276</f>
        <v>Bacon, smoked, cooked</v>
      </c>
      <c r="C276" s="4">
        <v>29</v>
      </c>
      <c r="F276" s="35">
        <v>341.3</v>
      </c>
      <c r="G276" s="4">
        <v>3.8</v>
      </c>
      <c r="H276" s="4">
        <v>17.600000000000001</v>
      </c>
      <c r="I276" s="4">
        <v>18.7</v>
      </c>
      <c r="J276" s="4">
        <v>31</v>
      </c>
      <c r="K276" s="4">
        <v>33.6</v>
      </c>
      <c r="L276" s="4">
        <v>8</v>
      </c>
      <c r="M276" s="4">
        <v>4.5</v>
      </c>
      <c r="N276" s="4">
        <v>16.399999999999999</v>
      </c>
      <c r="O276" s="4">
        <v>16.5</v>
      </c>
      <c r="P276" s="4">
        <v>20.3</v>
      </c>
      <c r="Q276" s="4">
        <v>26.3</v>
      </c>
      <c r="R276" s="4">
        <v>15.1</v>
      </c>
      <c r="T276" s="10"/>
      <c r="V276" s="17">
        <f>G276*'IAA digestibility'!G276</f>
        <v>3.6365999999999996</v>
      </c>
      <c r="W276" s="17">
        <f>H276*'IAA digestibility'!H276</f>
        <v>16.860800000000001</v>
      </c>
      <c r="X276" s="17">
        <f>I276*'IAA digestibility'!I276</f>
        <v>17.970699999999997</v>
      </c>
      <c r="Y276" s="17">
        <f>J276*'IAA digestibility'!J276</f>
        <v>29.914999999999999</v>
      </c>
      <c r="Z276" s="17">
        <f>K276*'IAA digestibility'!K276</f>
        <v>32.491199999999999</v>
      </c>
      <c r="AA276" s="17">
        <f>L276*'IAA digestibility'!L276</f>
        <v>7.76</v>
      </c>
      <c r="AB276" s="17">
        <f>M276*'IAA digestibility'!M276</f>
        <v>3.9780000000000002</v>
      </c>
      <c r="AC276" s="17">
        <f>N276*'IAA digestibility'!N276</f>
        <v>15.711199999999998</v>
      </c>
      <c r="AD276" s="17">
        <f>O276*'IAA digestibility'!O276</f>
        <v>15.757499999999999</v>
      </c>
      <c r="AE276" s="17">
        <f>P276*'IAA digestibility'!P276</f>
        <v>19.366199999999999</v>
      </c>
      <c r="AF276" s="17">
        <f>R276*'IAA digestibility'!R276</f>
        <v>14.314799999999998</v>
      </c>
      <c r="AG276" s="10"/>
      <c r="AH276" s="17">
        <f t="shared" si="73"/>
        <v>10.655142103721065</v>
      </c>
      <c r="AI276" s="17">
        <f t="shared" si="74"/>
        <v>49.401699384705537</v>
      </c>
      <c r="AJ276" s="17">
        <f t="shared" si="75"/>
        <v>52.653677116905939</v>
      </c>
      <c r="AK276" s="17">
        <f t="shared" si="76"/>
        <v>87.650161148549657</v>
      </c>
      <c r="AL276" s="17">
        <f t="shared" si="77"/>
        <v>95.198359214767066</v>
      </c>
      <c r="AM276" s="17">
        <f t="shared" si="78"/>
        <v>34.392030471725754</v>
      </c>
      <c r="AN276" s="18">
        <f t="shared" si="79"/>
        <v>92.202461177849386</v>
      </c>
      <c r="AO276" s="17">
        <f t="shared" si="80"/>
        <v>56.742455317902134</v>
      </c>
      <c r="AP276" s="17">
        <f t="shared" si="81"/>
        <v>41.94198652212129</v>
      </c>
    </row>
    <row r="277" spans="1:42" s="4" customFormat="1" x14ac:dyDescent="0.25">
      <c r="A277" s="4" t="str">
        <f>'IAA digestibility'!A277</f>
        <v>Ham, non-cured</v>
      </c>
      <c r="B277" s="4" t="str">
        <f>'IAA digestibility'!A277</f>
        <v>Ham, non-cured</v>
      </c>
      <c r="C277" s="4">
        <v>29</v>
      </c>
      <c r="F277" s="4">
        <v>345.2</v>
      </c>
      <c r="G277" s="4">
        <v>4.5999999999999996</v>
      </c>
      <c r="H277" s="4">
        <v>16.399999999999999</v>
      </c>
      <c r="I277" s="4">
        <v>17.899999999999999</v>
      </c>
      <c r="J277" s="4">
        <v>29.3</v>
      </c>
      <c r="K277" s="4">
        <v>32.4</v>
      </c>
      <c r="L277" s="4">
        <v>10</v>
      </c>
      <c r="M277" s="4">
        <v>3.9</v>
      </c>
      <c r="N277" s="4">
        <v>15.1</v>
      </c>
      <c r="O277" s="4">
        <v>16.600000000000001</v>
      </c>
      <c r="P277" s="4">
        <v>18.399999999999999</v>
      </c>
      <c r="Q277" s="4">
        <v>23.1</v>
      </c>
      <c r="R277" s="4">
        <v>13.8</v>
      </c>
      <c r="T277" s="10"/>
      <c r="V277" s="17">
        <f>G277*'IAA digestibility'!G277</f>
        <v>4.2412000000000001</v>
      </c>
      <c r="W277" s="17">
        <f>H277*'IAA digestibility'!H277</f>
        <v>15.219199999999999</v>
      </c>
      <c r="X277" s="17">
        <f>I277*'IAA digestibility'!I277</f>
        <v>16.808099999999996</v>
      </c>
      <c r="Y277" s="17">
        <f>J277*'IAA digestibility'!J277</f>
        <v>27.776399999999999</v>
      </c>
      <c r="Z277" s="17">
        <f>K277*'IAA digestibility'!K277</f>
        <v>31.006799999999998</v>
      </c>
      <c r="AA277" s="17">
        <f>L277*'IAA digestibility'!L277</f>
        <v>9.58</v>
      </c>
      <c r="AB277" s="17">
        <f>M277*'IAA digestibility'!M277</f>
        <v>3.0068999999999999</v>
      </c>
      <c r="AC277" s="17">
        <f>N277*'IAA digestibility'!N277</f>
        <v>14.178899999999999</v>
      </c>
      <c r="AD277" s="17">
        <f>O277*'IAA digestibility'!O277</f>
        <v>15.736800000000001</v>
      </c>
      <c r="AE277" s="17">
        <f>P277*'IAA digestibility'!P277</f>
        <v>17.038399999999999</v>
      </c>
      <c r="AF277" s="17">
        <f>R277*'IAA digestibility'!R277</f>
        <v>12.889200000000001</v>
      </c>
      <c r="AG277" s="10"/>
      <c r="AH277" s="17">
        <f t="shared" si="73"/>
        <v>12.286210892236387</v>
      </c>
      <c r="AI277" s="17">
        <f t="shared" si="74"/>
        <v>44.088064889918883</v>
      </c>
      <c r="AJ277" s="17">
        <f t="shared" si="75"/>
        <v>48.690903823870208</v>
      </c>
      <c r="AK277" s="17">
        <f t="shared" si="76"/>
        <v>80.464658169177298</v>
      </c>
      <c r="AL277" s="17">
        <f t="shared" si="77"/>
        <v>89.82271147161066</v>
      </c>
      <c r="AM277" s="17">
        <f t="shared" si="78"/>
        <v>36.462630359212049</v>
      </c>
      <c r="AN277" s="18">
        <f t="shared" si="79"/>
        <v>86.661935110081117</v>
      </c>
      <c r="AO277" s="17">
        <f t="shared" si="80"/>
        <v>49.358053302433369</v>
      </c>
      <c r="AP277" s="17">
        <f t="shared" si="81"/>
        <v>37.338354577056784</v>
      </c>
    </row>
    <row r="278" spans="1:42" s="4" customFormat="1" x14ac:dyDescent="0.25">
      <c r="A278" s="4" t="str">
        <f>'IAA digestibility'!A278</f>
        <v>Ham, cured with celery/salt (no nitrite)</v>
      </c>
      <c r="B278" s="4" t="str">
        <f>'IAA digestibility'!A278</f>
        <v>Ham, cured with celery/salt (no nitrite)</v>
      </c>
      <c r="C278" s="4">
        <v>29</v>
      </c>
      <c r="F278" s="4">
        <v>241.7</v>
      </c>
      <c r="G278" s="4">
        <v>3.4</v>
      </c>
      <c r="H278" s="4">
        <v>11.7</v>
      </c>
      <c r="I278" s="4">
        <v>13</v>
      </c>
      <c r="J278" s="4">
        <v>21.2</v>
      </c>
      <c r="K278" s="4">
        <v>23.2</v>
      </c>
      <c r="L278" s="4">
        <v>6.3</v>
      </c>
      <c r="M278" s="4">
        <v>2.9</v>
      </c>
      <c r="N278" s="4">
        <v>10.9</v>
      </c>
      <c r="O278" s="4">
        <v>12.1</v>
      </c>
      <c r="P278" s="4">
        <v>13.4</v>
      </c>
      <c r="Q278" s="4">
        <v>16.600000000000001</v>
      </c>
      <c r="R278" s="4">
        <v>10.5</v>
      </c>
      <c r="T278" s="10"/>
      <c r="V278" s="17">
        <f>G278*'IAA digestibility'!G278</f>
        <v>3.1959999999999997</v>
      </c>
      <c r="W278" s="17">
        <f>H278*'IAA digestibility'!H278</f>
        <v>11.267099999999999</v>
      </c>
      <c r="X278" s="17">
        <f>I278*'IAA digestibility'!I278</f>
        <v>12.532</v>
      </c>
      <c r="Y278" s="17">
        <f>J278*'IAA digestibility'!J278</f>
        <v>20.5428</v>
      </c>
      <c r="Z278" s="17">
        <f>K278*'IAA digestibility'!K278</f>
        <v>22.527199999999997</v>
      </c>
      <c r="AA278" s="17">
        <f>L278*'IAA digestibility'!L278</f>
        <v>6.1298999999999992</v>
      </c>
      <c r="AB278" s="17">
        <f>M278*'IAA digestibility'!M278</f>
        <v>2.5665</v>
      </c>
      <c r="AC278" s="17">
        <f>N278*'IAA digestibility'!N278</f>
        <v>10.4749</v>
      </c>
      <c r="AD278" s="17">
        <f>O278*'IAA digestibility'!O278</f>
        <v>11.603899999999999</v>
      </c>
      <c r="AE278" s="17">
        <f>P278*'IAA digestibility'!P278</f>
        <v>12.7836</v>
      </c>
      <c r="AF278" s="17">
        <f>R278*'IAA digestibility'!R278</f>
        <v>9.9749999999999996</v>
      </c>
      <c r="AG278" s="10"/>
      <c r="AH278" s="17">
        <f t="shared" si="73"/>
        <v>13.223003723624327</v>
      </c>
      <c r="AI278" s="17">
        <f t="shared" si="74"/>
        <v>46.616052958212663</v>
      </c>
      <c r="AJ278" s="17">
        <f t="shared" si="75"/>
        <v>51.849400082747209</v>
      </c>
      <c r="AK278" s="17">
        <f t="shared" si="76"/>
        <v>84.992966487381054</v>
      </c>
      <c r="AL278" s="17">
        <f t="shared" si="77"/>
        <v>93.203144393876698</v>
      </c>
      <c r="AM278" s="17">
        <f t="shared" si="78"/>
        <v>35.980140670252375</v>
      </c>
      <c r="AN278" s="18">
        <f t="shared" si="79"/>
        <v>91.347952006619778</v>
      </c>
      <c r="AO278" s="17">
        <f t="shared" si="80"/>
        <v>52.89035995035168</v>
      </c>
      <c r="AP278" s="17">
        <f t="shared" si="81"/>
        <v>41.270169631774927</v>
      </c>
    </row>
    <row r="279" spans="1:42" s="4" customFormat="1" x14ac:dyDescent="0.25">
      <c r="A279" s="4" t="str">
        <f>'IAA digestibility'!A279</f>
        <v xml:space="preserve">Ham, cured </v>
      </c>
      <c r="B279" s="4" t="str">
        <f>'IAA digestibility'!A279</f>
        <v xml:space="preserve">Ham, cured </v>
      </c>
      <c r="C279" s="4">
        <v>29</v>
      </c>
      <c r="D279" s="35"/>
      <c r="F279" s="4">
        <v>237.9</v>
      </c>
      <c r="G279" s="4">
        <v>3.1</v>
      </c>
      <c r="H279" s="4">
        <v>10.9</v>
      </c>
      <c r="I279" s="4">
        <v>12.1</v>
      </c>
      <c r="J279" s="4">
        <v>19.7</v>
      </c>
      <c r="K279" s="4">
        <v>21.7</v>
      </c>
      <c r="L279" s="4">
        <v>5.6</v>
      </c>
      <c r="M279" s="4">
        <v>2.8</v>
      </c>
      <c r="N279" s="4">
        <v>10.1</v>
      </c>
      <c r="O279" s="4">
        <v>11.5</v>
      </c>
      <c r="P279" s="4">
        <v>12.4</v>
      </c>
      <c r="Q279" s="4">
        <v>15.4</v>
      </c>
      <c r="R279" s="4">
        <v>10</v>
      </c>
      <c r="T279" s="10"/>
      <c r="V279" s="17">
        <f>G279*'IAA digestibility'!G279</f>
        <v>2.9419</v>
      </c>
      <c r="W279" s="17">
        <f>H279*'IAA digestibility'!H279</f>
        <v>10.5403</v>
      </c>
      <c r="X279" s="17">
        <f>I279*'IAA digestibility'!I279</f>
        <v>11.749099999999999</v>
      </c>
      <c r="Y279" s="17">
        <f>J279*'IAA digestibility'!J279</f>
        <v>19.187799999999999</v>
      </c>
      <c r="Z279" s="17">
        <f>K279*'IAA digestibility'!K279</f>
        <v>21.2226</v>
      </c>
      <c r="AA279" s="17">
        <f>L279*'IAA digestibility'!L279</f>
        <v>5.4711999999999996</v>
      </c>
      <c r="AB279" s="17">
        <f>M279*'IAA digestibility'!M279</f>
        <v>2.4947999999999997</v>
      </c>
      <c r="AC279" s="17">
        <f>N279*'IAA digestibility'!N279</f>
        <v>9.7767999999999997</v>
      </c>
      <c r="AD279" s="17">
        <f>O279*'IAA digestibility'!O279</f>
        <v>11.1205</v>
      </c>
      <c r="AE279" s="17">
        <f>P279*'IAA digestibility'!P279</f>
        <v>11.916399999999999</v>
      </c>
      <c r="AF279" s="17">
        <f>R279*'IAA digestibility'!R279</f>
        <v>9.58</v>
      </c>
      <c r="AG279" s="10"/>
      <c r="AH279" s="17">
        <f t="shared" si="73"/>
        <v>12.366120218579233</v>
      </c>
      <c r="AI279" s="17">
        <f t="shared" si="74"/>
        <v>44.305590584279109</v>
      </c>
      <c r="AJ279" s="17">
        <f t="shared" si="75"/>
        <v>49.386717108028577</v>
      </c>
      <c r="AK279" s="17">
        <f t="shared" si="76"/>
        <v>80.654897015552748</v>
      </c>
      <c r="AL279" s="17">
        <f t="shared" si="77"/>
        <v>89.208070617906685</v>
      </c>
      <c r="AM279" s="17">
        <f t="shared" si="78"/>
        <v>33.484657419083646</v>
      </c>
      <c r="AN279" s="18">
        <f t="shared" si="79"/>
        <v>87.84068936527953</v>
      </c>
      <c r="AO279" s="17">
        <f t="shared" si="80"/>
        <v>50.08995376208491</v>
      </c>
      <c r="AP279" s="17">
        <f t="shared" si="81"/>
        <v>40.269020596889447</v>
      </c>
    </row>
    <row r="280" spans="1:42" s="4" customFormat="1" x14ac:dyDescent="0.25">
      <c r="A280" s="4" t="str">
        <f>'IAA digestibility'!A280</f>
        <v>pork loin, medium (cooked to 63oC)</v>
      </c>
      <c r="B280" s="4" t="str">
        <f>'IAA digestibility'!A280</f>
        <v>pork loin, medium (cooked to 63oC)</v>
      </c>
      <c r="C280" s="4">
        <v>29</v>
      </c>
      <c r="D280" s="35"/>
      <c r="F280" s="4">
        <v>255.8</v>
      </c>
      <c r="G280" s="4">
        <v>4</v>
      </c>
      <c r="H280" s="4">
        <v>13.4</v>
      </c>
      <c r="I280" s="4">
        <v>14.7</v>
      </c>
      <c r="J280" s="4">
        <v>23.9</v>
      </c>
      <c r="K280" s="4">
        <v>26.5</v>
      </c>
      <c r="L280" s="4">
        <v>8</v>
      </c>
      <c r="M280" s="4">
        <v>3.3</v>
      </c>
      <c r="N280" s="4">
        <v>12.2</v>
      </c>
      <c r="O280" s="4">
        <v>13.9</v>
      </c>
      <c r="P280" s="4">
        <v>15</v>
      </c>
      <c r="Q280" s="4">
        <v>18.899999999999999</v>
      </c>
      <c r="R280" s="4">
        <v>11.7</v>
      </c>
      <c r="T280" s="10"/>
      <c r="V280" s="17">
        <f>G280*'IAA digestibility'!G280</f>
        <v>3.78</v>
      </c>
      <c r="W280" s="17">
        <f>H280*'IAA digestibility'!H280</f>
        <v>12.797000000000001</v>
      </c>
      <c r="X280" s="17">
        <f>I280*'IAA digestibility'!I280</f>
        <v>14.097299999999999</v>
      </c>
      <c r="Y280" s="17">
        <f>J280*'IAA digestibility'!J280</f>
        <v>23.063499999999998</v>
      </c>
      <c r="Z280" s="17">
        <f>K280*'IAA digestibility'!K280</f>
        <v>25.811</v>
      </c>
      <c r="AA280" s="17">
        <f>L280*'IAA digestibility'!L280</f>
        <v>7.7839999999999998</v>
      </c>
      <c r="AB280" s="17">
        <f>M280*'IAA digestibility'!M280</f>
        <v>2.8148999999999997</v>
      </c>
      <c r="AC280" s="17">
        <f>N280*'IAA digestibility'!N280</f>
        <v>11.675399999999998</v>
      </c>
      <c r="AD280" s="17">
        <f>O280*'IAA digestibility'!O280</f>
        <v>13.3718</v>
      </c>
      <c r="AE280" s="17">
        <f>P280*'IAA digestibility'!P280</f>
        <v>14.219999999999999</v>
      </c>
      <c r="AF280" s="17">
        <f>R280*'IAA digestibility'!R280</f>
        <v>11.185199999999998</v>
      </c>
      <c r="AG280" s="10"/>
      <c r="AH280" s="17">
        <f t="shared" si="73"/>
        <v>14.777169663799842</v>
      </c>
      <c r="AI280" s="17">
        <f t="shared" si="74"/>
        <v>50.027365129007038</v>
      </c>
      <c r="AJ280" s="17">
        <f t="shared" si="75"/>
        <v>55.1106333072713</v>
      </c>
      <c r="AK280" s="17">
        <f t="shared" si="76"/>
        <v>90.162236121970267</v>
      </c>
      <c r="AL280" s="17">
        <f t="shared" si="77"/>
        <v>100.9030492572322</v>
      </c>
      <c r="AM280" s="17">
        <f t="shared" si="78"/>
        <v>41.434323690383117</v>
      </c>
      <c r="AN280" s="18">
        <f t="shared" si="79"/>
        <v>97.917122752150107</v>
      </c>
      <c r="AO280" s="17">
        <f t="shared" si="80"/>
        <v>55.590304925723217</v>
      </c>
      <c r="AP280" s="17">
        <f t="shared" si="81"/>
        <v>43.726348709929624</v>
      </c>
    </row>
    <row r="281" spans="1:42" s="4" customFormat="1" x14ac:dyDescent="0.25">
      <c r="A281" s="4" t="str">
        <f>'IAA digestibility'!A281</f>
        <v>pork loin, medium-well (cooked to 68oC)</v>
      </c>
      <c r="B281" s="4" t="str">
        <f>'IAA digestibility'!A281</f>
        <v>pork loin, medium-well (cooked to 68oC)</v>
      </c>
      <c r="C281" s="4">
        <v>29</v>
      </c>
      <c r="D281" s="35"/>
      <c r="F281" s="4">
        <v>308.60000000000002</v>
      </c>
      <c r="G281" s="4">
        <v>4</v>
      </c>
      <c r="H281" s="4">
        <v>13.6</v>
      </c>
      <c r="I281" s="4">
        <v>15</v>
      </c>
      <c r="J281" s="4">
        <v>24.2</v>
      </c>
      <c r="K281" s="4">
        <v>26.9</v>
      </c>
      <c r="L281" s="4">
        <v>8.3000000000000007</v>
      </c>
      <c r="M281" s="4">
        <v>3.3</v>
      </c>
      <c r="N281" s="4">
        <v>12.5</v>
      </c>
      <c r="O281" s="4">
        <v>14.5</v>
      </c>
      <c r="P281" s="4">
        <v>15.3</v>
      </c>
      <c r="Q281" s="4">
        <v>19.399999999999999</v>
      </c>
      <c r="R281" s="4">
        <v>12.5</v>
      </c>
      <c r="T281" s="10"/>
      <c r="V281" s="17">
        <f>G281*'IAA digestibility'!G281</f>
        <v>3.8159999999999998</v>
      </c>
      <c r="W281" s="17">
        <f>H281*'IAA digestibility'!H281</f>
        <v>13.0016</v>
      </c>
      <c r="X281" s="17">
        <f>I281*'IAA digestibility'!I281</f>
        <v>14.354999999999999</v>
      </c>
      <c r="Y281" s="17">
        <f>J281*'IAA digestibility'!J281</f>
        <v>23.304599999999997</v>
      </c>
      <c r="Z281" s="17">
        <f>K281*'IAA digestibility'!K281</f>
        <v>26.173699999999997</v>
      </c>
      <c r="AA281" s="17">
        <f>L281*'IAA digestibility'!L281</f>
        <v>8.0593000000000004</v>
      </c>
      <c r="AB281" s="17">
        <f>M281*'IAA digestibility'!M281</f>
        <v>2.7983999999999996</v>
      </c>
      <c r="AC281" s="17">
        <f>N281*'IAA digestibility'!N281</f>
        <v>11.975</v>
      </c>
      <c r="AD281" s="17">
        <f>O281*'IAA digestibility'!O281</f>
        <v>14.0215</v>
      </c>
      <c r="AE281" s="17">
        <f>P281*'IAA digestibility'!P281</f>
        <v>14.5044</v>
      </c>
      <c r="AF281" s="17">
        <f>R281*'IAA digestibility'!R281</f>
        <v>12.025</v>
      </c>
      <c r="AG281" s="10"/>
      <c r="AH281" s="17">
        <f t="shared" si="73"/>
        <v>12.365521710952688</v>
      </c>
      <c r="AI281" s="17">
        <f t="shared" si="74"/>
        <v>42.130913804277377</v>
      </c>
      <c r="AJ281" s="17">
        <f t="shared" si="75"/>
        <v>46.516526247569665</v>
      </c>
      <c r="AK281" s="17">
        <f t="shared" si="76"/>
        <v>75.51717433570964</v>
      </c>
      <c r="AL281" s="17">
        <f t="shared" si="77"/>
        <v>84.814322747893698</v>
      </c>
      <c r="AM281" s="17">
        <f t="shared" si="78"/>
        <v>35.183732987686327</v>
      </c>
      <c r="AN281" s="18">
        <f t="shared" si="79"/>
        <v>84.240116655865179</v>
      </c>
      <c r="AO281" s="17">
        <f t="shared" si="80"/>
        <v>47.00064808813999</v>
      </c>
      <c r="AP281" s="17">
        <f t="shared" si="81"/>
        <v>38.966299416720673</v>
      </c>
    </row>
    <row r="282" spans="1:42" s="4" customFormat="1" x14ac:dyDescent="0.25">
      <c r="A282" s="4" t="str">
        <f>'IAA digestibility'!A282</f>
        <v>pork loin, well-done (cooked to 72oC)</v>
      </c>
      <c r="B282" s="4" t="str">
        <f>'IAA digestibility'!A282</f>
        <v>pork loin, well-done (cooked to 72oC)</v>
      </c>
      <c r="C282" s="4">
        <v>29</v>
      </c>
      <c r="D282" s="35"/>
      <c r="F282" s="4">
        <v>333</v>
      </c>
      <c r="G282" s="4">
        <v>4.4000000000000004</v>
      </c>
      <c r="H282" s="4">
        <v>14.8</v>
      </c>
      <c r="I282" s="4">
        <v>16.3</v>
      </c>
      <c r="J282" s="4">
        <v>26.4</v>
      </c>
      <c r="K282" s="4">
        <v>29.4</v>
      </c>
      <c r="L282" s="4">
        <v>8.9</v>
      </c>
      <c r="M282" s="4">
        <v>3.5</v>
      </c>
      <c r="N282" s="4">
        <v>13.4</v>
      </c>
      <c r="O282" s="4">
        <v>15.2</v>
      </c>
      <c r="P282" s="4">
        <v>16.5</v>
      </c>
      <c r="Q282" s="4">
        <v>20.9</v>
      </c>
      <c r="R282" s="4">
        <v>12.7</v>
      </c>
      <c r="T282" s="10"/>
      <c r="V282" s="17">
        <f>G282*'IAA digestibility'!G282</f>
        <v>4.1844000000000001</v>
      </c>
      <c r="W282" s="17">
        <f>H282*'IAA digestibility'!H282</f>
        <v>14.134</v>
      </c>
      <c r="X282" s="17">
        <f>I282*'IAA digestibility'!I282</f>
        <v>15.648</v>
      </c>
      <c r="Y282" s="17">
        <f>J282*'IAA digestibility'!J282</f>
        <v>25.475999999999999</v>
      </c>
      <c r="Z282" s="17">
        <f>K282*'IAA digestibility'!K282</f>
        <v>28.635599999999997</v>
      </c>
      <c r="AA282" s="17">
        <f>L282*'IAA digestibility'!L282</f>
        <v>8.6418999999999997</v>
      </c>
      <c r="AB282" s="17">
        <f>M282*'IAA digestibility'!M282</f>
        <v>3.0065</v>
      </c>
      <c r="AC282" s="17">
        <f>N282*'IAA digestibility'!N282</f>
        <v>12.8238</v>
      </c>
      <c r="AD282" s="17">
        <f>O282*'IAA digestibility'!O282</f>
        <v>14.667999999999999</v>
      </c>
      <c r="AE282" s="17">
        <f>P282*'IAA digestibility'!P282</f>
        <v>15.6585</v>
      </c>
      <c r="AF282" s="17">
        <f>R282*'IAA digestibility'!R282</f>
        <v>12.1793</v>
      </c>
      <c r="AG282" s="10"/>
      <c r="AH282" s="17">
        <f t="shared" si="73"/>
        <v>12.565765765765766</v>
      </c>
      <c r="AI282" s="17">
        <f t="shared" si="74"/>
        <v>42.444444444444443</v>
      </c>
      <c r="AJ282" s="17">
        <f t="shared" si="75"/>
        <v>46.990990990990987</v>
      </c>
      <c r="AK282" s="17">
        <f t="shared" si="76"/>
        <v>76.50450450450451</v>
      </c>
      <c r="AL282" s="17">
        <f t="shared" si="77"/>
        <v>85.992792792792784</v>
      </c>
      <c r="AM282" s="17">
        <f t="shared" si="78"/>
        <v>34.980180180180177</v>
      </c>
      <c r="AN282" s="18">
        <f t="shared" si="79"/>
        <v>82.557957957957953</v>
      </c>
      <c r="AO282" s="17">
        <f t="shared" si="80"/>
        <v>47.022522522522522</v>
      </c>
      <c r="AP282" s="17">
        <f t="shared" si="81"/>
        <v>36.574474474474478</v>
      </c>
    </row>
    <row r="283" spans="1:42" s="4" customFormat="1" x14ac:dyDescent="0.25">
      <c r="A283" s="4" t="str">
        <f>'IAA digestibility'!A283</f>
        <v>Chickpea, extruded</v>
      </c>
      <c r="B283" s="4" t="str">
        <f>'IAA digestibility'!A283</f>
        <v>Chickpea, extruded</v>
      </c>
      <c r="C283" s="4">
        <v>30</v>
      </c>
      <c r="F283" s="4">
        <v>241.1</v>
      </c>
      <c r="H283" s="4">
        <v>10.6</v>
      </c>
      <c r="I283" s="4">
        <v>9.6999999999999993</v>
      </c>
      <c r="J283" s="4">
        <v>14.5</v>
      </c>
      <c r="K283" s="4">
        <v>14.4</v>
      </c>
      <c r="L283" s="4">
        <v>1.4</v>
      </c>
      <c r="N283" s="4">
        <v>11.5</v>
      </c>
      <c r="O283" s="4">
        <v>4</v>
      </c>
      <c r="P283" s="4">
        <v>9.6999999999999993</v>
      </c>
      <c r="T283" s="10"/>
      <c r="V283" s="17"/>
      <c r="W283" s="17">
        <f>H283*'IAA digestibility'!H283</f>
        <v>8.8191999999999986</v>
      </c>
      <c r="X283" s="17">
        <f>I283*'IAA digestibility'!I283</f>
        <v>8.8560999999999996</v>
      </c>
      <c r="Y283" s="17">
        <f>J283*'IAA digestibility'!J283</f>
        <v>13.398000000000001</v>
      </c>
      <c r="Z283" s="17">
        <f>K283*'IAA digestibility'!K283</f>
        <v>11.404800000000002</v>
      </c>
      <c r="AA283" s="17">
        <f>L283*'IAA digestibility'!L283</f>
        <v>1.1465999999999998</v>
      </c>
      <c r="AB283" s="17">
        <f>M283*'IAA digestibility'!M283</f>
        <v>0</v>
      </c>
      <c r="AC283" s="17">
        <f>N283*'IAA digestibility'!N283</f>
        <v>11.5</v>
      </c>
      <c r="AD283" s="17">
        <f>O283*'IAA digestibility'!O283</f>
        <v>3.528</v>
      </c>
      <c r="AE283" s="17">
        <f>P283*'IAA digestibility'!P283</f>
        <v>8.6814999999999998</v>
      </c>
      <c r="AF283" s="17">
        <f>R283*'IAA digestibility'!R283</f>
        <v>0</v>
      </c>
      <c r="AG283" s="10"/>
      <c r="AH283" s="17"/>
      <c r="AI283" s="17">
        <f t="shared" si="74"/>
        <v>36.579012857735378</v>
      </c>
      <c r="AJ283" s="17">
        <f t="shared" si="75"/>
        <v>36.732061385317294</v>
      </c>
      <c r="AK283" s="17">
        <f t="shared" si="76"/>
        <v>55.570302778929907</v>
      </c>
      <c r="AL283" s="17">
        <f t="shared" si="77"/>
        <v>47.303193695562015</v>
      </c>
      <c r="AM283" s="17">
        <f t="shared" si="78"/>
        <v>4.7557030277892984</v>
      </c>
      <c r="AN283" s="18">
        <f t="shared" si="79"/>
        <v>62.33098299460805</v>
      </c>
      <c r="AO283" s="17">
        <f t="shared" si="80"/>
        <v>36.007880547490672</v>
      </c>
      <c r="AP283" s="17"/>
    </row>
    <row r="284" spans="1:42" s="4" customFormat="1" x14ac:dyDescent="0.25">
      <c r="A284" s="4" t="str">
        <f>'IAA digestibility'!A284</f>
        <v xml:space="preserve">Yellow pea, extruded </v>
      </c>
      <c r="B284" s="4" t="str">
        <f>'IAA digestibility'!A284</f>
        <v xml:space="preserve">Yellow pea, extruded </v>
      </c>
      <c r="C284" s="4">
        <v>30</v>
      </c>
      <c r="F284" s="4">
        <v>230</v>
      </c>
      <c r="H284" s="4">
        <v>10.3</v>
      </c>
      <c r="I284" s="4">
        <v>9.5</v>
      </c>
      <c r="J284" s="4">
        <v>14.5</v>
      </c>
      <c r="K284" s="4">
        <v>15</v>
      </c>
      <c r="L284" s="4">
        <v>1.1000000000000001</v>
      </c>
      <c r="N284" s="4">
        <v>9.3000000000000007</v>
      </c>
      <c r="O284" s="4">
        <v>4</v>
      </c>
      <c r="P284" s="4">
        <v>10.4</v>
      </c>
      <c r="T284" s="10"/>
      <c r="V284" s="17"/>
      <c r="W284" s="17">
        <f>H284*'IAA digestibility'!H284</f>
        <v>8.291500000000001</v>
      </c>
      <c r="X284" s="17">
        <f>I284*'IAA digestibility'!I284</f>
        <v>8.6070000000000011</v>
      </c>
      <c r="Y284" s="17">
        <f>J284*'IAA digestibility'!J284</f>
        <v>13.644499999999999</v>
      </c>
      <c r="Z284" s="17">
        <f>K284*'IAA digestibility'!K284</f>
        <v>11.25</v>
      </c>
      <c r="AA284" s="17">
        <f>L284*'IAA digestibility'!L284</f>
        <v>0.88440000000000007</v>
      </c>
      <c r="AB284" s="17">
        <f>M284*'IAA digestibility'!M284</f>
        <v>0</v>
      </c>
      <c r="AC284" s="17">
        <f>N284*'IAA digestibility'!N284</f>
        <v>9.3000000000000007</v>
      </c>
      <c r="AD284" s="17">
        <f>O284*'IAA digestibility'!O284</f>
        <v>3.488</v>
      </c>
      <c r="AE284" s="17">
        <f>P284*'IAA digestibility'!P284</f>
        <v>9.3079999999999998</v>
      </c>
      <c r="AF284" s="17">
        <f>R284*'IAA digestibility'!R284</f>
        <v>0</v>
      </c>
      <c r="AG284" s="10"/>
      <c r="AH284" s="17"/>
      <c r="AI284" s="17">
        <f t="shared" si="74"/>
        <v>36.050000000000004</v>
      </c>
      <c r="AJ284" s="17">
        <f t="shared" si="75"/>
        <v>37.421739130434787</v>
      </c>
      <c r="AK284" s="17">
        <f t="shared" si="76"/>
        <v>59.323913043478257</v>
      </c>
      <c r="AL284" s="17">
        <f t="shared" si="77"/>
        <v>48.913043478260875</v>
      </c>
      <c r="AM284" s="17">
        <f t="shared" si="78"/>
        <v>3.8452173913043479</v>
      </c>
      <c r="AN284" s="18">
        <f t="shared" si="79"/>
        <v>55.6</v>
      </c>
      <c r="AO284" s="17">
        <f t="shared" si="80"/>
        <v>40.469565217391306</v>
      </c>
      <c r="AP284" s="17"/>
    </row>
    <row r="285" spans="1:42" s="4" customFormat="1" x14ac:dyDescent="0.25">
      <c r="A285" s="4" t="str">
        <f>'IAA digestibility'!A285</f>
        <v>Black soldier fly larvae meal, defatted</v>
      </c>
      <c r="B285" s="4" t="str">
        <f>'IAA digestibility'!A285</f>
        <v>Black soldier fly larvae meal, defatted</v>
      </c>
      <c r="C285" s="4">
        <v>31</v>
      </c>
      <c r="F285" s="4">
        <v>425</v>
      </c>
      <c r="H285" s="4">
        <v>12.5</v>
      </c>
      <c r="I285" s="4">
        <v>16.8</v>
      </c>
      <c r="J285" s="4">
        <v>26</v>
      </c>
      <c r="K285" s="4">
        <v>18.7</v>
      </c>
      <c r="L285" s="4">
        <v>7.5</v>
      </c>
      <c r="M285" s="4">
        <v>2.1</v>
      </c>
      <c r="N285" s="4">
        <v>16.5</v>
      </c>
      <c r="P285" s="4">
        <v>21.8</v>
      </c>
      <c r="Q285" s="4">
        <v>17.100000000000001</v>
      </c>
      <c r="R285" s="4">
        <v>11.2</v>
      </c>
      <c r="T285" s="10"/>
      <c r="V285" s="17"/>
      <c r="W285" s="17">
        <f>H285*'IAA digestibility'!H285</f>
        <v>10.9</v>
      </c>
      <c r="X285" s="17">
        <f>I285*'IAA digestibility'!I285</f>
        <v>14.649600000000001</v>
      </c>
      <c r="Y285" s="17">
        <f>J285*'IAA digestibility'!J285</f>
        <v>22.672000000000001</v>
      </c>
      <c r="Z285" s="17">
        <f>K285*'IAA digestibility'!K285</f>
        <v>16.2316</v>
      </c>
      <c r="AA285" s="17">
        <f>L285*'IAA digestibility'!L285</f>
        <v>6.7650000000000006</v>
      </c>
      <c r="AB285" s="17">
        <f>M285*'IAA digestibility'!M285</f>
        <v>1.806</v>
      </c>
      <c r="AC285" s="17">
        <f>N285*'IAA digestibility'!N285</f>
        <v>15.741</v>
      </c>
      <c r="AD285" s="17">
        <f>O285*'IAA digestibility'!O285</f>
        <v>0</v>
      </c>
      <c r="AE285" s="17">
        <f>P285*'IAA digestibility'!P285</f>
        <v>18.137599999999999</v>
      </c>
      <c r="AF285" s="17">
        <f>R285*'IAA digestibility'!R285</f>
        <v>9.0383999999999993</v>
      </c>
      <c r="AG285" s="10"/>
      <c r="AH285" s="17"/>
      <c r="AI285" s="17">
        <f t="shared" si="74"/>
        <v>25.647058823529413</v>
      </c>
      <c r="AJ285" s="17">
        <f t="shared" si="75"/>
        <v>34.469647058823533</v>
      </c>
      <c r="AK285" s="17">
        <f t="shared" si="76"/>
        <v>53.345882352941182</v>
      </c>
      <c r="AL285" s="17">
        <f t="shared" si="77"/>
        <v>38.192000000000007</v>
      </c>
      <c r="AM285" s="17">
        <f t="shared" si="78"/>
        <v>20.167058823529416</v>
      </c>
      <c r="AN285" s="18">
        <f t="shared" si="79"/>
        <v>37.037647058823531</v>
      </c>
      <c r="AO285" s="17">
        <f t="shared" si="80"/>
        <v>42.676705882352934</v>
      </c>
      <c r="AP285" s="17">
        <f t="shared" si="81"/>
        <v>21.266823529411763</v>
      </c>
    </row>
    <row r="286" spans="1:42" s="4" customFormat="1" x14ac:dyDescent="0.25">
      <c r="A286" s="4" t="str">
        <f>'IAA digestibility'!A286</f>
        <v>Black soldier fly larvae meal, full fat</v>
      </c>
      <c r="B286" s="4" t="str">
        <f>'IAA digestibility'!A286</f>
        <v>Black soldier fly larvae meal, full fat</v>
      </c>
      <c r="C286" s="4">
        <v>31</v>
      </c>
      <c r="F286" s="4">
        <v>408</v>
      </c>
      <c r="H286" s="4">
        <v>10.5</v>
      </c>
      <c r="I286" s="4">
        <v>12.9</v>
      </c>
      <c r="J286" s="4">
        <v>19.899999999999999</v>
      </c>
      <c r="K286" s="4">
        <v>16.3</v>
      </c>
      <c r="L286" s="4">
        <v>7.7</v>
      </c>
      <c r="M286" s="4">
        <v>3.9</v>
      </c>
      <c r="N286" s="4">
        <v>11.5</v>
      </c>
      <c r="P286" s="4">
        <v>17.600000000000001</v>
      </c>
      <c r="Q286" s="4">
        <v>13.7</v>
      </c>
      <c r="R286" s="4">
        <v>7.9</v>
      </c>
      <c r="T286" s="10"/>
      <c r="V286" s="17"/>
      <c r="W286" s="17">
        <f>H286*'IAA digestibility'!H286</f>
        <v>9.093</v>
      </c>
      <c r="X286" s="17">
        <f>I286*'IAA digestibility'!I286</f>
        <v>11.558400000000001</v>
      </c>
      <c r="Y286" s="17">
        <f>J286*'IAA digestibility'!J286</f>
        <v>18.049299999999999</v>
      </c>
      <c r="Z286" s="17">
        <f>K286*'IAA digestibility'!K286</f>
        <v>14.523300000000001</v>
      </c>
      <c r="AA286" s="17">
        <f>L286*'IAA digestibility'!L286</f>
        <v>6.1061000000000005</v>
      </c>
      <c r="AB286" s="17">
        <f>M286*'IAA digestibility'!M286</f>
        <v>3.2408999999999999</v>
      </c>
      <c r="AC286" s="17">
        <f>N286*'IAA digestibility'!N286</f>
        <v>11.224</v>
      </c>
      <c r="AD286" s="17">
        <f>O286*'IAA digestibility'!O286</f>
        <v>0</v>
      </c>
      <c r="AE286" s="17">
        <f>P286*'IAA digestibility'!P286</f>
        <v>15.558400000000001</v>
      </c>
      <c r="AF286" s="17">
        <f>R286*'IAA digestibility'!R286</f>
        <v>6.6597</v>
      </c>
      <c r="AG286" s="10"/>
      <c r="AH286" s="17"/>
      <c r="AI286" s="17">
        <f t="shared" si="74"/>
        <v>22.286764705882351</v>
      </c>
      <c r="AJ286" s="17">
        <f t="shared" si="75"/>
        <v>28.329411764705885</v>
      </c>
      <c r="AK286" s="17">
        <f t="shared" si="76"/>
        <v>44.238480392156859</v>
      </c>
      <c r="AL286" s="17">
        <f t="shared" si="77"/>
        <v>35.596323529411762</v>
      </c>
      <c r="AM286" s="17">
        <f t="shared" si="78"/>
        <v>22.9093137254902</v>
      </c>
      <c r="AN286" s="18">
        <f t="shared" si="79"/>
        <v>27.509803921568626</v>
      </c>
      <c r="AO286" s="17">
        <f t="shared" si="80"/>
        <v>38.133333333333333</v>
      </c>
      <c r="AP286" s="17">
        <f t="shared" si="81"/>
        <v>16.32279411764706</v>
      </c>
    </row>
    <row r="287" spans="1:42" s="4" customFormat="1" x14ac:dyDescent="0.25">
      <c r="A287" s="4" t="str">
        <f>'IAA digestibility'!A287</f>
        <v>Corn/maize, yellow dent,  raw</v>
      </c>
      <c r="B287" s="4" t="str">
        <f>'IAA digestibility'!A287</f>
        <v>Corn/maize, yellow dent,  raw</v>
      </c>
      <c r="C287" s="4">
        <v>32</v>
      </c>
      <c r="F287" s="4">
        <v>78</v>
      </c>
      <c r="G287" s="4">
        <v>0.6</v>
      </c>
      <c r="H287" s="4">
        <v>2.8</v>
      </c>
      <c r="I287" s="4">
        <v>2.6</v>
      </c>
      <c r="J287" s="4">
        <v>8.6</v>
      </c>
      <c r="K287" s="4">
        <v>2.5</v>
      </c>
      <c r="L287" s="4">
        <v>1.8</v>
      </c>
      <c r="M287" s="4">
        <v>1.6</v>
      </c>
      <c r="N287" s="4">
        <v>3.5</v>
      </c>
      <c r="P287" s="4">
        <v>3.6</v>
      </c>
      <c r="Q287" s="4">
        <v>3.6</v>
      </c>
      <c r="R287" s="4">
        <v>2.1</v>
      </c>
      <c r="T287" s="10"/>
      <c r="V287" s="17">
        <f>G287*'IAA digestibility'!G287</f>
        <v>0.36719999999999997</v>
      </c>
      <c r="W287" s="17">
        <f>H287*'IAA digestibility'!H287</f>
        <v>1.8592</v>
      </c>
      <c r="X287" s="17">
        <f>I287*'IAA digestibility'!I287</f>
        <v>1.9084000000000001</v>
      </c>
      <c r="Y287" s="17">
        <f>J287*'IAA digestibility'!J287</f>
        <v>7.0003999999999991</v>
      </c>
      <c r="Z287" s="17">
        <f>K287*'IAA digestibility'!K287</f>
        <v>1.6850000000000001</v>
      </c>
      <c r="AA287" s="17">
        <f>L287*'IAA digestibility'!L287</f>
        <v>1.512</v>
      </c>
      <c r="AB287" s="17">
        <f>M287*'IAA digestibility'!M287</f>
        <v>1.2112000000000001</v>
      </c>
      <c r="AC287" s="17">
        <f>N287*'IAA digestibility'!N287</f>
        <v>2.8175000000000003</v>
      </c>
      <c r="AD287" s="17">
        <f>O287*'IAA digestibility'!O287</f>
        <v>0</v>
      </c>
      <c r="AE287" s="17">
        <f>P287*'IAA digestibility'!P287</f>
        <v>2.6459999999999999</v>
      </c>
      <c r="AF287" s="17">
        <f>R287*'IAA digestibility'!R287</f>
        <v>1.6695000000000002</v>
      </c>
      <c r="AG287" s="10"/>
      <c r="AH287" s="17">
        <f t="shared" si="73"/>
        <v>4.7076923076923078</v>
      </c>
      <c r="AI287" s="17">
        <f t="shared" si="74"/>
        <v>23.835897435897433</v>
      </c>
      <c r="AJ287" s="17">
        <f t="shared" si="75"/>
        <v>24.466666666666669</v>
      </c>
      <c r="AK287" s="17">
        <f t="shared" si="76"/>
        <v>89.748717948717939</v>
      </c>
      <c r="AL287" s="17">
        <f t="shared" si="77"/>
        <v>21.602564102564106</v>
      </c>
      <c r="AM287" s="17">
        <f t="shared" si="78"/>
        <v>34.912820512820517</v>
      </c>
      <c r="AN287" s="18">
        <f t="shared" si="79"/>
        <v>36.121794871794876</v>
      </c>
      <c r="AO287" s="17">
        <f t="shared" si="80"/>
        <v>33.923076923076927</v>
      </c>
      <c r="AP287" s="17">
        <f t="shared" si="81"/>
        <v>21.403846153846157</v>
      </c>
    </row>
    <row r="288" spans="1:42" s="4" customFormat="1" x14ac:dyDescent="0.25">
      <c r="A288" s="4" t="str">
        <f>'IAA digestibility'!A288</f>
        <v>Corn/maize, yellow dent, extruded</v>
      </c>
      <c r="B288" s="4" t="str">
        <f>'IAA digestibility'!A288</f>
        <v>Corn/maize, yellow dent, extruded</v>
      </c>
      <c r="C288" s="4">
        <v>32</v>
      </c>
      <c r="F288" s="4">
        <v>76</v>
      </c>
      <c r="G288" s="4">
        <v>0.6</v>
      </c>
      <c r="H288" s="4">
        <v>2.7</v>
      </c>
      <c r="I288" s="4">
        <v>2.5</v>
      </c>
      <c r="J288" s="4">
        <v>8.4</v>
      </c>
      <c r="K288" s="4">
        <v>2.5</v>
      </c>
      <c r="L288" s="4">
        <v>1.6</v>
      </c>
      <c r="M288" s="4">
        <v>1.6</v>
      </c>
      <c r="N288" s="4">
        <v>3.7</v>
      </c>
      <c r="P288" s="4">
        <v>3.5</v>
      </c>
      <c r="Q288" s="4">
        <v>3.7</v>
      </c>
      <c r="R288" s="4">
        <v>2.1</v>
      </c>
      <c r="T288" s="10"/>
      <c r="V288" s="17">
        <f>G288*'IAA digestibility'!G288</f>
        <v>0.46799999999999997</v>
      </c>
      <c r="W288" s="17">
        <f>H288*'IAA digestibility'!H288</f>
        <v>2.2464</v>
      </c>
      <c r="X288" s="17">
        <f>I288*'IAA digestibility'!I288</f>
        <v>2.2050000000000001</v>
      </c>
      <c r="Y288" s="17">
        <f>J288*'IAA digestibility'!J288</f>
        <v>7.7028000000000008</v>
      </c>
      <c r="Z288" s="17">
        <f>K288*'IAA digestibility'!K288</f>
        <v>2.1225000000000001</v>
      </c>
      <c r="AA288" s="17">
        <f>L288*'IAA digestibility'!L288</f>
        <v>1.4864000000000002</v>
      </c>
      <c r="AB288" s="17">
        <f>M288*'IAA digestibility'!M288</f>
        <v>1.3856000000000002</v>
      </c>
      <c r="AC288" s="17">
        <f>N288*'IAA digestibility'!N288</f>
        <v>3.3411000000000004</v>
      </c>
      <c r="AD288" s="17">
        <f>O288*'IAA digestibility'!O288</f>
        <v>0</v>
      </c>
      <c r="AE288" s="17">
        <f>P288*'IAA digestibility'!P288</f>
        <v>3.0484999999999998</v>
      </c>
      <c r="AF288" s="17">
        <f>R288*'IAA digestibility'!R288</f>
        <v>1.8711000000000002</v>
      </c>
      <c r="AG288" s="10"/>
      <c r="AH288" s="17">
        <f t="shared" si="73"/>
        <v>6.1578947368421053</v>
      </c>
      <c r="AI288" s="17">
        <f t="shared" si="74"/>
        <v>29.557894736842105</v>
      </c>
      <c r="AJ288" s="17">
        <f t="shared" si="75"/>
        <v>29.013157894736842</v>
      </c>
      <c r="AK288" s="17">
        <f t="shared" si="76"/>
        <v>101.35263157894738</v>
      </c>
      <c r="AL288" s="17">
        <f t="shared" si="77"/>
        <v>27.92763157894737</v>
      </c>
      <c r="AM288" s="17">
        <f t="shared" si="78"/>
        <v>37.789473684210535</v>
      </c>
      <c r="AN288" s="18">
        <f t="shared" si="79"/>
        <v>43.961842105263159</v>
      </c>
      <c r="AO288" s="17">
        <f t="shared" si="80"/>
        <v>40.111842105263158</v>
      </c>
      <c r="AP288" s="17">
        <f t="shared" si="81"/>
        <v>24.619736842105269</v>
      </c>
    </row>
    <row r="289" spans="1:42" s="4" customFormat="1" x14ac:dyDescent="0.25">
      <c r="A289" s="4" t="str">
        <f>'IAA digestibility'!A289</f>
        <v>Wheat, hard red winter, raw</v>
      </c>
      <c r="B289" s="4" t="str">
        <f>'IAA digestibility'!A289</f>
        <v>Wheat, hard red winter, raw</v>
      </c>
      <c r="C289" s="4">
        <v>32</v>
      </c>
      <c r="F289" s="4">
        <v>133.1</v>
      </c>
      <c r="G289" s="4">
        <v>1.6</v>
      </c>
      <c r="H289" s="4">
        <v>3.7</v>
      </c>
      <c r="I289" s="4">
        <v>4.5</v>
      </c>
      <c r="J289" s="4">
        <v>8.5</v>
      </c>
      <c r="K289" s="4">
        <v>3.6</v>
      </c>
      <c r="L289" s="4">
        <v>2.1</v>
      </c>
      <c r="M289" s="4">
        <v>3</v>
      </c>
      <c r="N289" s="4">
        <v>6</v>
      </c>
      <c r="P289" s="4">
        <v>5.6</v>
      </c>
      <c r="Q289" s="4">
        <v>6.3</v>
      </c>
      <c r="R289" s="4">
        <v>3</v>
      </c>
      <c r="T289" s="10"/>
      <c r="V289" s="17">
        <f>G289*'IAA digestibility'!G289</f>
        <v>1.2912000000000001</v>
      </c>
      <c r="W289" s="17">
        <f>H289*'IAA digestibility'!H289</f>
        <v>2.8601000000000001</v>
      </c>
      <c r="X289" s="17">
        <f>I289*'IAA digestibility'!I289</f>
        <v>3.762</v>
      </c>
      <c r="Y289" s="17">
        <f>J289*'IAA digestibility'!J289</f>
        <v>7.2164999999999999</v>
      </c>
      <c r="Z289" s="17">
        <f>K289*'IAA digestibility'!K289</f>
        <v>2.6892</v>
      </c>
      <c r="AA289" s="17">
        <f>L289*'IAA digestibility'!L289</f>
        <v>1.7934000000000001</v>
      </c>
      <c r="AB289" s="17">
        <f>M289*'IAA digestibility'!M289</f>
        <v>2.6459999999999999</v>
      </c>
      <c r="AC289" s="17">
        <f>N289*'IAA digestibility'!N289</f>
        <v>5.2379999999999995</v>
      </c>
      <c r="AD289" s="17">
        <f>O289*'IAA digestibility'!O289</f>
        <v>0</v>
      </c>
      <c r="AE289" s="17">
        <f>P289*'IAA digestibility'!P289</f>
        <v>4.5695999999999994</v>
      </c>
      <c r="AF289" s="17">
        <f>R289*'IAA digestibility'!R289</f>
        <v>2.58</v>
      </c>
      <c r="AG289" s="10"/>
      <c r="AH289" s="17">
        <f t="shared" si="73"/>
        <v>9.7009767092411732</v>
      </c>
      <c r="AI289" s="17">
        <f t="shared" si="74"/>
        <v>21.48835462058603</v>
      </c>
      <c r="AJ289" s="17">
        <f t="shared" si="75"/>
        <v>28.264462809917354</v>
      </c>
      <c r="AK289" s="17">
        <f t="shared" si="76"/>
        <v>54.218632607062361</v>
      </c>
      <c r="AL289" s="17">
        <f t="shared" si="77"/>
        <v>20.20435762584523</v>
      </c>
      <c r="AM289" s="17">
        <f t="shared" si="78"/>
        <v>33.353869271224639</v>
      </c>
      <c r="AN289" s="18">
        <f t="shared" si="79"/>
        <v>39.353869271224639</v>
      </c>
      <c r="AO289" s="17">
        <f t="shared" si="80"/>
        <v>34.332081141998493</v>
      </c>
      <c r="AP289" s="17">
        <f t="shared" si="81"/>
        <v>19.383921863260706</v>
      </c>
    </row>
    <row r="290" spans="1:42" s="4" customFormat="1" x14ac:dyDescent="0.25">
      <c r="A290" s="4" t="str">
        <f>'IAA digestibility'!A290</f>
        <v>Wheat, hard red winter, extruded</v>
      </c>
      <c r="B290" s="4" t="str">
        <f>'IAA digestibility'!A290</f>
        <v>Wheat, hard red winter, extruded</v>
      </c>
      <c r="C290" s="4">
        <v>32</v>
      </c>
      <c r="F290" s="4">
        <v>134.4</v>
      </c>
      <c r="G290" s="4">
        <v>1.6</v>
      </c>
      <c r="H290" s="4">
        <v>3.7</v>
      </c>
      <c r="I290" s="4">
        <v>4.5</v>
      </c>
      <c r="J290" s="4">
        <v>8.5</v>
      </c>
      <c r="K290" s="4">
        <v>3.7</v>
      </c>
      <c r="L290" s="4">
        <v>2</v>
      </c>
      <c r="M290" s="4">
        <v>2.9</v>
      </c>
      <c r="N290" s="4">
        <v>6</v>
      </c>
      <c r="P290" s="4">
        <v>5.5</v>
      </c>
      <c r="Q290" s="4">
        <v>6.4</v>
      </c>
      <c r="R290" s="4">
        <v>3</v>
      </c>
      <c r="T290" s="10"/>
      <c r="V290" s="17">
        <f>G290*'IAA digestibility'!G290</f>
        <v>1.3568</v>
      </c>
      <c r="W290" s="17">
        <f>H290*'IAA digestibility'!H290</f>
        <v>3.1228000000000002</v>
      </c>
      <c r="X290" s="17">
        <f>I290*'IAA digestibility'!I290</f>
        <v>3.9689999999999999</v>
      </c>
      <c r="Y290" s="17">
        <f>J290*'IAA digestibility'!J290</f>
        <v>7.548</v>
      </c>
      <c r="Z290" s="17">
        <f>K290*'IAA digestibility'!K290</f>
        <v>2.9378000000000002</v>
      </c>
      <c r="AA290" s="17">
        <f>L290*'IAA digestibility'!L290</f>
        <v>1.784</v>
      </c>
      <c r="AB290" s="17">
        <f>M290*'IAA digestibility'!M290</f>
        <v>2.5954999999999999</v>
      </c>
      <c r="AC290" s="17">
        <f>N290*'IAA digestibility'!N290</f>
        <v>5.4</v>
      </c>
      <c r="AD290" s="17">
        <f>O290*'IAA digestibility'!O290</f>
        <v>0</v>
      </c>
      <c r="AE290" s="17">
        <f>P290*'IAA digestibility'!P290</f>
        <v>4.7134999999999998</v>
      </c>
      <c r="AF290" s="17">
        <f>R290*'IAA digestibility'!R290</f>
        <v>2.625</v>
      </c>
      <c r="AG290" s="10"/>
      <c r="AH290" s="17">
        <f t="shared" si="73"/>
        <v>10.095238095238095</v>
      </c>
      <c r="AI290" s="17">
        <f t="shared" si="74"/>
        <v>23.235119047619051</v>
      </c>
      <c r="AJ290" s="17">
        <f t="shared" si="75"/>
        <v>29.53125</v>
      </c>
      <c r="AK290" s="17">
        <f t="shared" si="76"/>
        <v>56.160714285714285</v>
      </c>
      <c r="AL290" s="17">
        <f t="shared" si="77"/>
        <v>21.858630952380953</v>
      </c>
      <c r="AM290" s="17">
        <f t="shared" si="78"/>
        <v>32.585565476190474</v>
      </c>
      <c r="AN290" s="18">
        <f t="shared" si="79"/>
        <v>40.178571428571431</v>
      </c>
      <c r="AO290" s="17">
        <f t="shared" si="80"/>
        <v>35.070684523809518</v>
      </c>
      <c r="AP290" s="17">
        <f t="shared" si="81"/>
        <v>19.53125</v>
      </c>
    </row>
    <row r="291" spans="1:42" s="4" customFormat="1" x14ac:dyDescent="0.25">
      <c r="A291" s="4" t="str">
        <f>'IAA digestibility'!A291</f>
        <v>Sorghum, 1.6g/kg tannin, raw</v>
      </c>
      <c r="B291" s="4" t="str">
        <f>'IAA digestibility'!A291</f>
        <v>Sorghum, 1.6g/kg tannin, raw</v>
      </c>
      <c r="C291" s="4">
        <v>32</v>
      </c>
      <c r="F291" s="4">
        <v>94.9</v>
      </c>
      <c r="G291" s="4">
        <v>1</v>
      </c>
      <c r="H291" s="4">
        <v>2.9</v>
      </c>
      <c r="I291" s="4">
        <v>3.5</v>
      </c>
      <c r="J291" s="4">
        <v>12</v>
      </c>
      <c r="K291" s="4">
        <v>2</v>
      </c>
      <c r="L291" s="4">
        <v>1.6</v>
      </c>
      <c r="M291" s="4">
        <v>1.7</v>
      </c>
      <c r="N291" s="4">
        <v>4.5</v>
      </c>
      <c r="P291" s="4">
        <v>4.5</v>
      </c>
      <c r="Q291" s="4">
        <v>3.4</v>
      </c>
      <c r="R291" s="4">
        <v>2</v>
      </c>
      <c r="T291" s="10"/>
      <c r="V291" s="17">
        <f>G291*'IAA digestibility'!G291</f>
        <v>0.77300000000000002</v>
      </c>
      <c r="W291" s="17">
        <f>H291*'IAA digestibility'!H291</f>
        <v>2.1576</v>
      </c>
      <c r="X291" s="17">
        <f>I291*'IAA digestibility'!I291</f>
        <v>2.7720000000000002</v>
      </c>
      <c r="Y291" s="17">
        <f>J291*'IAA digestibility'!J291</f>
        <v>10.032</v>
      </c>
      <c r="Z291" s="17">
        <f>K291*'IAA digestibility'!K291</f>
        <v>1.3720000000000001</v>
      </c>
      <c r="AA291" s="17">
        <f>L291*'IAA digestibility'!L291</f>
        <v>1.32</v>
      </c>
      <c r="AB291" s="17">
        <f>M291*'IAA digestibility'!M291</f>
        <v>1.3072999999999999</v>
      </c>
      <c r="AC291" s="17">
        <f>N291*'IAA digestibility'!N291</f>
        <v>3.7484999999999999</v>
      </c>
      <c r="AD291" s="17">
        <f>O291*'IAA digestibility'!O291</f>
        <v>0</v>
      </c>
      <c r="AE291" s="17">
        <f>P291*'IAA digestibility'!P291</f>
        <v>3.5505</v>
      </c>
      <c r="AF291" s="17">
        <f>R291*'IAA digestibility'!R291</f>
        <v>1.532</v>
      </c>
      <c r="AG291" s="10"/>
      <c r="AH291" s="17">
        <f t="shared" si="73"/>
        <v>8.145416227608008</v>
      </c>
      <c r="AI291" s="17">
        <f t="shared" si="74"/>
        <v>22.735511064278185</v>
      </c>
      <c r="AJ291" s="17">
        <f t="shared" si="75"/>
        <v>29.209694415173868</v>
      </c>
      <c r="AK291" s="17">
        <f t="shared" si="76"/>
        <v>105.71127502634351</v>
      </c>
      <c r="AL291" s="17">
        <f t="shared" si="77"/>
        <v>14.457323498419388</v>
      </c>
      <c r="AM291" s="17">
        <f t="shared" si="78"/>
        <v>27.684931506849313</v>
      </c>
      <c r="AN291" s="18">
        <f t="shared" si="79"/>
        <v>39.499473129610116</v>
      </c>
      <c r="AO291" s="17">
        <f t="shared" si="80"/>
        <v>37.413066385669126</v>
      </c>
      <c r="AP291" s="17">
        <f t="shared" si="81"/>
        <v>16.143308746048472</v>
      </c>
    </row>
    <row r="292" spans="1:42" s="4" customFormat="1" x14ac:dyDescent="0.25">
      <c r="A292" s="4" t="str">
        <f>'IAA digestibility'!A292</f>
        <v xml:space="preserve">Sorghum, 1.5g/kg tannin, extruded </v>
      </c>
      <c r="B292" s="4" t="str">
        <f>'IAA digestibility'!A292</f>
        <v xml:space="preserve">Sorghum, 1.5g/kg tannin, extruded </v>
      </c>
      <c r="C292" s="4">
        <v>32</v>
      </c>
      <c r="F292" s="4">
        <v>92.7</v>
      </c>
      <c r="G292" s="4">
        <v>0.9</v>
      </c>
      <c r="H292" s="4">
        <v>2.6</v>
      </c>
      <c r="I292" s="4">
        <v>3.1</v>
      </c>
      <c r="J292" s="4">
        <v>10</v>
      </c>
      <c r="K292" s="4">
        <v>1.9</v>
      </c>
      <c r="L292" s="4">
        <v>1.4</v>
      </c>
      <c r="M292" s="4">
        <v>1.5</v>
      </c>
      <c r="N292" s="4">
        <v>4.2</v>
      </c>
      <c r="P292" s="4">
        <v>4</v>
      </c>
      <c r="Q292" s="4">
        <v>3.1</v>
      </c>
      <c r="R292" s="4">
        <v>1.8</v>
      </c>
      <c r="T292" s="10"/>
      <c r="V292" s="17">
        <f>G292*'IAA digestibility'!G292</f>
        <v>0.69930000000000003</v>
      </c>
      <c r="W292" s="17">
        <f>H292*'IAA digestibility'!H292</f>
        <v>2.0150000000000001</v>
      </c>
      <c r="X292" s="17">
        <f>I292*'IAA digestibility'!I292</f>
        <v>2.5419999999999998</v>
      </c>
      <c r="Y292" s="17">
        <f>J292*'IAA digestibility'!J292</f>
        <v>8.51</v>
      </c>
      <c r="Z292" s="17">
        <f>K292*'IAA digestibility'!K292</f>
        <v>1.4743999999999999</v>
      </c>
      <c r="AA292" s="17">
        <f>L292*'IAA digestibility'!L292</f>
        <v>1.1913999999999998</v>
      </c>
      <c r="AB292" s="17">
        <f>M292*'IAA digestibility'!M292</f>
        <v>1.1339999999999999</v>
      </c>
      <c r="AC292" s="17">
        <f>N292*'IAA digestibility'!N292</f>
        <v>3.5573999999999999</v>
      </c>
      <c r="AD292" s="17">
        <f>O292*'IAA digestibility'!O292</f>
        <v>0</v>
      </c>
      <c r="AE292" s="17">
        <f>P292*'IAA digestibility'!P292</f>
        <v>3.2280000000000002</v>
      </c>
      <c r="AF292" s="17">
        <f>R292*'IAA digestibility'!R292</f>
        <v>1.3716000000000002</v>
      </c>
      <c r="AG292" s="10"/>
      <c r="AH292" s="17">
        <f t="shared" si="73"/>
        <v>7.5436893203883493</v>
      </c>
      <c r="AI292" s="17">
        <f t="shared" si="74"/>
        <v>21.736785329018339</v>
      </c>
      <c r="AJ292" s="17">
        <f t="shared" si="75"/>
        <v>27.421790722761596</v>
      </c>
      <c r="AK292" s="17">
        <f t="shared" si="76"/>
        <v>91.80151024811218</v>
      </c>
      <c r="AL292" s="17">
        <f t="shared" si="77"/>
        <v>15.905070118662351</v>
      </c>
      <c r="AM292" s="17">
        <f t="shared" si="78"/>
        <v>25.085221143473568</v>
      </c>
      <c r="AN292" s="18">
        <f t="shared" si="79"/>
        <v>38.375404530744333</v>
      </c>
      <c r="AO292" s="17">
        <f t="shared" si="80"/>
        <v>34.822006472491907</v>
      </c>
      <c r="AP292" s="17">
        <f t="shared" si="81"/>
        <v>14.796116504854369</v>
      </c>
    </row>
    <row r="293" spans="1:42" s="6" customFormat="1" x14ac:dyDescent="0.25">
      <c r="V293" s="31"/>
      <c r="W293" s="31"/>
      <c r="X293" s="31"/>
      <c r="Y293" s="31"/>
      <c r="Z293" s="31"/>
      <c r="AA293" s="31"/>
      <c r="AB293" s="31"/>
      <c r="AC293" s="31"/>
      <c r="AD293" s="31"/>
      <c r="AE293" s="31"/>
      <c r="AF293" s="31"/>
      <c r="AH293" s="31"/>
      <c r="AI293" s="31"/>
      <c r="AJ293" s="31"/>
      <c r="AK293" s="31"/>
      <c r="AL293" s="31"/>
      <c r="AM293" s="31"/>
      <c r="AN293" s="30"/>
      <c r="AO293" s="31"/>
      <c r="AP293" s="31"/>
    </row>
    <row r="294" spans="1:42" s="4" customFormat="1" x14ac:dyDescent="0.25">
      <c r="T294" s="10"/>
      <c r="V294" s="17"/>
      <c r="W294" s="17"/>
      <c r="X294" s="17"/>
      <c r="Y294" s="17"/>
      <c r="Z294" s="17"/>
      <c r="AA294" s="17"/>
      <c r="AB294" s="17"/>
      <c r="AC294" s="17"/>
      <c r="AD294" s="17"/>
      <c r="AE294" s="17"/>
      <c r="AF294" s="17"/>
      <c r="AG294" s="10"/>
      <c r="AH294" s="17"/>
      <c r="AI294" s="17"/>
      <c r="AJ294" s="17"/>
      <c r="AK294" s="17"/>
      <c r="AL294" s="17"/>
      <c r="AM294" s="17"/>
      <c r="AN294" s="18"/>
      <c r="AO294" s="17"/>
      <c r="AP294" s="17"/>
    </row>
    <row r="295" spans="1:42" s="4" customFormat="1" x14ac:dyDescent="0.25">
      <c r="T295" s="10"/>
      <c r="V295" s="17"/>
      <c r="W295" s="17"/>
      <c r="X295" s="17"/>
      <c r="Y295" s="17"/>
      <c r="Z295" s="17"/>
      <c r="AA295" s="17"/>
      <c r="AB295" s="17"/>
      <c r="AC295" s="17"/>
      <c r="AD295" s="17"/>
      <c r="AE295" s="17"/>
      <c r="AF295" s="17"/>
      <c r="AG295" s="10"/>
      <c r="AH295" s="17"/>
      <c r="AI295" s="17"/>
      <c r="AJ295" s="17"/>
      <c r="AK295" s="17"/>
      <c r="AL295" s="17"/>
      <c r="AM295" s="17"/>
      <c r="AN295" s="18"/>
      <c r="AO295" s="17"/>
      <c r="AP295" s="17"/>
    </row>
    <row r="296" spans="1:42" s="4" customFormat="1" x14ac:dyDescent="0.25">
      <c r="T296" s="10"/>
      <c r="V296" s="17"/>
      <c r="W296" s="17"/>
      <c r="X296" s="17"/>
      <c r="Y296" s="17"/>
      <c r="Z296" s="17"/>
      <c r="AA296" s="17"/>
      <c r="AB296" s="17"/>
      <c r="AC296" s="17"/>
      <c r="AD296" s="17"/>
      <c r="AE296" s="17"/>
      <c r="AF296" s="17"/>
      <c r="AG296" s="10"/>
      <c r="AH296" s="17"/>
      <c r="AI296" s="17"/>
      <c r="AJ296" s="17"/>
      <c r="AK296" s="17"/>
      <c r="AL296" s="17"/>
      <c r="AM296" s="17"/>
      <c r="AN296" s="18"/>
      <c r="AO296" s="17"/>
      <c r="AP296" s="17"/>
    </row>
    <row r="297" spans="1:42" s="4" customFormat="1" x14ac:dyDescent="0.25">
      <c r="T297" s="10"/>
      <c r="V297" s="17"/>
      <c r="W297" s="17"/>
      <c r="X297" s="17"/>
      <c r="Y297" s="17"/>
      <c r="Z297" s="17"/>
      <c r="AA297" s="17"/>
      <c r="AB297" s="17"/>
      <c r="AC297" s="17"/>
      <c r="AD297" s="17"/>
      <c r="AE297" s="17"/>
      <c r="AF297" s="17"/>
      <c r="AG297" s="10"/>
      <c r="AH297" s="17"/>
      <c r="AI297" s="17"/>
      <c r="AJ297" s="17"/>
      <c r="AK297" s="17"/>
      <c r="AL297" s="17"/>
      <c r="AM297" s="17"/>
      <c r="AN297" s="18"/>
      <c r="AO297" s="17"/>
      <c r="AP297" s="17"/>
    </row>
    <row r="298" spans="1:42" x14ac:dyDescent="0.25">
      <c r="V298" s="17"/>
      <c r="W298" s="17"/>
      <c r="X298" s="17"/>
      <c r="Y298" s="17"/>
      <c r="Z298" s="17"/>
      <c r="AA298" s="17"/>
      <c r="AB298" s="17"/>
      <c r="AC298" s="17"/>
      <c r="AD298" s="17"/>
      <c r="AE298" s="17"/>
      <c r="AF298" s="17"/>
      <c r="AH298" s="17"/>
      <c r="AI298" s="17"/>
      <c r="AJ298" s="17"/>
      <c r="AK298" s="17"/>
      <c r="AL298" s="17"/>
      <c r="AM298" s="17"/>
      <c r="AN298" s="18"/>
      <c r="AO298" s="17"/>
      <c r="AP298" s="17"/>
    </row>
    <row r="299" spans="1:42" x14ac:dyDescent="0.25">
      <c r="V299" s="17"/>
      <c r="W299" s="17"/>
      <c r="X299" s="17"/>
      <c r="Y299" s="17"/>
      <c r="Z299" s="17"/>
      <c r="AA299" s="17"/>
      <c r="AB299" s="17"/>
      <c r="AC299" s="17"/>
      <c r="AD299" s="17"/>
      <c r="AE299" s="17"/>
      <c r="AF299" s="17"/>
      <c r="AH299" s="17"/>
      <c r="AI299" s="17"/>
      <c r="AJ299" s="17"/>
      <c r="AK299" s="17"/>
      <c r="AL299" s="17"/>
      <c r="AM299" s="17"/>
      <c r="AN299" s="18"/>
      <c r="AO299" s="17"/>
      <c r="AP299" s="17"/>
    </row>
    <row r="300" spans="1:42" x14ac:dyDescent="0.25">
      <c r="V300" s="17"/>
      <c r="W300" s="17"/>
      <c r="X300" s="17"/>
      <c r="Y300" s="17"/>
      <c r="Z300" s="17"/>
      <c r="AA300" s="17"/>
      <c r="AB300" s="17"/>
      <c r="AC300" s="17"/>
      <c r="AD300" s="17"/>
      <c r="AE300" s="17"/>
      <c r="AF300" s="17"/>
      <c r="AH300" s="17"/>
      <c r="AI300" s="17"/>
      <c r="AJ300" s="17"/>
      <c r="AK300" s="17"/>
      <c r="AL300" s="17"/>
      <c r="AM300" s="17"/>
      <c r="AN300" s="18"/>
      <c r="AO300" s="17"/>
      <c r="AP300" s="17"/>
    </row>
    <row r="301" spans="1:42" x14ac:dyDescent="0.25">
      <c r="V301" s="17"/>
      <c r="W301" s="17"/>
      <c r="X301" s="17"/>
      <c r="Y301" s="17"/>
      <c r="Z301" s="17"/>
      <c r="AA301" s="17"/>
      <c r="AB301" s="17"/>
      <c r="AC301" s="17"/>
      <c r="AD301" s="17"/>
      <c r="AE301" s="17"/>
      <c r="AF301" s="17"/>
      <c r="AH301" s="17"/>
      <c r="AI301" s="17"/>
      <c r="AJ301" s="17"/>
      <c r="AK301" s="17"/>
      <c r="AL301" s="17"/>
      <c r="AM301" s="17"/>
      <c r="AN301" s="18"/>
      <c r="AO301" s="17"/>
      <c r="AP301" s="17"/>
    </row>
    <row r="302" spans="1:42" x14ac:dyDescent="0.25">
      <c r="V302" s="17"/>
      <c r="W302" s="17"/>
      <c r="X302" s="17"/>
      <c r="Y302" s="17"/>
      <c r="Z302" s="17"/>
      <c r="AA302" s="17"/>
      <c r="AB302" s="17"/>
      <c r="AC302" s="17"/>
      <c r="AD302" s="17"/>
      <c r="AE302" s="17"/>
      <c r="AF302" s="17"/>
      <c r="AH302" s="17"/>
      <c r="AI302" s="17"/>
      <c r="AJ302" s="17"/>
      <c r="AK302" s="17"/>
      <c r="AL302" s="17"/>
      <c r="AM302" s="17"/>
      <c r="AN302" s="18"/>
      <c r="AO302" s="17"/>
      <c r="AP302" s="17"/>
    </row>
    <row r="303" spans="1:42" x14ac:dyDescent="0.25">
      <c r="V303" s="17"/>
      <c r="W303" s="17"/>
      <c r="X303" s="17"/>
      <c r="Y303" s="17"/>
      <c r="Z303" s="17"/>
      <c r="AA303" s="17"/>
      <c r="AB303" s="17"/>
      <c r="AC303" s="17"/>
      <c r="AD303" s="17"/>
      <c r="AE303" s="17"/>
      <c r="AF303" s="17"/>
      <c r="AH303" s="17"/>
      <c r="AI303" s="17"/>
      <c r="AJ303" s="17"/>
      <c r="AK303" s="17"/>
      <c r="AL303" s="17"/>
      <c r="AM303" s="17"/>
      <c r="AN303" s="18"/>
      <c r="AO303" s="17"/>
      <c r="AP303" s="17"/>
    </row>
    <row r="304" spans="1:42" x14ac:dyDescent="0.25">
      <c r="V304" s="17"/>
      <c r="W304" s="17"/>
      <c r="X304" s="17"/>
      <c r="Y304" s="17"/>
      <c r="Z304" s="17"/>
      <c r="AA304" s="17"/>
      <c r="AB304" s="17"/>
      <c r="AC304" s="17"/>
      <c r="AD304" s="17"/>
      <c r="AE304" s="17"/>
      <c r="AF304" s="17"/>
      <c r="AH304" s="17"/>
      <c r="AI304" s="17"/>
      <c r="AJ304" s="17"/>
      <c r="AK304" s="17"/>
      <c r="AL304" s="17"/>
      <c r="AM304" s="17"/>
      <c r="AN304" s="18"/>
      <c r="AO304" s="17"/>
      <c r="AP304" s="17"/>
    </row>
    <row r="305" spans="22:42" x14ac:dyDescent="0.25">
      <c r="V305" s="17"/>
      <c r="W305" s="17"/>
      <c r="X305" s="17"/>
      <c r="Y305" s="17"/>
      <c r="Z305" s="17"/>
      <c r="AA305" s="17"/>
      <c r="AB305" s="17"/>
      <c r="AC305" s="17"/>
      <c r="AD305" s="17"/>
      <c r="AE305" s="17"/>
      <c r="AF305" s="17"/>
      <c r="AH305" s="17"/>
      <c r="AI305" s="17"/>
      <c r="AJ305" s="17"/>
      <c r="AK305" s="17"/>
      <c r="AL305" s="17"/>
      <c r="AM305" s="17"/>
      <c r="AN305" s="18"/>
      <c r="AO305" s="17"/>
      <c r="AP305" s="17"/>
    </row>
    <row r="306" spans="22:42" x14ac:dyDescent="0.25">
      <c r="V306" s="17"/>
      <c r="W306" s="17"/>
      <c r="X306" s="17"/>
      <c r="Y306" s="17"/>
      <c r="Z306" s="17"/>
      <c r="AA306" s="17"/>
      <c r="AB306" s="17"/>
      <c r="AC306" s="17"/>
      <c r="AD306" s="17"/>
      <c r="AE306" s="17"/>
      <c r="AF306" s="17"/>
      <c r="AH306" s="17"/>
      <c r="AI306" s="17"/>
      <c r="AJ306" s="17"/>
      <c r="AK306" s="17"/>
      <c r="AL306" s="17"/>
      <c r="AM306" s="17"/>
      <c r="AN306" s="18"/>
      <c r="AO306" s="17"/>
      <c r="AP306" s="17"/>
    </row>
    <row r="307" spans="22:42" x14ac:dyDescent="0.25">
      <c r="V307" s="17"/>
      <c r="W307" s="17"/>
      <c r="X307" s="17"/>
      <c r="Y307" s="17"/>
      <c r="Z307" s="17"/>
      <c r="AA307" s="17"/>
      <c r="AB307" s="17"/>
      <c r="AC307" s="17"/>
      <c r="AD307" s="17"/>
      <c r="AE307" s="17"/>
      <c r="AF307" s="17"/>
      <c r="AH307" s="17"/>
      <c r="AI307" s="17"/>
      <c r="AJ307" s="17"/>
      <c r="AK307" s="17"/>
      <c r="AL307" s="17"/>
      <c r="AM307" s="17"/>
      <c r="AN307" s="18"/>
      <c r="AO307" s="17"/>
      <c r="AP307" s="17"/>
    </row>
    <row r="308" spans="22:42" x14ac:dyDescent="0.25">
      <c r="V308" s="17"/>
      <c r="W308" s="17"/>
      <c r="X308" s="17"/>
      <c r="Y308" s="17"/>
      <c r="Z308" s="17"/>
      <c r="AA308" s="17"/>
      <c r="AB308" s="17"/>
      <c r="AC308" s="17"/>
      <c r="AD308" s="17"/>
      <c r="AE308" s="17"/>
      <c r="AF308" s="17"/>
      <c r="AH308" s="17"/>
      <c r="AI308" s="17"/>
      <c r="AJ308" s="17"/>
      <c r="AK308" s="17"/>
      <c r="AL308" s="17"/>
      <c r="AM308" s="17"/>
      <c r="AN308" s="18"/>
      <c r="AO308" s="17"/>
      <c r="AP308" s="17"/>
    </row>
    <row r="309" spans="22:42" x14ac:dyDescent="0.25">
      <c r="V309" s="17"/>
      <c r="W309" s="17"/>
      <c r="X309" s="17"/>
      <c r="Y309" s="17"/>
      <c r="Z309" s="17"/>
      <c r="AA309" s="17"/>
      <c r="AB309" s="17"/>
      <c r="AC309" s="17"/>
      <c r="AD309" s="17"/>
      <c r="AE309" s="17"/>
      <c r="AF309" s="17"/>
      <c r="AH309" s="17"/>
      <c r="AI309" s="17"/>
      <c r="AJ309" s="17"/>
      <c r="AK309" s="17"/>
      <c r="AL309" s="17"/>
      <c r="AM309" s="17"/>
      <c r="AN309" s="18"/>
      <c r="AO309" s="17"/>
      <c r="AP309" s="17"/>
    </row>
    <row r="310" spans="22:42" x14ac:dyDescent="0.25">
      <c r="V310" s="17"/>
      <c r="W310" s="17"/>
      <c r="X310" s="17"/>
      <c r="Y310" s="17"/>
      <c r="Z310" s="17"/>
      <c r="AA310" s="17"/>
      <c r="AB310" s="17"/>
      <c r="AC310" s="17"/>
      <c r="AD310" s="17"/>
      <c r="AE310" s="17"/>
      <c r="AF310" s="17"/>
      <c r="AH310" s="17"/>
      <c r="AI310" s="17"/>
      <c r="AJ310" s="17"/>
      <c r="AK310" s="17"/>
      <c r="AL310" s="17"/>
      <c r="AM310" s="17"/>
      <c r="AN310" s="18"/>
      <c r="AO310" s="17"/>
      <c r="AP310" s="17"/>
    </row>
    <row r="311" spans="22:42" x14ac:dyDescent="0.25">
      <c r="V311" s="17"/>
      <c r="W311" s="17"/>
      <c r="X311" s="17"/>
      <c r="Y311" s="17"/>
      <c r="Z311" s="17"/>
      <c r="AA311" s="17"/>
      <c r="AB311" s="17"/>
      <c r="AC311" s="17"/>
      <c r="AD311" s="17"/>
      <c r="AE311" s="17"/>
      <c r="AF311" s="17"/>
      <c r="AH311" s="17"/>
      <c r="AI311" s="17"/>
      <c r="AJ311" s="17"/>
      <c r="AK311" s="17"/>
      <c r="AL311" s="17"/>
      <c r="AM311" s="17"/>
      <c r="AN311" s="18"/>
      <c r="AO311" s="17"/>
      <c r="AP311" s="17"/>
    </row>
    <row r="312" spans="22:42" x14ac:dyDescent="0.25">
      <c r="V312" s="17"/>
      <c r="W312" s="17"/>
      <c r="X312" s="17"/>
      <c r="Y312" s="17"/>
      <c r="Z312" s="17"/>
      <c r="AA312" s="17"/>
      <c r="AB312" s="17"/>
      <c r="AC312" s="17"/>
      <c r="AD312" s="17"/>
      <c r="AE312" s="17"/>
      <c r="AF312" s="17"/>
      <c r="AH312" s="17"/>
      <c r="AI312" s="17"/>
      <c r="AJ312" s="17"/>
      <c r="AK312" s="17"/>
      <c r="AL312" s="17"/>
      <c r="AM312" s="17"/>
      <c r="AN312" s="18"/>
      <c r="AO312" s="17"/>
      <c r="AP312" s="17"/>
    </row>
    <row r="313" spans="22:42" x14ac:dyDescent="0.25">
      <c r="V313" s="17"/>
      <c r="W313" s="17"/>
      <c r="X313" s="17"/>
      <c r="Y313" s="17"/>
      <c r="Z313" s="17"/>
      <c r="AA313" s="17"/>
      <c r="AB313" s="17"/>
      <c r="AC313" s="17"/>
      <c r="AD313" s="17"/>
      <c r="AE313" s="17"/>
      <c r="AF313" s="17"/>
      <c r="AH313" s="17"/>
      <c r="AI313" s="17"/>
      <c r="AJ313" s="17"/>
      <c r="AK313" s="17"/>
      <c r="AL313" s="17"/>
      <c r="AM313" s="17"/>
      <c r="AN313" s="18"/>
      <c r="AO313" s="17"/>
      <c r="AP313" s="17"/>
    </row>
    <row r="314" spans="22:42" x14ac:dyDescent="0.25">
      <c r="V314" s="17"/>
      <c r="W314" s="17"/>
      <c r="X314" s="17"/>
      <c r="Y314" s="17"/>
      <c r="Z314" s="17"/>
      <c r="AA314" s="17"/>
      <c r="AB314" s="17"/>
      <c r="AC314" s="17"/>
      <c r="AD314" s="17"/>
      <c r="AE314" s="17"/>
      <c r="AF314" s="17"/>
      <c r="AH314" s="17"/>
      <c r="AI314" s="17"/>
      <c r="AJ314" s="17"/>
      <c r="AK314" s="17"/>
      <c r="AL314" s="17"/>
      <c r="AM314" s="17"/>
      <c r="AN314" s="18"/>
      <c r="AO314" s="17"/>
      <c r="AP314" s="17"/>
    </row>
    <row r="315" spans="22:42" x14ac:dyDescent="0.25">
      <c r="V315" s="17"/>
      <c r="W315" s="17"/>
      <c r="X315" s="17"/>
      <c r="Y315" s="17"/>
      <c r="Z315" s="17"/>
      <c r="AA315" s="17"/>
      <c r="AB315" s="17"/>
      <c r="AC315" s="17"/>
      <c r="AD315" s="17"/>
      <c r="AE315" s="17"/>
      <c r="AF315" s="17"/>
      <c r="AH315" s="17"/>
      <c r="AI315" s="17"/>
      <c r="AJ315" s="17"/>
      <c r="AK315" s="17"/>
      <c r="AL315" s="17"/>
      <c r="AM315" s="17"/>
      <c r="AN315" s="18"/>
      <c r="AO315" s="17"/>
      <c r="AP315" s="17"/>
    </row>
    <row r="316" spans="22:42" x14ac:dyDescent="0.25">
      <c r="V316" s="17"/>
      <c r="W316" s="17"/>
      <c r="X316" s="17"/>
      <c r="Y316" s="17"/>
      <c r="Z316" s="17"/>
      <c r="AA316" s="17"/>
      <c r="AB316" s="17"/>
      <c r="AC316" s="17"/>
      <c r="AD316" s="17"/>
      <c r="AE316" s="17"/>
      <c r="AF316" s="17"/>
      <c r="AH316" s="17"/>
      <c r="AI316" s="17"/>
      <c r="AJ316" s="17"/>
      <c r="AK316" s="17"/>
      <c r="AL316" s="17"/>
      <c r="AM316" s="17"/>
      <c r="AN316" s="18"/>
      <c r="AO316" s="17"/>
      <c r="AP316" s="17"/>
    </row>
    <row r="317" spans="22:42" x14ac:dyDescent="0.25">
      <c r="V317" s="17"/>
      <c r="W317" s="17"/>
      <c r="X317" s="17"/>
      <c r="Y317" s="17"/>
      <c r="Z317" s="17"/>
      <c r="AA317" s="17"/>
      <c r="AB317" s="17"/>
      <c r="AC317" s="17"/>
      <c r="AD317" s="17"/>
      <c r="AE317" s="17"/>
      <c r="AF317" s="17"/>
      <c r="AH317" s="17"/>
      <c r="AI317" s="17"/>
      <c r="AJ317" s="17"/>
      <c r="AK317" s="17"/>
      <c r="AL317" s="17"/>
      <c r="AM317" s="17"/>
      <c r="AN317" s="18"/>
      <c r="AO317" s="17"/>
      <c r="AP317" s="17"/>
    </row>
    <row r="318" spans="22:42" x14ac:dyDescent="0.25">
      <c r="V318" s="17"/>
      <c r="W318" s="17"/>
      <c r="X318" s="17"/>
      <c r="Y318" s="17"/>
      <c r="Z318" s="17"/>
      <c r="AA318" s="17"/>
      <c r="AB318" s="17"/>
      <c r="AC318" s="17"/>
      <c r="AD318" s="17"/>
      <c r="AE318" s="17"/>
      <c r="AF318" s="17"/>
      <c r="AH318" s="17"/>
      <c r="AI318" s="17"/>
      <c r="AJ318" s="17"/>
      <c r="AK318" s="17"/>
      <c r="AL318" s="17"/>
      <c r="AM318" s="17"/>
      <c r="AN318" s="18"/>
      <c r="AO318" s="17"/>
      <c r="AP318" s="17"/>
    </row>
    <row r="319" spans="22:42" x14ac:dyDescent="0.25">
      <c r="V319" s="17"/>
      <c r="W319" s="17"/>
      <c r="X319" s="17"/>
      <c r="Y319" s="17"/>
      <c r="Z319" s="17"/>
      <c r="AA319" s="17"/>
      <c r="AB319" s="17"/>
      <c r="AC319" s="17"/>
      <c r="AD319" s="17"/>
      <c r="AE319" s="17"/>
      <c r="AF319" s="17"/>
      <c r="AH319" s="17"/>
      <c r="AI319" s="17"/>
      <c r="AJ319" s="17"/>
      <c r="AK319" s="17"/>
      <c r="AL319" s="17"/>
      <c r="AM319" s="17"/>
      <c r="AN319" s="18"/>
      <c r="AO319" s="17"/>
      <c r="AP319" s="17"/>
    </row>
    <row r="320" spans="22:42" x14ac:dyDescent="0.25">
      <c r="V320" s="17"/>
      <c r="W320" s="17"/>
      <c r="X320" s="17"/>
      <c r="Y320" s="17"/>
      <c r="Z320" s="17"/>
      <c r="AA320" s="17"/>
      <c r="AB320" s="17"/>
      <c r="AC320" s="17"/>
      <c r="AD320" s="17"/>
      <c r="AE320" s="17"/>
      <c r="AF320" s="17"/>
      <c r="AH320" s="17"/>
      <c r="AI320" s="17"/>
      <c r="AJ320" s="17"/>
      <c r="AK320" s="17"/>
      <c r="AL320" s="17"/>
      <c r="AM320" s="17"/>
      <c r="AN320" s="18"/>
      <c r="AO320" s="17"/>
      <c r="AP320" s="17"/>
    </row>
    <row r="321" spans="22:42" x14ac:dyDescent="0.25">
      <c r="V321" s="17"/>
      <c r="W321" s="17"/>
      <c r="X321" s="17"/>
      <c r="Y321" s="17"/>
      <c r="Z321" s="17"/>
      <c r="AA321" s="17"/>
      <c r="AB321" s="17"/>
      <c r="AC321" s="17"/>
      <c r="AD321" s="17"/>
      <c r="AE321" s="17"/>
      <c r="AF321" s="17"/>
      <c r="AH321" s="17"/>
      <c r="AI321" s="17"/>
      <c r="AJ321" s="17"/>
      <c r="AK321" s="17"/>
      <c r="AL321" s="17"/>
      <c r="AM321" s="17"/>
      <c r="AN321" s="18"/>
      <c r="AO321" s="17"/>
      <c r="AP321" s="17"/>
    </row>
    <row r="322" spans="22:42" x14ac:dyDescent="0.25">
      <c r="V322" s="17"/>
      <c r="W322" s="17"/>
      <c r="X322" s="17"/>
      <c r="Y322" s="17"/>
      <c r="Z322" s="17"/>
      <c r="AA322" s="17"/>
      <c r="AB322" s="17"/>
      <c r="AC322" s="17"/>
      <c r="AD322" s="17"/>
      <c r="AE322" s="17"/>
      <c r="AF322" s="17"/>
      <c r="AH322" s="17"/>
      <c r="AI322" s="17"/>
      <c r="AJ322" s="17"/>
      <c r="AK322" s="17"/>
      <c r="AL322" s="17"/>
      <c r="AM322" s="17"/>
      <c r="AN322" s="18"/>
      <c r="AO322" s="17"/>
      <c r="AP322" s="17"/>
    </row>
    <row r="323" spans="22:42" x14ac:dyDescent="0.25">
      <c r="V323" s="17"/>
      <c r="W323" s="17"/>
      <c r="X323" s="17"/>
      <c r="Y323" s="17"/>
      <c r="Z323" s="17"/>
      <c r="AA323" s="17"/>
      <c r="AB323" s="17"/>
      <c r="AC323" s="17"/>
      <c r="AD323" s="17"/>
      <c r="AE323" s="17"/>
      <c r="AF323" s="17"/>
      <c r="AH323" s="17"/>
      <c r="AI323" s="17"/>
      <c r="AJ323" s="17"/>
      <c r="AK323" s="17"/>
      <c r="AL323" s="17"/>
      <c r="AM323" s="17"/>
      <c r="AN323" s="18"/>
      <c r="AO323" s="17"/>
      <c r="AP323" s="17"/>
    </row>
    <row r="324" spans="22:42" x14ac:dyDescent="0.25">
      <c r="V324" s="17"/>
      <c r="W324" s="17"/>
      <c r="X324" s="17"/>
      <c r="Y324" s="17"/>
      <c r="Z324" s="17"/>
      <c r="AA324" s="17"/>
      <c r="AB324" s="17"/>
      <c r="AC324" s="17"/>
      <c r="AD324" s="17"/>
      <c r="AE324" s="17"/>
      <c r="AF324" s="17"/>
      <c r="AH324" s="17"/>
      <c r="AI324" s="17"/>
      <c r="AJ324" s="17"/>
      <c r="AK324" s="17"/>
      <c r="AL324" s="17"/>
      <c r="AM324" s="17"/>
      <c r="AN324" s="18"/>
      <c r="AO324" s="17"/>
      <c r="AP324" s="17"/>
    </row>
    <row r="325" spans="22:42" x14ac:dyDescent="0.25">
      <c r="V325" s="17"/>
      <c r="W325" s="17"/>
      <c r="X325" s="17"/>
      <c r="Y325" s="17"/>
      <c r="Z325" s="17"/>
      <c r="AA325" s="17"/>
      <c r="AB325" s="17"/>
      <c r="AC325" s="17"/>
      <c r="AD325" s="17"/>
      <c r="AE325" s="17"/>
      <c r="AF325" s="17"/>
      <c r="AH325" s="17"/>
      <c r="AI325" s="17"/>
      <c r="AJ325" s="17"/>
      <c r="AK325" s="17"/>
      <c r="AL325" s="17"/>
      <c r="AM325" s="17"/>
      <c r="AN325" s="18"/>
      <c r="AO325" s="17"/>
      <c r="AP325" s="17"/>
    </row>
    <row r="326" spans="22:42" x14ac:dyDescent="0.25">
      <c r="V326" s="17"/>
      <c r="W326" s="17"/>
      <c r="X326" s="17"/>
      <c r="Y326" s="17"/>
      <c r="Z326" s="17"/>
      <c r="AA326" s="17"/>
      <c r="AB326" s="17"/>
      <c r="AC326" s="17"/>
      <c r="AD326" s="17"/>
      <c r="AE326" s="17"/>
      <c r="AF326" s="17"/>
      <c r="AH326" s="17"/>
      <c r="AI326" s="17"/>
      <c r="AJ326" s="17"/>
      <c r="AK326" s="17"/>
      <c r="AL326" s="17"/>
      <c r="AM326" s="17"/>
      <c r="AN326" s="18"/>
      <c r="AO326" s="17"/>
      <c r="AP326" s="17"/>
    </row>
    <row r="327" spans="22:42" x14ac:dyDescent="0.25">
      <c r="V327" s="17"/>
      <c r="W327" s="17"/>
      <c r="X327" s="17"/>
      <c r="Y327" s="17"/>
      <c r="Z327" s="17"/>
      <c r="AA327" s="17"/>
      <c r="AB327" s="17"/>
      <c r="AC327" s="17"/>
      <c r="AD327" s="17"/>
      <c r="AE327" s="17"/>
      <c r="AF327" s="17"/>
      <c r="AH327" s="17"/>
      <c r="AI327" s="17"/>
      <c r="AJ327" s="17"/>
      <c r="AK327" s="17"/>
      <c r="AL327" s="17"/>
      <c r="AM327" s="17"/>
      <c r="AN327" s="18"/>
      <c r="AO327" s="17"/>
      <c r="AP327" s="17"/>
    </row>
    <row r="328" spans="22:42" x14ac:dyDescent="0.25">
      <c r="V328" s="17"/>
      <c r="W328" s="17"/>
      <c r="X328" s="17"/>
      <c r="Y328" s="17"/>
      <c r="Z328" s="17"/>
      <c r="AA328" s="17"/>
      <c r="AB328" s="17"/>
      <c r="AC328" s="17"/>
      <c r="AD328" s="17"/>
      <c r="AE328" s="17"/>
      <c r="AF328" s="17"/>
      <c r="AH328" s="17"/>
      <c r="AI328" s="17"/>
      <c r="AJ328" s="17"/>
      <c r="AK328" s="17"/>
      <c r="AL328" s="17"/>
      <c r="AM328" s="17"/>
      <c r="AN328" s="18"/>
      <c r="AO328" s="17"/>
      <c r="AP328" s="17"/>
    </row>
    <row r="329" spans="22:42" x14ac:dyDescent="0.25">
      <c r="V329" s="17"/>
      <c r="W329" s="17"/>
      <c r="X329" s="17"/>
      <c r="Y329" s="17"/>
      <c r="Z329" s="17"/>
      <c r="AA329" s="17"/>
      <c r="AB329" s="17"/>
      <c r="AC329" s="17"/>
      <c r="AD329" s="17"/>
      <c r="AE329" s="17"/>
      <c r="AF329" s="17"/>
      <c r="AH329" s="17"/>
      <c r="AI329" s="17"/>
      <c r="AJ329" s="17"/>
      <c r="AK329" s="17"/>
      <c r="AL329" s="17"/>
      <c r="AM329" s="17"/>
      <c r="AN329" s="18"/>
      <c r="AO329" s="17"/>
      <c r="AP329" s="17"/>
    </row>
    <row r="330" spans="22:42" x14ac:dyDescent="0.25">
      <c r="V330" s="17"/>
      <c r="W330" s="17"/>
      <c r="X330" s="17"/>
      <c r="Y330" s="17"/>
      <c r="Z330" s="17"/>
      <c r="AA330" s="17"/>
      <c r="AB330" s="17"/>
      <c r="AC330" s="17"/>
      <c r="AD330" s="17"/>
      <c r="AE330" s="17"/>
      <c r="AF330" s="17"/>
      <c r="AH330" s="17"/>
      <c r="AI330" s="17"/>
      <c r="AJ330" s="17"/>
      <c r="AK330" s="17"/>
      <c r="AL330" s="17"/>
      <c r="AM330" s="17"/>
      <c r="AN330" s="18"/>
      <c r="AO330" s="17"/>
      <c r="AP330" s="17"/>
    </row>
    <row r="331" spans="22:42" x14ac:dyDescent="0.25">
      <c r="V331" s="17"/>
      <c r="W331" s="17"/>
      <c r="X331" s="17"/>
      <c r="Y331" s="17"/>
      <c r="Z331" s="17"/>
      <c r="AA331" s="17"/>
      <c r="AB331" s="17"/>
      <c r="AC331" s="17"/>
      <c r="AD331" s="17"/>
      <c r="AE331" s="17"/>
      <c r="AF331" s="17"/>
      <c r="AH331" s="17"/>
      <c r="AI331" s="17"/>
      <c r="AJ331" s="17"/>
      <c r="AK331" s="17"/>
      <c r="AL331" s="17"/>
      <c r="AM331" s="17"/>
      <c r="AN331" s="18"/>
      <c r="AO331" s="17"/>
      <c r="AP331" s="17"/>
    </row>
    <row r="332" spans="22:42" x14ac:dyDescent="0.25">
      <c r="V332" s="17"/>
      <c r="W332" s="17"/>
      <c r="X332" s="17"/>
      <c r="Y332" s="17"/>
      <c r="Z332" s="17"/>
      <c r="AA332" s="17"/>
      <c r="AB332" s="17"/>
      <c r="AC332" s="17"/>
      <c r="AD332" s="17"/>
      <c r="AE332" s="17"/>
      <c r="AF332" s="17"/>
      <c r="AH332" s="17"/>
      <c r="AI332" s="17"/>
      <c r="AJ332" s="17"/>
      <c r="AK332" s="17"/>
      <c r="AL332" s="17"/>
      <c r="AM332" s="17"/>
      <c r="AN332" s="18"/>
      <c r="AO332" s="17"/>
      <c r="AP332" s="17"/>
    </row>
    <row r="333" spans="22:42" x14ac:dyDescent="0.25">
      <c r="V333" s="17"/>
      <c r="W333" s="17"/>
      <c r="X333" s="17"/>
      <c r="Y333" s="17"/>
      <c r="Z333" s="17"/>
      <c r="AA333" s="17"/>
      <c r="AB333" s="17"/>
      <c r="AC333" s="17"/>
      <c r="AD333" s="17"/>
      <c r="AE333" s="17"/>
      <c r="AF333" s="17"/>
      <c r="AH333" s="17"/>
      <c r="AI333" s="17"/>
      <c r="AJ333" s="17"/>
      <c r="AK333" s="17"/>
      <c r="AL333" s="17"/>
      <c r="AM333" s="17"/>
      <c r="AN333" s="18"/>
      <c r="AO333" s="17"/>
      <c r="AP333" s="17"/>
    </row>
    <row r="334" spans="22:42" x14ac:dyDescent="0.25">
      <c r="V334" s="17"/>
      <c r="W334" s="17"/>
      <c r="X334" s="17"/>
      <c r="Y334" s="17"/>
      <c r="Z334" s="17"/>
      <c r="AA334" s="17"/>
      <c r="AB334" s="17"/>
      <c r="AC334" s="17"/>
      <c r="AD334" s="17"/>
      <c r="AE334" s="17"/>
      <c r="AF334" s="17"/>
      <c r="AH334" s="17"/>
      <c r="AI334" s="17"/>
      <c r="AJ334" s="17"/>
      <c r="AK334" s="17"/>
      <c r="AL334" s="17"/>
      <c r="AM334" s="17"/>
      <c r="AN334" s="18"/>
      <c r="AO334" s="17"/>
      <c r="AP334" s="17"/>
    </row>
    <row r="335" spans="22:42" x14ac:dyDescent="0.25">
      <c r="V335" s="17"/>
      <c r="W335" s="17"/>
      <c r="X335" s="17"/>
      <c r="Y335" s="17"/>
      <c r="Z335" s="17"/>
      <c r="AA335" s="17"/>
      <c r="AB335" s="17"/>
      <c r="AC335" s="17"/>
      <c r="AD335" s="17"/>
      <c r="AE335" s="17"/>
      <c r="AF335" s="17"/>
      <c r="AH335" s="17"/>
      <c r="AI335" s="17"/>
      <c r="AJ335" s="17"/>
      <c r="AK335" s="17"/>
      <c r="AL335" s="17"/>
      <c r="AM335" s="17"/>
      <c r="AN335" s="18"/>
      <c r="AO335" s="17"/>
      <c r="AP335" s="17"/>
    </row>
    <row r="336" spans="22:42" x14ac:dyDescent="0.25">
      <c r="V336" s="17"/>
      <c r="W336" s="17"/>
      <c r="X336" s="17"/>
      <c r="Y336" s="17"/>
      <c r="Z336" s="17"/>
      <c r="AA336" s="17"/>
      <c r="AB336" s="17"/>
      <c r="AC336" s="17"/>
      <c r="AD336" s="17"/>
      <c r="AE336" s="17"/>
      <c r="AF336" s="17"/>
      <c r="AH336" s="17"/>
      <c r="AI336" s="17"/>
      <c r="AJ336" s="17"/>
      <c r="AK336" s="17"/>
      <c r="AL336" s="17"/>
      <c r="AM336" s="17"/>
      <c r="AN336" s="18"/>
      <c r="AO336" s="17"/>
      <c r="AP336" s="17"/>
    </row>
    <row r="337" spans="22:42" x14ac:dyDescent="0.25">
      <c r="V337" s="17"/>
      <c r="W337" s="17"/>
      <c r="X337" s="17"/>
      <c r="Y337" s="17"/>
      <c r="Z337" s="17"/>
      <c r="AA337" s="17"/>
      <c r="AB337" s="17"/>
      <c r="AC337" s="17"/>
      <c r="AD337" s="17"/>
      <c r="AE337" s="17"/>
      <c r="AF337" s="17"/>
      <c r="AH337" s="17"/>
      <c r="AI337" s="17"/>
      <c r="AJ337" s="17"/>
      <c r="AK337" s="17"/>
      <c r="AL337" s="17"/>
      <c r="AM337" s="17"/>
      <c r="AN337" s="18"/>
      <c r="AO337" s="17"/>
      <c r="AP337" s="17"/>
    </row>
    <row r="338" spans="22:42" x14ac:dyDescent="0.25">
      <c r="V338" s="17"/>
      <c r="W338" s="17"/>
      <c r="X338" s="17"/>
      <c r="Y338" s="17"/>
      <c r="Z338" s="17"/>
      <c r="AA338" s="17"/>
      <c r="AB338" s="17"/>
      <c r="AC338" s="17"/>
      <c r="AD338" s="17"/>
      <c r="AE338" s="17"/>
      <c r="AF338" s="17"/>
      <c r="AH338" s="17"/>
      <c r="AI338" s="17"/>
      <c r="AJ338" s="17"/>
      <c r="AK338" s="17"/>
      <c r="AL338" s="17"/>
      <c r="AM338" s="17"/>
      <c r="AN338" s="18"/>
      <c r="AO338" s="17"/>
      <c r="AP338" s="17"/>
    </row>
    <row r="339" spans="22:42" x14ac:dyDescent="0.25">
      <c r="V339" s="17"/>
      <c r="W339" s="17"/>
      <c r="X339" s="17"/>
      <c r="Y339" s="17"/>
      <c r="Z339" s="17"/>
      <c r="AA339" s="17"/>
      <c r="AB339" s="17"/>
      <c r="AC339" s="17"/>
      <c r="AD339" s="17"/>
      <c r="AE339" s="17"/>
      <c r="AF339" s="17"/>
      <c r="AH339" s="17"/>
      <c r="AI339" s="17"/>
      <c r="AJ339" s="17"/>
      <c r="AK339" s="17"/>
      <c r="AL339" s="17"/>
      <c r="AM339" s="17"/>
      <c r="AN339" s="18"/>
      <c r="AO339" s="17"/>
      <c r="AP339" s="17"/>
    </row>
    <row r="340" spans="22:42" x14ac:dyDescent="0.25">
      <c r="V340" s="17"/>
      <c r="W340" s="17"/>
      <c r="X340" s="17"/>
      <c r="Y340" s="17"/>
      <c r="Z340" s="17"/>
      <c r="AA340" s="17"/>
      <c r="AB340" s="17"/>
      <c r="AC340" s="17"/>
      <c r="AD340" s="17"/>
      <c r="AE340" s="17"/>
      <c r="AF340" s="17"/>
      <c r="AH340" s="17"/>
      <c r="AI340" s="17"/>
      <c r="AJ340" s="17"/>
      <c r="AK340" s="17"/>
      <c r="AL340" s="17"/>
      <c r="AM340" s="17"/>
      <c r="AN340" s="18"/>
      <c r="AO340" s="17"/>
      <c r="AP340" s="17"/>
    </row>
    <row r="341" spans="22:42" x14ac:dyDescent="0.25">
      <c r="V341" s="17"/>
      <c r="W341" s="17"/>
      <c r="X341" s="17"/>
      <c r="Y341" s="17"/>
      <c r="Z341" s="17"/>
      <c r="AA341" s="17"/>
      <c r="AB341" s="17"/>
      <c r="AC341" s="17"/>
      <c r="AD341" s="17"/>
      <c r="AE341" s="17"/>
      <c r="AF341" s="17"/>
      <c r="AH341" s="17"/>
      <c r="AI341" s="17"/>
      <c r="AJ341" s="17"/>
      <c r="AK341" s="17"/>
      <c r="AL341" s="17"/>
      <c r="AM341" s="17"/>
      <c r="AN341" s="18"/>
      <c r="AO341" s="17"/>
      <c r="AP341" s="17"/>
    </row>
    <row r="342" spans="22:42" x14ac:dyDescent="0.25">
      <c r="V342" s="17"/>
      <c r="W342" s="17"/>
      <c r="X342" s="17"/>
      <c r="Y342" s="17"/>
      <c r="Z342" s="17"/>
      <c r="AA342" s="17"/>
      <c r="AB342" s="17"/>
      <c r="AC342" s="17"/>
      <c r="AD342" s="17"/>
      <c r="AE342" s="17"/>
      <c r="AF342" s="17"/>
      <c r="AH342" s="17"/>
      <c r="AI342" s="17"/>
      <c r="AJ342" s="17"/>
      <c r="AK342" s="17"/>
      <c r="AL342" s="17"/>
      <c r="AM342" s="17"/>
      <c r="AN342" s="18"/>
      <c r="AO342" s="17"/>
      <c r="AP342" s="17"/>
    </row>
    <row r="343" spans="22:42" x14ac:dyDescent="0.25">
      <c r="V343" s="17"/>
      <c r="W343" s="17"/>
      <c r="X343" s="17"/>
      <c r="Y343" s="17"/>
      <c r="Z343" s="17"/>
      <c r="AA343" s="17"/>
      <c r="AB343" s="17"/>
      <c r="AC343" s="17"/>
      <c r="AD343" s="17"/>
      <c r="AE343" s="17"/>
      <c r="AF343" s="17"/>
      <c r="AH343" s="17"/>
      <c r="AI343" s="17"/>
      <c r="AJ343" s="17"/>
      <c r="AK343" s="17"/>
      <c r="AL343" s="17"/>
      <c r="AM343" s="17"/>
      <c r="AN343" s="18"/>
      <c r="AO343" s="17"/>
      <c r="AP343" s="17"/>
    </row>
    <row r="344" spans="22:42" x14ac:dyDescent="0.25">
      <c r="V344" s="17"/>
      <c r="W344" s="17"/>
      <c r="X344" s="17"/>
      <c r="Y344" s="17"/>
      <c r="Z344" s="17"/>
      <c r="AA344" s="17"/>
      <c r="AB344" s="17"/>
      <c r="AC344" s="17"/>
      <c r="AD344" s="17"/>
      <c r="AE344" s="17"/>
      <c r="AF344" s="17"/>
      <c r="AH344" s="17"/>
      <c r="AI344" s="17"/>
      <c r="AJ344" s="17"/>
      <c r="AK344" s="17"/>
      <c r="AL344" s="17"/>
      <c r="AM344" s="17"/>
      <c r="AN344" s="18"/>
      <c r="AO344" s="17"/>
      <c r="AP344" s="17"/>
    </row>
  </sheetData>
  <phoneticPr fontId="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C2760-7911-43A9-A37E-C4A8BB1166FA}">
  <dimension ref="A1:N293"/>
  <sheetViews>
    <sheetView workbookViewId="0">
      <pane ySplit="1" topLeftCell="A2" activePane="bottomLeft" state="frozen"/>
      <selection pane="bottomLeft" activeCell="N218" sqref="N218"/>
    </sheetView>
  </sheetViews>
  <sheetFormatPr defaultColWidth="9.5703125" defaultRowHeight="15" x14ac:dyDescent="0.25"/>
  <cols>
    <col min="1" max="1" width="54.42578125" style="5" customWidth="1"/>
    <col min="2" max="2" width="33.140625" style="5" customWidth="1"/>
    <col min="3" max="3" width="7.85546875" style="5" customWidth="1"/>
    <col min="4" max="4" width="8" style="5" customWidth="1"/>
    <col min="5" max="5" width="6.85546875" style="5" customWidth="1"/>
    <col min="6" max="6" width="6.140625" style="5" customWidth="1"/>
    <col min="7" max="7" width="5.85546875" style="5" customWidth="1"/>
    <col min="8" max="8" width="7.140625" style="5" customWidth="1"/>
    <col min="9" max="9" width="7.42578125" style="5" customWidth="1"/>
    <col min="10" max="10" width="6.5703125" style="5" customWidth="1"/>
    <col min="11" max="11" width="6.28515625" style="5" customWidth="1"/>
    <col min="12" max="12" width="17.28515625" style="5" customWidth="1"/>
    <col min="13" max="13" width="17.140625" style="5" customWidth="1"/>
    <col min="14" max="14" width="37" style="5" customWidth="1"/>
    <col min="15" max="16384" width="9.5703125" style="5"/>
  </cols>
  <sheetData>
    <row r="1" spans="1:14" s="12" customFormat="1" x14ac:dyDescent="0.25">
      <c r="A1" s="12" t="s">
        <v>0</v>
      </c>
      <c r="B1" s="12" t="s">
        <v>1</v>
      </c>
      <c r="C1" s="12" t="s">
        <v>362</v>
      </c>
      <c r="D1" s="12" t="s">
        <v>343</v>
      </c>
      <c r="E1" s="12" t="s">
        <v>344</v>
      </c>
      <c r="F1" s="12" t="s">
        <v>345</v>
      </c>
      <c r="G1" s="12" t="s">
        <v>346</v>
      </c>
      <c r="H1" s="12" t="s">
        <v>355</v>
      </c>
      <c r="I1" s="12" t="s">
        <v>356</v>
      </c>
      <c r="J1" s="12" t="s">
        <v>351</v>
      </c>
      <c r="K1" s="12" t="s">
        <v>353</v>
      </c>
      <c r="L1" s="12" t="s">
        <v>360</v>
      </c>
      <c r="M1" s="12" t="s">
        <v>361</v>
      </c>
      <c r="N1" s="12" t="s">
        <v>255</v>
      </c>
    </row>
    <row r="2" spans="1:14" s="13" customFormat="1" ht="15.75" thickBot="1" x14ac:dyDescent="0.3">
      <c r="B2" s="13" t="s">
        <v>523</v>
      </c>
      <c r="C2" s="13">
        <v>17</v>
      </c>
      <c r="D2" s="13">
        <v>44</v>
      </c>
      <c r="E2" s="13">
        <v>55</v>
      </c>
      <c r="F2" s="13">
        <v>96</v>
      </c>
      <c r="G2" s="13">
        <v>69</v>
      </c>
      <c r="H2" s="13">
        <v>33</v>
      </c>
      <c r="I2" s="13">
        <v>94</v>
      </c>
      <c r="J2" s="13">
        <v>55</v>
      </c>
      <c r="K2" s="13">
        <v>21</v>
      </c>
      <c r="L2" s="19"/>
    </row>
    <row r="3" spans="1:14" s="4" customFormat="1" x14ac:dyDescent="0.25">
      <c r="A3" s="4" t="s">
        <v>39</v>
      </c>
      <c r="B3" s="4" t="s">
        <v>10</v>
      </c>
      <c r="C3" s="23">
        <f>'Total and digestible IAA'!AH3/$C$2</f>
        <v>0.57574180114523676</v>
      </c>
      <c r="D3" s="23">
        <f>'Total and digestible IAA'!AI3/$D$2</f>
        <v>0.58829444891391791</v>
      </c>
      <c r="E3" s="23">
        <f>'Total and digestible IAA'!AJ3/$E$2</f>
        <v>0.53435237329042629</v>
      </c>
      <c r="F3" s="23">
        <f>'Total and digestible IAA'!AK3/$F$2</f>
        <v>0.58914085545722716</v>
      </c>
      <c r="G3" s="23">
        <f>'Total and digestible IAA'!AL3/$G$2</f>
        <v>0.41362062331666022</v>
      </c>
      <c r="H3" s="23">
        <f>'Total and digestible IAA'!AM3/$H$2</f>
        <v>1.0085813891123625</v>
      </c>
      <c r="I3" s="23">
        <f>'Total and digestible IAA'!AN3/$I$2</f>
        <v>0.68499340990397295</v>
      </c>
      <c r="J3" s="23">
        <f>'Total and digestible IAA'!AO3/$J$2</f>
        <v>0.73370876910699923</v>
      </c>
      <c r="K3" s="23">
        <f>'Total and digestible IAA'!AP3/$K$2</f>
        <v>0.88748419721871064</v>
      </c>
      <c r="L3" s="24">
        <f>MIN(C3:K3)*100</f>
        <v>41.362062331666024</v>
      </c>
      <c r="M3" s="14" t="s">
        <v>8</v>
      </c>
    </row>
    <row r="4" spans="1:14" x14ac:dyDescent="0.25">
      <c r="A4" s="5" t="s">
        <v>220</v>
      </c>
      <c r="B4" s="4" t="s">
        <v>10</v>
      </c>
      <c r="C4" s="23">
        <f>'Total and digestible IAA'!AH4/$C$2</f>
        <v>0.41874376869391822</v>
      </c>
      <c r="D4" s="23">
        <f>'Total and digestible IAA'!AI4/$D$2</f>
        <v>0.47149460708782737</v>
      </c>
      <c r="E4" s="23">
        <f>'Total and digestible IAA'!AJ4/$E$2</f>
        <v>0.45670261941448387</v>
      </c>
      <c r="F4" s="23">
        <f>'Total and digestible IAA'!AK4/$F$2</f>
        <v>0.50909251412429379</v>
      </c>
      <c r="G4" s="23">
        <f>'Total and digestible IAA'!AL4/$G$2</f>
        <v>0.35445836403831982</v>
      </c>
      <c r="H4" s="23">
        <f>'Total and digestible IAA'!AM4/$H$2</f>
        <v>0.81304571135079606</v>
      </c>
      <c r="I4" s="23">
        <f>'Total and digestible IAA'!AN4/$I$2</f>
        <v>0.59403173458348357</v>
      </c>
      <c r="J4" s="23">
        <f>'Total and digestible IAA'!AO4/$J$2</f>
        <v>0.62881355932203387</v>
      </c>
      <c r="K4" s="23">
        <f>'Total and digestible IAA'!AP4/$K$2</f>
        <v>0.81719128329297841</v>
      </c>
      <c r="L4" s="24">
        <f t="shared" ref="L4:L67" si="0">MIN(C4:K4)*100</f>
        <v>35.445836403831983</v>
      </c>
      <c r="M4" s="14" t="s">
        <v>8</v>
      </c>
    </row>
    <row r="5" spans="1:14" x14ac:dyDescent="0.25">
      <c r="A5" s="5" t="s">
        <v>20</v>
      </c>
      <c r="B5" s="4" t="s">
        <v>10</v>
      </c>
      <c r="C5" s="23">
        <f>'Total and digestible IAA'!AH5/$C$2</f>
        <v>0.49963689179375459</v>
      </c>
      <c r="D5" s="23">
        <f>'Total and digestible IAA'!AI5/$D$2</f>
        <v>0.68939393939393945</v>
      </c>
      <c r="E5" s="23">
        <f>'Total and digestible IAA'!AJ5/$E$2</f>
        <v>0.59887766554433219</v>
      </c>
      <c r="F5" s="23">
        <f>'Total and digestible IAA'!AK5/$F$2</f>
        <v>0.63194444444444453</v>
      </c>
      <c r="G5" s="23">
        <f>'Total and digestible IAA'!AL5/$G$2</f>
        <v>0.31848273394167115</v>
      </c>
      <c r="H5" s="23">
        <f>'Total and digestible IAA'!AM5/$H$2</f>
        <v>0.9573512906846241</v>
      </c>
      <c r="I5" s="23">
        <f>'Total and digestible IAA'!AN5/$I$2</f>
        <v>0.71158392434988171</v>
      </c>
      <c r="J5" s="23">
        <f>'Total and digestible IAA'!AO5/$J$2</f>
        <v>0.74747474747474751</v>
      </c>
      <c r="K5" s="23">
        <f>'Total and digestible IAA'!AP5/$K$2</f>
        <v>1.038800705467372</v>
      </c>
      <c r="L5" s="24">
        <f t="shared" si="0"/>
        <v>31.848273394167116</v>
      </c>
      <c r="M5" s="14" t="s">
        <v>8</v>
      </c>
    </row>
    <row r="6" spans="1:14" x14ac:dyDescent="0.25">
      <c r="A6" s="5" t="s">
        <v>19</v>
      </c>
      <c r="B6" s="4" t="s">
        <v>10</v>
      </c>
      <c r="C6" s="23">
        <f>'Total and digestible IAA'!AH6/$C$2</f>
        <v>0.52503646086533795</v>
      </c>
      <c r="D6" s="23">
        <f>'Total and digestible IAA'!AI6/$D$2</f>
        <v>0.68369646882043578</v>
      </c>
      <c r="E6" s="23">
        <f>'Total and digestible IAA'!AJ6/$E$2</f>
        <v>0.60826446280991742</v>
      </c>
      <c r="F6" s="23">
        <f>'Total and digestible IAA'!AK6/$F$2</f>
        <v>0.64049586776859513</v>
      </c>
      <c r="G6" s="23">
        <f>'Total and digestible IAA'!AL6/$G$2</f>
        <v>0.33057851239669422</v>
      </c>
      <c r="H6" s="23">
        <f>'Total and digestible IAA'!AM6/$H$2</f>
        <v>0.98572501878287</v>
      </c>
      <c r="I6" s="23">
        <f>'Total and digestible IAA'!AN6/$I$2</f>
        <v>0.71127132055565323</v>
      </c>
      <c r="J6" s="23">
        <f>'Total and digestible IAA'!AO6/$J$2</f>
        <v>0.75206611570247928</v>
      </c>
      <c r="K6" s="23">
        <f>'Total and digestible IAA'!AP6/$K$2</f>
        <v>1.0499803227075954</v>
      </c>
      <c r="L6" s="24">
        <f t="shared" si="0"/>
        <v>33.057851239669425</v>
      </c>
      <c r="M6" s="14" t="s">
        <v>8</v>
      </c>
    </row>
    <row r="7" spans="1:14" x14ac:dyDescent="0.25">
      <c r="A7" s="5" t="s">
        <v>44</v>
      </c>
      <c r="B7" s="4" t="s">
        <v>10</v>
      </c>
      <c r="C7" s="23">
        <f>'Total and digestible IAA'!AH7/$C$2</f>
        <v>0.30185758513931887</v>
      </c>
      <c r="D7" s="23">
        <f>'Total and digestible IAA'!AI7/$D$2</f>
        <v>0.61363636363636365</v>
      </c>
      <c r="E7" s="23">
        <f>'Total and digestible IAA'!AJ7/$E$2</f>
        <v>0.53492822966507181</v>
      </c>
      <c r="F7" s="23">
        <f>'Total and digestible IAA'!AK7/$F$2</f>
        <v>1.1600877192982457</v>
      </c>
      <c r="G7" s="23">
        <f>'Total and digestible IAA'!AL7/$G$2</f>
        <v>0.31884057971014496</v>
      </c>
      <c r="H7" s="23">
        <f>'Total and digestible IAA'!AM7/$H$2</f>
        <v>1.1224082934609252</v>
      </c>
      <c r="I7" s="23">
        <f>'Total and digestible IAA'!AN7/$I$2</f>
        <v>0.79171332586786125</v>
      </c>
      <c r="J7" s="23">
        <f>'Total and digestible IAA'!AO7/$J$2</f>
        <v>0.75239234449760772</v>
      </c>
      <c r="K7" s="23">
        <f>'Total and digestible IAA'!AP7/$K$2</f>
        <v>1.2105263157894737</v>
      </c>
      <c r="L7" s="24">
        <f t="shared" si="0"/>
        <v>30.185758513931887</v>
      </c>
      <c r="M7" s="14" t="s">
        <v>8</v>
      </c>
    </row>
    <row r="8" spans="1:14" x14ac:dyDescent="0.25">
      <c r="A8" s="5" t="s">
        <v>40</v>
      </c>
      <c r="B8" s="4" t="s">
        <v>10</v>
      </c>
      <c r="C8" s="23">
        <f>'Total and digestible IAA'!AH8/$C$2</f>
        <v>0.32085561497326198</v>
      </c>
      <c r="D8" s="23">
        <f>'Total and digestible IAA'!AI8/$D$2</f>
        <v>0.70738636363636365</v>
      </c>
      <c r="E8" s="23">
        <f>'Total and digestible IAA'!AJ8/$E$2</f>
        <v>0.6</v>
      </c>
      <c r="F8" s="23">
        <f>'Total and digestible IAA'!AK8/$F$2</f>
        <v>1.1889204545454546</v>
      </c>
      <c r="G8" s="23">
        <f>'Total and digestible IAA'!AL8/$G$2</f>
        <v>0.35573122529644269</v>
      </c>
      <c r="H8" s="23">
        <f>'Total and digestible IAA'!AM8/$H$2</f>
        <v>1.2696280991735538</v>
      </c>
      <c r="I8" s="23">
        <f>'Total and digestible IAA'!AN8/$I$2</f>
        <v>0.87560444874274668</v>
      </c>
      <c r="J8" s="23">
        <f>'Total and digestible IAA'!AO8/$J$2</f>
        <v>0.79090909090909101</v>
      </c>
      <c r="K8" s="23">
        <f>'Total and digestible IAA'!AP8/$K$2</f>
        <v>1.2521645021645023</v>
      </c>
      <c r="L8" s="24">
        <f t="shared" si="0"/>
        <v>32.085561497326196</v>
      </c>
      <c r="M8" s="15" t="s">
        <v>6</v>
      </c>
    </row>
    <row r="9" spans="1:14" x14ac:dyDescent="0.25">
      <c r="A9" s="5" t="s">
        <v>42</v>
      </c>
      <c r="B9" s="4" t="s">
        <v>10</v>
      </c>
      <c r="C9" s="23">
        <f>'Total and digestible IAA'!AH9/$C$2</f>
        <v>0.33288770053475936</v>
      </c>
      <c r="D9" s="23">
        <f>'Total and digestible IAA'!AI9/$D$2</f>
        <v>0.69034090909090906</v>
      </c>
      <c r="E9" s="23">
        <f>'Total and digestible IAA'!AJ9/$E$2</f>
        <v>0.59318181818181814</v>
      </c>
      <c r="F9" s="23">
        <f>'Total and digestible IAA'!AK9/$F$2</f>
        <v>1.1633522727272729</v>
      </c>
      <c r="G9" s="23">
        <f>'Total and digestible IAA'!AL9/$G$2</f>
        <v>0.35128458498023718</v>
      </c>
      <c r="H9" s="23">
        <f>'Total and digestible IAA'!AM9/$H$2</f>
        <v>1.2413911845730026</v>
      </c>
      <c r="I9" s="23">
        <f>'Total and digestible IAA'!AN9/$I$2</f>
        <v>0.86593326885880084</v>
      </c>
      <c r="J9" s="23">
        <f>'Total and digestible IAA'!AO9/$J$2</f>
        <v>0.78181818181818186</v>
      </c>
      <c r="K9" s="23">
        <f>'Total and digestible IAA'!AP9/$K$2</f>
        <v>1.2240259740259742</v>
      </c>
      <c r="L9" s="24">
        <f t="shared" si="0"/>
        <v>33.288770053475936</v>
      </c>
      <c r="M9" s="15" t="s">
        <v>6</v>
      </c>
    </row>
    <row r="10" spans="1:14" x14ac:dyDescent="0.25">
      <c r="A10" s="5" t="s">
        <v>41</v>
      </c>
      <c r="B10" s="4" t="s">
        <v>10</v>
      </c>
      <c r="C10" s="23">
        <f>'Total and digestible IAA'!AH10/$C$2</f>
        <v>0.33288770053475936</v>
      </c>
      <c r="D10" s="23">
        <f>'Total and digestible IAA'!AI10/$D$2</f>
        <v>0.69034090909090906</v>
      </c>
      <c r="E10" s="23">
        <f>'Total and digestible IAA'!AJ10/$E$2</f>
        <v>0.59318181818181814</v>
      </c>
      <c r="F10" s="23">
        <f>'Total and digestible IAA'!AK10/$F$2</f>
        <v>1.1633522727272729</v>
      </c>
      <c r="G10" s="23">
        <f>'Total and digestible IAA'!AL10/$G$2</f>
        <v>0.35128458498023718</v>
      </c>
      <c r="H10" s="23">
        <f>'Total and digestible IAA'!AM10/$H$2</f>
        <v>1.2413911845730026</v>
      </c>
      <c r="I10" s="23">
        <f>'Total and digestible IAA'!AN10/$I$2</f>
        <v>0.86593326885880084</v>
      </c>
      <c r="J10" s="23">
        <f>'Total and digestible IAA'!AO10/$J$2</f>
        <v>0.78181818181818186</v>
      </c>
      <c r="K10" s="23">
        <f>'Total and digestible IAA'!AP10/$K$2</f>
        <v>1.2240259740259742</v>
      </c>
      <c r="L10" s="24">
        <f t="shared" si="0"/>
        <v>33.288770053475936</v>
      </c>
      <c r="M10" s="15" t="s">
        <v>6</v>
      </c>
    </row>
    <row r="11" spans="1:14" x14ac:dyDescent="0.25">
      <c r="A11" s="5" t="s">
        <v>43</v>
      </c>
      <c r="B11" s="4" t="s">
        <v>10</v>
      </c>
      <c r="C11" s="23">
        <f>'Total and digestible IAA'!AH11/$C$2</f>
        <v>0.30690537084398972</v>
      </c>
      <c r="D11" s="23">
        <f>'Total and digestible IAA'!AI11/$D$2</f>
        <v>0.69713438735177846</v>
      </c>
      <c r="E11" s="23">
        <f>'Total and digestible IAA'!AJ11/$E$2</f>
        <v>0.59130434782608698</v>
      </c>
      <c r="F11" s="23">
        <f>'Total and digestible IAA'!AK11/$F$2</f>
        <v>1.2004076086956521</v>
      </c>
      <c r="G11" s="23">
        <f>'Total and digestible IAA'!AL11/$G$2</f>
        <v>0.35286704473850022</v>
      </c>
      <c r="H11" s="23">
        <f>'Total and digestible IAA'!AM11/$H$2</f>
        <v>1.2361660079051382</v>
      </c>
      <c r="I11" s="23">
        <f>'Total and digestible IAA'!AN11/$I$2</f>
        <v>0.8793940795559666</v>
      </c>
      <c r="J11" s="23">
        <f>'Total and digestible IAA'!AO11/$J$2</f>
        <v>0.79090909090909089</v>
      </c>
      <c r="K11" s="23">
        <f>'Total and digestible IAA'!AP11/$K$2</f>
        <v>1.2437888198757765</v>
      </c>
      <c r="L11" s="24">
        <f t="shared" si="0"/>
        <v>30.690537084398972</v>
      </c>
      <c r="M11" s="15" t="s">
        <v>6</v>
      </c>
    </row>
    <row r="12" spans="1:14" x14ac:dyDescent="0.25">
      <c r="A12" s="5" t="s">
        <v>13</v>
      </c>
      <c r="B12" s="4" t="s">
        <v>10</v>
      </c>
      <c r="C12" s="23">
        <f>'Total and digestible IAA'!AH12/$C$2</f>
        <v>0.30225281602002496</v>
      </c>
      <c r="D12" s="23">
        <f>'Total and digestible IAA'!AI12/$D$2</f>
        <v>0.55851063829787229</v>
      </c>
      <c r="E12" s="23">
        <f>'Total and digestible IAA'!AJ12/$E$2</f>
        <v>0.49148936170212765</v>
      </c>
      <c r="F12" s="23">
        <f>'Total and digestible IAA'!AK12/$F$2</f>
        <v>0.94248670212765961</v>
      </c>
      <c r="G12" s="23">
        <f>'Total and digestible IAA'!AL12/$G$2</f>
        <v>0.31452358926919521</v>
      </c>
      <c r="H12" s="23">
        <f>'Total and digestible IAA'!AM12/$H$2</f>
        <v>1.0022566086395874</v>
      </c>
      <c r="I12" s="23">
        <f>'Total and digestible IAA'!AN12/$I$2</f>
        <v>0.70620190131281135</v>
      </c>
      <c r="J12" s="23">
        <f>'Total and digestible IAA'!AO12/$J$2</f>
        <v>0.71489361702127652</v>
      </c>
      <c r="K12" s="23">
        <f>'Total and digestible IAA'!AP12/$K$2</f>
        <v>1.094224924012158</v>
      </c>
      <c r="L12" s="24">
        <f t="shared" si="0"/>
        <v>30.225281602002497</v>
      </c>
      <c r="M12" s="15" t="s">
        <v>6</v>
      </c>
    </row>
    <row r="13" spans="1:14" x14ac:dyDescent="0.25">
      <c r="A13" s="5" t="s">
        <v>221</v>
      </c>
      <c r="B13" s="4" t="s">
        <v>10</v>
      </c>
      <c r="C13" s="23">
        <f>'Total and digestible IAA'!AH13/$C$2</f>
        <v>0.2745098039215686</v>
      </c>
      <c r="D13" s="23">
        <f>'Total and digestible IAA'!AI13/$D$2</f>
        <v>0.48787878787878786</v>
      </c>
      <c r="E13" s="23">
        <f>'Total and digestible IAA'!AJ13/$E$2</f>
        <v>0.42375757575757567</v>
      </c>
      <c r="F13" s="23">
        <f>'Total and digestible IAA'!AK13/$F$2</f>
        <v>0.82833333333333325</v>
      </c>
      <c r="G13" s="23">
        <f>'Total and digestible IAA'!AL13/$G$2</f>
        <v>0.33333333333333331</v>
      </c>
      <c r="H13" s="23">
        <f>'Total and digestible IAA'!AM13/$H$2</f>
        <v>0.94464646464646473</v>
      </c>
      <c r="I13" s="23">
        <f>'Total and digestible IAA'!AN13/$I$2</f>
        <v>0.55702127659574474</v>
      </c>
      <c r="J13" s="23">
        <f>'Total and digestible IAA'!AO13/$J$2</f>
        <v>0.5818181818181819</v>
      </c>
      <c r="K13" s="23">
        <f>'Total and digestible IAA'!AP13/$K$2</f>
        <v>1.0012698412698413</v>
      </c>
      <c r="L13" s="24">
        <f t="shared" si="0"/>
        <v>27.450980392156861</v>
      </c>
      <c r="M13" s="15" t="s">
        <v>6</v>
      </c>
    </row>
    <row r="14" spans="1:14" x14ac:dyDescent="0.25">
      <c r="A14" s="5" t="s">
        <v>222</v>
      </c>
      <c r="B14" s="4" t="s">
        <v>10</v>
      </c>
      <c r="C14" s="23">
        <f>'Total and digestible IAA'!AH14/$C$2</f>
        <v>0.24398395721925131</v>
      </c>
      <c r="D14" s="23">
        <f>'Total and digestible IAA'!AI14/$D$2</f>
        <v>0.5299586776859504</v>
      </c>
      <c r="E14" s="23">
        <f>'Total and digestible IAA'!AJ14/$E$2</f>
        <v>0.50206611570247939</v>
      </c>
      <c r="F14" s="23">
        <f>'Total and digestible IAA'!AK14/$F$2</f>
        <v>1.0227272727272727</v>
      </c>
      <c r="G14" s="23">
        <f>'Total and digestible IAA'!AL14/$G$2</f>
        <v>0.37730566534914362</v>
      </c>
      <c r="H14" s="23">
        <f>'Total and digestible IAA'!AM14/$H$2</f>
        <v>1.012741046831956</v>
      </c>
      <c r="I14" s="23">
        <f>'Total and digestible IAA'!AN14/$I$2</f>
        <v>0.66150870406189555</v>
      </c>
      <c r="J14" s="23">
        <f>'Total and digestible IAA'!AO14/$J$2</f>
        <v>0.6776859504132231</v>
      </c>
      <c r="K14" s="23">
        <f>'Total and digestible IAA'!AP14/$K$2</f>
        <v>1.2240259740259742</v>
      </c>
      <c r="L14" s="24">
        <f t="shared" si="0"/>
        <v>24.39839572192513</v>
      </c>
      <c r="M14" s="15" t="s">
        <v>6</v>
      </c>
    </row>
    <row r="15" spans="1:14" x14ac:dyDescent="0.25">
      <c r="A15" s="5" t="s">
        <v>295</v>
      </c>
      <c r="B15" s="4" t="s">
        <v>10</v>
      </c>
      <c r="C15" s="23"/>
      <c r="D15" s="23"/>
      <c r="E15" s="23"/>
      <c r="F15" s="23"/>
      <c r="G15" s="23"/>
      <c r="H15" s="23"/>
      <c r="I15" s="23"/>
      <c r="J15" s="23"/>
      <c r="K15" s="23"/>
      <c r="L15" s="24"/>
      <c r="M15" s="15"/>
    </row>
    <row r="16" spans="1:14" x14ac:dyDescent="0.25">
      <c r="A16" s="5" t="s">
        <v>280</v>
      </c>
      <c r="B16" s="4" t="s">
        <v>10</v>
      </c>
      <c r="C16" s="23"/>
      <c r="D16" s="23"/>
      <c r="E16" s="23"/>
      <c r="F16" s="23"/>
      <c r="G16" s="23"/>
      <c r="H16" s="23"/>
      <c r="I16" s="23"/>
      <c r="J16" s="23"/>
      <c r="K16" s="23"/>
      <c r="L16" s="24"/>
      <c r="M16" s="15"/>
    </row>
    <row r="17" spans="1:13" s="7" customFormat="1" x14ac:dyDescent="0.25">
      <c r="A17" s="4" t="s">
        <v>299</v>
      </c>
      <c r="B17" s="4" t="s">
        <v>10</v>
      </c>
      <c r="C17" s="23">
        <f>'Total and digestible IAA'!AH17/$C$2</f>
        <v>0.95247058823529429</v>
      </c>
      <c r="D17" s="23">
        <f>'Total and digestible IAA'!AI17/$D$2</f>
        <v>0.77509090909090905</v>
      </c>
      <c r="E17" s="23">
        <f>'Total and digestible IAA'!AJ17/$E$2</f>
        <v>0.72799999999999998</v>
      </c>
      <c r="F17" s="23">
        <f>'Total and digestible IAA'!AK17/$F$2</f>
        <v>1.2436666666666667</v>
      </c>
      <c r="G17" s="23">
        <f>'Total and digestible IAA'!AL17/$G$2</f>
        <v>0.30910144927536232</v>
      </c>
      <c r="H17" s="23">
        <f>'Total and digestible IAA'!AM17/$H$2</f>
        <v>1.5301818181818181</v>
      </c>
      <c r="I17" s="23">
        <f>'Total and digestible IAA'!AN17/$I$2</f>
        <v>0.77157446808510632</v>
      </c>
      <c r="J17" s="23">
        <f>'Total and digestible IAA'!AO17/$J$2</f>
        <v>0.89018181818181819</v>
      </c>
      <c r="K17" s="23">
        <f>'Total and digestible IAA'!AP17/$K$2</f>
        <v>1.0163809523809524</v>
      </c>
      <c r="L17" s="24">
        <f t="shared" si="0"/>
        <v>30.91014492753623</v>
      </c>
      <c r="M17" s="14" t="s">
        <v>8</v>
      </c>
    </row>
    <row r="18" spans="1:13" s="7" customFormat="1" x14ac:dyDescent="0.25">
      <c r="A18" s="4" t="s">
        <v>300</v>
      </c>
      <c r="B18" s="4" t="s">
        <v>10</v>
      </c>
      <c r="C18" s="23">
        <f>'Total and digestible IAA'!AH18/$C$2</f>
        <v>0.82932891466445735</v>
      </c>
      <c r="D18" s="23">
        <f>'Total and digestible IAA'!AI18/$D$2</f>
        <v>0.65685019206145967</v>
      </c>
      <c r="E18" s="23">
        <f>'Total and digestible IAA'!AJ18/$E$2</f>
        <v>0.66376440460947506</v>
      </c>
      <c r="F18" s="23">
        <f>'Total and digestible IAA'!AK18/$F$2</f>
        <v>1.1568368544600938</v>
      </c>
      <c r="G18" s="23">
        <f>'Total and digestible IAA'!AL18/$G$2</f>
        <v>0.25147989385588904</v>
      </c>
      <c r="H18" s="23">
        <f>'Total and digestible IAA'!AM18/$H$2</f>
        <v>1.4244558258642765</v>
      </c>
      <c r="I18" s="23">
        <f>'Total and digestible IAA'!AN18/$I$2</f>
        <v>0.71081810008990109</v>
      </c>
      <c r="J18" s="23">
        <f>'Total and digestible IAA'!AO18/$J$2</f>
        <v>0.77887323943661979</v>
      </c>
      <c r="K18" s="23">
        <f>'Total and digestible IAA'!AP18/$K$2</f>
        <v>0.85244802146210596</v>
      </c>
      <c r="L18" s="24">
        <f t="shared" si="0"/>
        <v>25.147989385588904</v>
      </c>
      <c r="M18" s="14" t="s">
        <v>8</v>
      </c>
    </row>
    <row r="19" spans="1:13" s="7" customFormat="1" x14ac:dyDescent="0.25">
      <c r="A19" s="4" t="s">
        <v>301</v>
      </c>
      <c r="B19" s="4" t="s">
        <v>10</v>
      </c>
      <c r="C19" s="23">
        <f>'Total and digestible IAA'!AH19/$C$2</f>
        <v>0.6029411764705882</v>
      </c>
      <c r="D19" s="23">
        <f>'Total and digestible IAA'!AI19/$D$2</f>
        <v>0.63920454545454541</v>
      </c>
      <c r="E19" s="23">
        <f>'Total and digestible IAA'!AJ19/$E$2</f>
        <v>0.57769886363636369</v>
      </c>
      <c r="F19" s="23">
        <f>'Total and digestible IAA'!AK19/$F$2</f>
        <v>0.63492838541666663</v>
      </c>
      <c r="G19" s="23">
        <f>'Total and digestible IAA'!AL19/$G$2</f>
        <v>0.47407155797101447</v>
      </c>
      <c r="H19" s="23">
        <f>'Total and digestible IAA'!AM19/$H$2</f>
        <v>1.2476325757575757</v>
      </c>
      <c r="I19" s="23">
        <f>'Total and digestible IAA'!AN19/$I$2</f>
        <v>0.77335438829787229</v>
      </c>
      <c r="J19" s="23">
        <f>'Total and digestible IAA'!AO19/$J$2</f>
        <v>0.7823863636363636</v>
      </c>
      <c r="K19" s="23">
        <f>'Total and digestible IAA'!AP19/$K$2</f>
        <v>0.86458333333333337</v>
      </c>
      <c r="L19" s="24">
        <f t="shared" si="0"/>
        <v>47.407155797101446</v>
      </c>
      <c r="M19" s="14" t="s">
        <v>8</v>
      </c>
    </row>
    <row r="20" spans="1:13" x14ac:dyDescent="0.25">
      <c r="A20" s="4" t="s">
        <v>302</v>
      </c>
      <c r="B20" s="4" t="s">
        <v>10</v>
      </c>
      <c r="C20" s="23">
        <f>'Total and digestible IAA'!AH20/$C$2</f>
        <v>0.53287197231833894</v>
      </c>
      <c r="D20" s="23">
        <f>'Total and digestible IAA'!AI20/$D$2</f>
        <v>0.56149732620320858</v>
      </c>
      <c r="E20" s="23">
        <f>'Total and digestible IAA'!AJ20/$E$2</f>
        <v>0.54188948306595364</v>
      </c>
      <c r="F20" s="23">
        <f>'Total and digestible IAA'!AK20/$F$2</f>
        <v>0.62806372549019607</v>
      </c>
      <c r="G20" s="23">
        <f>'Total and digestible IAA'!AL20/$G$2</f>
        <v>0.45353793691389604</v>
      </c>
      <c r="H20" s="23">
        <f>'Total and digestible IAA'!AM20/$H$2</f>
        <v>1.0772430184194888</v>
      </c>
      <c r="I20" s="23">
        <f>'Total and digestible IAA'!AN20/$I$2</f>
        <v>0.71652065081351712</v>
      </c>
      <c r="J20" s="23">
        <f>'Total and digestible IAA'!AO20/$J$2</f>
        <v>0.74634581105169351</v>
      </c>
      <c r="K20" s="23">
        <f>'Total and digestible IAA'!AP20/$K$2</f>
        <v>0.87301587301587291</v>
      </c>
      <c r="L20" s="24">
        <f t="shared" si="0"/>
        <v>45.353793691389605</v>
      </c>
      <c r="M20" s="14" t="s">
        <v>8</v>
      </c>
    </row>
    <row r="21" spans="1:13" s="7" customFormat="1" x14ac:dyDescent="0.25">
      <c r="A21" s="4" t="s">
        <v>303</v>
      </c>
      <c r="B21" s="4" t="s">
        <v>10</v>
      </c>
      <c r="C21" s="23">
        <f>'Total and digestible IAA'!AH21/$C$2</f>
        <v>0.59477124183006536</v>
      </c>
      <c r="D21" s="23">
        <f>'Total and digestible IAA'!AI21/$D$2</f>
        <v>0.55176767676767668</v>
      </c>
      <c r="E21" s="23">
        <f>'Total and digestible IAA'!AJ21/$E$2</f>
        <v>0.54528619528619526</v>
      </c>
      <c r="F21" s="23">
        <f>'Total and digestible IAA'!AK21/$F$2</f>
        <v>0.61718750000000011</v>
      </c>
      <c r="G21" s="23">
        <f>'Total and digestible IAA'!AL21/$G$2</f>
        <v>0.44082125603864736</v>
      </c>
      <c r="H21" s="23">
        <f>'Total and digestible IAA'!AM21/$H$2</f>
        <v>1.2053872053872055</v>
      </c>
      <c r="I21" s="23">
        <f>'Total and digestible IAA'!AN21/$I$2</f>
        <v>0.74625689519306548</v>
      </c>
      <c r="J21" s="23">
        <f>'Total and digestible IAA'!AO21/$J$2</f>
        <v>0.73888888888888893</v>
      </c>
      <c r="K21" s="23">
        <f>'Total and digestible IAA'!AP21/$K$2</f>
        <v>0.84171075837742493</v>
      </c>
      <c r="L21" s="24">
        <f t="shared" si="0"/>
        <v>44.082125603864739</v>
      </c>
      <c r="M21" s="14" t="s">
        <v>8</v>
      </c>
    </row>
    <row r="22" spans="1:13" s="7" customFormat="1" x14ac:dyDescent="0.25">
      <c r="A22" s="4" t="s">
        <v>45</v>
      </c>
      <c r="B22" s="4" t="s">
        <v>10</v>
      </c>
      <c r="C22" s="23">
        <f>'Total and digestible IAA'!AH22/$C$2</f>
        <v>0.59477124183006536</v>
      </c>
      <c r="D22" s="23">
        <f>'Total and digestible IAA'!AI22/$D$2</f>
        <v>0.55176767676767668</v>
      </c>
      <c r="E22" s="23">
        <f>'Total and digestible IAA'!AJ22/$E$2</f>
        <v>0.54528619528619526</v>
      </c>
      <c r="F22" s="23">
        <f>'Total and digestible IAA'!AK22/$F$2</f>
        <v>0.61718750000000011</v>
      </c>
      <c r="G22" s="23">
        <f>'Total and digestible IAA'!AL22/$G$2</f>
        <v>0.44082125603864736</v>
      </c>
      <c r="H22" s="23">
        <f>'Total and digestible IAA'!AM22/$H$2</f>
        <v>1.2053872053872055</v>
      </c>
      <c r="I22" s="23">
        <f>'Total and digestible IAA'!AN22/$I$2</f>
        <v>0.79038613081166287</v>
      </c>
      <c r="J22" s="23">
        <f>'Total and digestible IAA'!AO22/$J$2</f>
        <v>0.73888888888888893</v>
      </c>
      <c r="K22" s="23">
        <f>'Total and digestible IAA'!AP22/$K$2</f>
        <v>0.84171075837742493</v>
      </c>
      <c r="L22" s="24">
        <f t="shared" si="0"/>
        <v>44.082125603864739</v>
      </c>
      <c r="M22" s="14" t="s">
        <v>8</v>
      </c>
    </row>
    <row r="23" spans="1:13" x14ac:dyDescent="0.25">
      <c r="A23" s="5" t="s">
        <v>223</v>
      </c>
      <c r="B23" s="4" t="s">
        <v>10</v>
      </c>
      <c r="C23" s="23">
        <f>'Total and digestible IAA'!AH23/$C$2</f>
        <v>0.36820835204310731</v>
      </c>
      <c r="D23" s="23">
        <f>'Total and digestible IAA'!AI23/$D$2</f>
        <v>0.60426786953504508</v>
      </c>
      <c r="E23" s="23">
        <f>'Total and digestible IAA'!AJ23/$E$2</f>
        <v>0.61582234559333782</v>
      </c>
      <c r="F23" s="23">
        <f>'Total and digestible IAA'!AK23/$F$2</f>
        <v>0.6779580152671757</v>
      </c>
      <c r="G23" s="23">
        <f>'Total and digestible IAA'!AL23/$G$2</f>
        <v>0.54231662794556923</v>
      </c>
      <c r="H23" s="23">
        <f>'Total and digestible IAA'!AM23/$H$2</f>
        <v>1.1913023363405044</v>
      </c>
      <c r="I23" s="23">
        <f>'Total and digestible IAA'!AN23/$I$2</f>
        <v>0.72161767094364115</v>
      </c>
      <c r="J23" s="23">
        <f>'Total and digestible IAA'!AO23/$J$2</f>
        <v>0.83761276891047864</v>
      </c>
      <c r="K23" s="23">
        <f>'Total and digestible IAA'!AP23/$K$2</f>
        <v>1.0236277717193749</v>
      </c>
      <c r="L23" s="24">
        <f t="shared" si="0"/>
        <v>36.820835204310733</v>
      </c>
      <c r="M23" s="15" t="s">
        <v>6</v>
      </c>
    </row>
    <row r="24" spans="1:13" x14ac:dyDescent="0.25">
      <c r="A24" s="5" t="s">
        <v>14</v>
      </c>
      <c r="B24" s="4" t="s">
        <v>10</v>
      </c>
      <c r="C24" s="23">
        <f>'Total and digestible IAA'!AH24/$C$2</f>
        <v>0.60407239819004532</v>
      </c>
      <c r="D24" s="23">
        <f>'Total and digestible IAA'!AI24/$D$2</f>
        <v>0.69289044289044288</v>
      </c>
      <c r="E24" s="23">
        <f>'Total and digestible IAA'!AJ24/$E$2</f>
        <v>0.50699300699300698</v>
      </c>
      <c r="F24" s="23">
        <f>'Total and digestible IAA'!AK24/$F$2</f>
        <v>0.61658653846153855</v>
      </c>
      <c r="G24" s="23">
        <f>'Total and digestible IAA'!AL24/$G$2</f>
        <v>0.5641025641025641</v>
      </c>
      <c r="H24" s="23">
        <f>'Total and digestible IAA'!AM24/$H$2</f>
        <v>1.1752136752136755</v>
      </c>
      <c r="I24" s="23">
        <f>'Total and digestible IAA'!AN24/$I$2</f>
        <v>0.72490452809601758</v>
      </c>
      <c r="J24" s="23">
        <f>'Total and digestible IAA'!AO24/$J$2</f>
        <v>0.88205128205128203</v>
      </c>
      <c r="K24" s="23">
        <f>'Total and digestible IAA'!AP24/$K$2</f>
        <v>1.2692307692307694</v>
      </c>
      <c r="L24" s="24">
        <f t="shared" si="0"/>
        <v>50.6993006993007</v>
      </c>
      <c r="M24" s="15" t="s">
        <v>7</v>
      </c>
    </row>
    <row r="25" spans="1:13" s="7" customFormat="1" x14ac:dyDescent="0.25">
      <c r="A25" s="4" t="s">
        <v>304</v>
      </c>
      <c r="B25" s="4" t="s">
        <v>10</v>
      </c>
      <c r="C25" s="23">
        <f>'Total and digestible IAA'!AH25/$C$2</f>
        <v>0.8571428571428571</v>
      </c>
      <c r="D25" s="23">
        <f>'Total and digestible IAA'!AI25/$D$2</f>
        <v>0.69090909090909081</v>
      </c>
      <c r="E25" s="23">
        <f>'Total and digestible IAA'!AJ25/$E$2</f>
        <v>0.69991341991341993</v>
      </c>
      <c r="F25" s="23">
        <f>'Total and digestible IAA'!AK25/$F$2</f>
        <v>0.73333333333333339</v>
      </c>
      <c r="G25" s="23">
        <f>'Total and digestible IAA'!AL25/$G$2</f>
        <v>0.46293995859213244</v>
      </c>
      <c r="H25" s="23">
        <f>'Total and digestible IAA'!AM25/$H$2</f>
        <v>1.0334776334776334</v>
      </c>
      <c r="I25" s="23">
        <f>'Total and digestible IAA'!AN25/$I$2</f>
        <v>0.88824721377912885</v>
      </c>
      <c r="J25" s="23">
        <f>'Total and digestible IAA'!AO25/$J$2</f>
        <v>0.90839826839826832</v>
      </c>
      <c r="K25" s="23">
        <f>'Total and digestible IAA'!AP25/$K$2</f>
        <v>0.95782312925170088</v>
      </c>
      <c r="L25" s="24">
        <f t="shared" si="0"/>
        <v>46.293995859213247</v>
      </c>
      <c r="M25" s="14" t="s">
        <v>8</v>
      </c>
    </row>
    <row r="26" spans="1:13" s="7" customFormat="1" x14ac:dyDescent="0.25">
      <c r="A26" s="4" t="s">
        <v>46</v>
      </c>
      <c r="B26" s="4" t="s">
        <v>10</v>
      </c>
      <c r="C26" s="23">
        <f>'Total and digestible IAA'!AH26/$C$2</f>
        <v>0.78892733564013839</v>
      </c>
      <c r="D26" s="23">
        <f>'Total and digestible IAA'!AI26/$D$2</f>
        <v>0.62165775401069523</v>
      </c>
      <c r="E26" s="23">
        <f>'Total and digestible IAA'!AJ26/$E$2</f>
        <v>0.65026737967914439</v>
      </c>
      <c r="F26" s="23">
        <f>'Total and digestible IAA'!AK26/$F$2</f>
        <v>0.67328431372549014</v>
      </c>
      <c r="G26" s="23">
        <f>'Total and digestible IAA'!AL26/$G$2</f>
        <v>0.40920716112531974</v>
      </c>
      <c r="H26" s="23">
        <f>'Total and digestible IAA'!AM26/$H$2</f>
        <v>1.0377896613190729</v>
      </c>
      <c r="I26" s="23">
        <f>'Total and digestible IAA'!AN26/$I$2</f>
        <v>0.81163954943679584</v>
      </c>
      <c r="J26" s="23">
        <f>'Total and digestible IAA'!AO26/$J$2</f>
        <v>0.83422459893048129</v>
      </c>
      <c r="K26" s="23">
        <f>'Total and digestible IAA'!AP26/$K$2</f>
        <v>0.85154061624649857</v>
      </c>
      <c r="L26" s="24">
        <f t="shared" si="0"/>
        <v>40.920716112531977</v>
      </c>
      <c r="M26" s="14" t="s">
        <v>8</v>
      </c>
    </row>
    <row r="27" spans="1:13" s="7" customFormat="1" x14ac:dyDescent="0.25">
      <c r="A27" s="4" t="s">
        <v>47</v>
      </c>
      <c r="B27" s="4" t="s">
        <v>10</v>
      </c>
      <c r="C27" s="23">
        <f>'Total and digestible IAA'!AH27/$C$2</f>
        <v>0.97186700767263423</v>
      </c>
      <c r="D27" s="23">
        <f>'Total and digestible IAA'!AI27/$D$2</f>
        <v>0.76630434782608681</v>
      </c>
      <c r="E27" s="23">
        <f>'Total and digestible IAA'!AJ27/$E$2</f>
        <v>0.76166007905138333</v>
      </c>
      <c r="F27" s="23">
        <f>'Total and digestible IAA'!AK27/$F$2</f>
        <v>0.78521286231884069</v>
      </c>
      <c r="G27" s="23">
        <f>'Total and digestible IAA'!AL27/$G$2</f>
        <v>0.51827347195967244</v>
      </c>
      <c r="H27" s="23">
        <f>'Total and digestible IAA'!AM27/$H$2</f>
        <v>1.1765480895915679</v>
      </c>
      <c r="I27" s="23">
        <f>'Total and digestible IAA'!AN27/$I$2</f>
        <v>0.88066604995374653</v>
      </c>
      <c r="J27" s="23">
        <f>'Total and digestible IAA'!AO27/$J$2</f>
        <v>1.0138339920948616</v>
      </c>
      <c r="K27" s="23">
        <f>'Total and digestible IAA'!AP27/$K$2</f>
        <v>1.0217391304347825</v>
      </c>
      <c r="L27" s="24">
        <f t="shared" si="0"/>
        <v>51.827347195967242</v>
      </c>
      <c r="M27" s="14" t="s">
        <v>8</v>
      </c>
    </row>
    <row r="28" spans="1:13" x14ac:dyDescent="0.25">
      <c r="A28" s="5" t="s">
        <v>224</v>
      </c>
      <c r="B28" s="4" t="s">
        <v>10</v>
      </c>
      <c r="C28" s="23">
        <f>'Total and digestible IAA'!AH28/$C$2</f>
        <v>0.43464052287581695</v>
      </c>
      <c r="D28" s="23">
        <f>'Total and digestible IAA'!AI28/$D$2</f>
        <v>0.62045454545454559</v>
      </c>
      <c r="E28" s="23">
        <f>'Total and digestible IAA'!AJ28/$E$2</f>
        <v>0.6505050505050507</v>
      </c>
      <c r="F28" s="23">
        <f>'Total and digestible IAA'!AK28/$F$2</f>
        <v>0.71805555555555556</v>
      </c>
      <c r="G28" s="23">
        <f>'Total and digestible IAA'!AL28/$G$2</f>
        <v>0.44444444444444448</v>
      </c>
      <c r="H28" s="23">
        <f>'Total and digestible IAA'!AM28/$H$2</f>
        <v>1.273063973063973</v>
      </c>
      <c r="I28" s="23">
        <f>'Total and digestible IAA'!AN28/$I$2</f>
        <v>0.72174940898345163</v>
      </c>
      <c r="J28" s="23">
        <f>'Total and digestible IAA'!AO28/$J$2</f>
        <v>0.93050505050505039</v>
      </c>
      <c r="K28" s="23">
        <f>'Total and digestible IAA'!AP28/$K$2</f>
        <v>1.0111111111111113</v>
      </c>
      <c r="L28" s="24">
        <f t="shared" si="0"/>
        <v>43.464052287581694</v>
      </c>
      <c r="M28" s="15" t="s">
        <v>6</v>
      </c>
    </row>
    <row r="29" spans="1:13" x14ac:dyDescent="0.25">
      <c r="A29" s="5" t="s">
        <v>294</v>
      </c>
      <c r="B29" s="4" t="s">
        <v>10</v>
      </c>
      <c r="C29" s="23">
        <f>'Total and digestible IAA'!AH29/$C$2</f>
        <v>0.47387906211435615</v>
      </c>
      <c r="D29" s="23">
        <f>'Total and digestible IAA'!AI29/$D$2</f>
        <v>0.53909726636999356</v>
      </c>
      <c r="E29" s="23">
        <f>'Total and digestible IAA'!AJ29/$E$2</f>
        <v>0.45149396058486968</v>
      </c>
      <c r="F29" s="23">
        <f>'Total and digestible IAA'!AK29/$F$2</f>
        <v>0.50757575757575768</v>
      </c>
      <c r="G29" s="23">
        <f>'Total and digestible IAA'!AL29/$G$2</f>
        <v>0.41958041958041953</v>
      </c>
      <c r="H29" s="23">
        <f>'Total and digestible IAA'!AM29/$H$2</f>
        <v>0.89107861835134561</v>
      </c>
      <c r="I29" s="23">
        <f>'Total and digestible IAA'!AN29/$I$2</f>
        <v>0.62691563755393542</v>
      </c>
      <c r="J29" s="23">
        <f>'Total and digestible IAA'!AO29/$J$2</f>
        <v>0.66293706293706289</v>
      </c>
      <c r="K29" s="23">
        <f>'Total and digestible IAA'!AP29/$K$2</f>
        <v>1</v>
      </c>
      <c r="L29" s="24">
        <f t="shared" si="0"/>
        <v>41.958041958041953</v>
      </c>
      <c r="M29" s="15" t="s">
        <v>8</v>
      </c>
    </row>
    <row r="30" spans="1:13" s="7" customFormat="1" x14ac:dyDescent="0.25">
      <c r="A30" s="4" t="s">
        <v>48</v>
      </c>
      <c r="B30" s="4" t="s">
        <v>10</v>
      </c>
      <c r="C30" s="23">
        <f>'Total and digestible IAA'!AH30/$C$2</f>
        <v>0.41056422569027617</v>
      </c>
      <c r="D30" s="23">
        <f>'Total and digestible IAA'!AI30/$D$2</f>
        <v>0.55983302411873836</v>
      </c>
      <c r="E30" s="23">
        <f>'Total and digestible IAA'!AJ30/$E$2</f>
        <v>0.48571428571428571</v>
      </c>
      <c r="F30" s="23">
        <f>'Total and digestible IAA'!AK30/$F$2</f>
        <v>0.4974489795918367</v>
      </c>
      <c r="G30" s="23">
        <f>'Total and digestible IAA'!AL30/$G$2</f>
        <v>0.41526175687666372</v>
      </c>
      <c r="H30" s="23">
        <f>'Total and digestible IAA'!AM30/$H$2</f>
        <v>0.99814471243042646</v>
      </c>
      <c r="I30" s="23">
        <f>'Total and digestible IAA'!AN30/$I$2</f>
        <v>0.59172818063395571</v>
      </c>
      <c r="J30" s="23">
        <f>'Total and digestible IAA'!AO30/$J$2</f>
        <v>0.66790352504638217</v>
      </c>
      <c r="K30" s="23">
        <f>'Total and digestible IAA'!AP30/$K$2</f>
        <v>0.80612244897959195</v>
      </c>
      <c r="L30" s="24">
        <f t="shared" si="0"/>
        <v>41.056422569027617</v>
      </c>
      <c r="M30" s="14" t="s">
        <v>6</v>
      </c>
    </row>
    <row r="31" spans="1:13" x14ac:dyDescent="0.25">
      <c r="A31" s="5" t="s">
        <v>225</v>
      </c>
      <c r="B31" s="4" t="s">
        <v>10</v>
      </c>
      <c r="C31" s="23">
        <f>'Total and digestible IAA'!AH31/$C$2</f>
        <v>0.32814778804083616</v>
      </c>
      <c r="D31" s="23">
        <f>'Total and digestible IAA'!AI31/$D$2</f>
        <v>0.39669421487603312</v>
      </c>
      <c r="E31" s="23">
        <f>'Total and digestible IAA'!AJ31/$E$2</f>
        <v>0.41111945905334335</v>
      </c>
      <c r="F31" s="23">
        <f>'Total and digestible IAA'!AK31/$F$2</f>
        <v>0.42682506887052346</v>
      </c>
      <c r="G31" s="23">
        <f>'Total and digestible IAA'!AL31/$G$2</f>
        <v>0.32902143969337649</v>
      </c>
      <c r="H31" s="23">
        <f>'Total and digestible IAA'!AM31/$H$2</f>
        <v>0.75932882544452796</v>
      </c>
      <c r="I31" s="23">
        <f>'Total and digestible IAA'!AN31/$I$2</f>
        <v>0.46799718656585199</v>
      </c>
      <c r="J31" s="23">
        <f>'Total and digestible IAA'!AO31/$J$2</f>
        <v>0.54410217881292244</v>
      </c>
      <c r="K31" s="23">
        <f>'Total and digestible IAA'!AP31/$K$2</f>
        <v>0.78787878787878796</v>
      </c>
      <c r="L31" s="24">
        <f t="shared" si="0"/>
        <v>32.814778804083616</v>
      </c>
      <c r="M31" s="14" t="s">
        <v>6</v>
      </c>
    </row>
    <row r="32" spans="1:13" s="4" customFormat="1" x14ac:dyDescent="0.25">
      <c r="A32" s="4" t="s">
        <v>243</v>
      </c>
      <c r="B32" s="4" t="s">
        <v>10</v>
      </c>
      <c r="C32" s="23">
        <f>'Total and digestible IAA'!AH32/$C$2</f>
        <v>1.4770242545178609</v>
      </c>
      <c r="D32" s="23">
        <f>'Total and digestible IAA'!AI32/$D$2</f>
        <v>0.47002997002996999</v>
      </c>
      <c r="E32" s="23">
        <f>'Total and digestible IAA'!AJ32/$E$2</f>
        <v>0.63446119098293008</v>
      </c>
      <c r="F32" s="23">
        <f>'Total and digestible IAA'!AK32/$F$2</f>
        <v>0.6812788660614747</v>
      </c>
      <c r="G32" s="23">
        <f>'Total and digestible IAA'!AL32/$G$2</f>
        <v>0.19638962172043456</v>
      </c>
      <c r="H32" s="23">
        <f>'Total and digestible IAA'!AM32/$H$2</f>
        <v>1.1255700820918213</v>
      </c>
      <c r="I32" s="23">
        <f>'Total and digestible IAA'!AN32/$I$2</f>
        <v>0.75811468827195005</v>
      </c>
      <c r="J32" s="23">
        <f>'Total and digestible IAA'!AO32/$J$2</f>
        <v>0.65590062111801239</v>
      </c>
      <c r="K32" s="23">
        <f>'Total and digestible IAA'!AP32/$K$2</f>
        <v>1.0222737924601277</v>
      </c>
      <c r="L32" s="24">
        <f t="shared" si="0"/>
        <v>19.638962172043456</v>
      </c>
      <c r="M32" s="14" t="s">
        <v>8</v>
      </c>
    </row>
    <row r="33" spans="1:13" s="7" customFormat="1" x14ac:dyDescent="0.25">
      <c r="A33" s="4" t="s">
        <v>305</v>
      </c>
      <c r="B33" s="4" t="s">
        <v>10</v>
      </c>
      <c r="C33" s="23">
        <f>'Total and digestible IAA'!AH33/$C$2</f>
        <v>0.48224195338512765</v>
      </c>
      <c r="D33" s="23">
        <f>'Total and digestible IAA'!AI33/$D$2</f>
        <v>0.57032590051457988</v>
      </c>
      <c r="E33" s="23">
        <f>'Total and digestible IAA'!AJ33/$E$2</f>
        <v>0.64065180102915942</v>
      </c>
      <c r="F33" s="23">
        <f>'Total and digestible IAA'!AK33/$F$2</f>
        <v>1.2169811320754718</v>
      </c>
      <c r="G33" s="23">
        <f>'Total and digestible IAA'!AL33/$G$2</f>
        <v>0.25293956795187311</v>
      </c>
      <c r="H33" s="23">
        <f>'Total and digestible IAA'!AM33/$H$2</f>
        <v>0.87764436821040603</v>
      </c>
      <c r="I33" s="23">
        <f>'Total and digestible IAA'!AN33/$I$2</f>
        <v>0.85307105580088316</v>
      </c>
      <c r="J33" s="23">
        <f>'Total and digestible IAA'!AO33/$J$2</f>
        <v>0.80583190394511151</v>
      </c>
      <c r="K33" s="23">
        <f>'Total and digestible IAA'!AP33/$K$2</f>
        <v>0.84097035040431256</v>
      </c>
      <c r="L33" s="24">
        <f t="shared" si="0"/>
        <v>25.293956795187313</v>
      </c>
      <c r="M33" s="14" t="s">
        <v>8</v>
      </c>
    </row>
    <row r="34" spans="1:13" x14ac:dyDescent="0.25">
      <c r="A34" s="5" t="s">
        <v>305</v>
      </c>
      <c r="B34" s="4" t="s">
        <v>10</v>
      </c>
      <c r="C34" s="23">
        <f>'Total and digestible IAA'!AH34/$C$2</f>
        <v>0.58823529411764708</v>
      </c>
      <c r="D34" s="23">
        <f>'Total and digestible IAA'!AI34/$D$2</f>
        <v>0.63636363636363635</v>
      </c>
      <c r="E34" s="23">
        <f>'Total and digestible IAA'!AJ34/$E$2</f>
        <v>0.63636363636363624</v>
      </c>
      <c r="F34" s="23">
        <f>'Total and digestible IAA'!AK34/$F$2</f>
        <v>1.1906130268199235</v>
      </c>
      <c r="G34" s="23">
        <f>'Total and digestible IAA'!AL34/$G$2</f>
        <v>0.27636181909045482</v>
      </c>
      <c r="H34" s="23">
        <f>'Total and digestible IAA'!AM34/$H$2</f>
        <v>0.91954022988505768</v>
      </c>
      <c r="I34" s="23">
        <f>'Total and digestible IAA'!AN34/$I$2</f>
        <v>0.85399853264856929</v>
      </c>
      <c r="J34" s="23">
        <f>'Total and digestible IAA'!AO34/$J$2</f>
        <v>0.77283176593521419</v>
      </c>
      <c r="K34" s="23">
        <f>'Total and digestible IAA'!AP34/$K$2</f>
        <v>0.93103448275862088</v>
      </c>
      <c r="L34" s="24">
        <f t="shared" si="0"/>
        <v>27.636181909045483</v>
      </c>
      <c r="M34" s="14" t="s">
        <v>8</v>
      </c>
    </row>
    <row r="35" spans="1:13" x14ac:dyDescent="0.25">
      <c r="A35" s="5" t="s">
        <v>226</v>
      </c>
      <c r="B35" s="4" t="s">
        <v>10</v>
      </c>
      <c r="C35" s="23">
        <f>'Total and digestible IAA'!AH35/$C$2</f>
        <v>0.21908763505402162</v>
      </c>
      <c r="D35" s="23">
        <f>'Total and digestible IAA'!AI35/$D$2</f>
        <v>0.4573283858998145</v>
      </c>
      <c r="E35" s="23">
        <f>'Total and digestible IAA'!AJ35/$E$2</f>
        <v>0.50797773654916512</v>
      </c>
      <c r="F35" s="23">
        <f>'Total and digestible IAA'!AK35/$F$2</f>
        <v>1.0017006802721089</v>
      </c>
      <c r="G35" s="23">
        <f>'Total and digestible IAA'!AL35/$G$2</f>
        <v>0.2040816326530612</v>
      </c>
      <c r="H35" s="23">
        <f>'Total and digestible IAA'!AM35/$H$2</f>
        <v>0.67254174397031541</v>
      </c>
      <c r="I35" s="23">
        <f>'Total and digestible IAA'!AN35/$I$2</f>
        <v>0.61897524967433781</v>
      </c>
      <c r="J35" s="23">
        <f>'Total and digestible IAA'!AO35/$J$2</f>
        <v>0.62300556586270861</v>
      </c>
      <c r="K35" s="23">
        <f>'Total and digestible IAA'!AP35/$K$2</f>
        <v>0.79105928085519917</v>
      </c>
      <c r="L35" s="24">
        <f t="shared" si="0"/>
        <v>20.408163265306118</v>
      </c>
      <c r="M35" s="14" t="s">
        <v>8</v>
      </c>
    </row>
    <row r="36" spans="1:13" s="7" customFormat="1" x14ac:dyDescent="0.25">
      <c r="A36" s="4" t="s">
        <v>306</v>
      </c>
      <c r="B36" s="4" t="s">
        <v>10</v>
      </c>
      <c r="C36" s="23">
        <f>'Total and digestible IAA'!AH36/$C$2</f>
        <v>0.6301790281329922</v>
      </c>
      <c r="D36" s="23">
        <f>'Total and digestible IAA'!AI36/$D$2</f>
        <v>0.61581027667984189</v>
      </c>
      <c r="E36" s="23">
        <f>'Total and digestible IAA'!AJ36/$E$2</f>
        <v>0.60521739130434782</v>
      </c>
      <c r="F36" s="23">
        <f>'Total and digestible IAA'!AK36/$F$2</f>
        <v>0.58188405797101439</v>
      </c>
      <c r="G36" s="23">
        <f>'Total and digestible IAA'!AL36/$G$2</f>
        <v>0.47069943289224947</v>
      </c>
      <c r="H36" s="23">
        <f>'Total and digestible IAA'!AM36/$H$2</f>
        <v>1.1936758893280632</v>
      </c>
      <c r="I36" s="23">
        <f>'Total and digestible IAA'!AN36/$I$2</f>
        <v>0.7076780758556892</v>
      </c>
      <c r="J36" s="23">
        <f>'Total and digestible IAA'!AO36/$J$2</f>
        <v>0.74782608695652175</v>
      </c>
      <c r="K36" s="23">
        <f>'Total and digestible IAA'!AP36/$K$2</f>
        <v>0.99503105590062124</v>
      </c>
      <c r="L36" s="24">
        <f t="shared" si="0"/>
        <v>47.069943289224945</v>
      </c>
      <c r="M36" s="14" t="s">
        <v>8</v>
      </c>
    </row>
    <row r="37" spans="1:13" s="7" customFormat="1" x14ac:dyDescent="0.25">
      <c r="A37" s="4" t="s">
        <v>49</v>
      </c>
      <c r="B37" s="4" t="s">
        <v>10</v>
      </c>
      <c r="C37" s="23">
        <f>'Total and digestible IAA'!AH37/$C$2</f>
        <v>0.56814921090387371</v>
      </c>
      <c r="D37" s="23">
        <f>'Total and digestible IAA'!AI37/$D$2</f>
        <v>0.55210643015521055</v>
      </c>
      <c r="E37" s="23">
        <f>'Total and digestible IAA'!AJ37/$E$2</f>
        <v>0.58215077605321508</v>
      </c>
      <c r="F37" s="23">
        <f>'Total and digestible IAA'!AK37/$F$2</f>
        <v>0.63452743902439024</v>
      </c>
      <c r="G37" s="23">
        <f>'Total and digestible IAA'!AL37/$G$2</f>
        <v>0.30779427359490985</v>
      </c>
      <c r="H37" s="23">
        <f>'Total and digestible IAA'!AM37/$H$2</f>
        <v>1.0328898743532891</v>
      </c>
      <c r="I37" s="23">
        <f>'Total and digestible IAA'!AN37/$I$2</f>
        <v>0.77581733264141162</v>
      </c>
      <c r="J37" s="23">
        <f>'Total and digestible IAA'!AO37/$J$2</f>
        <v>0.67694013303769396</v>
      </c>
      <c r="K37" s="23">
        <f>'Total and digestible IAA'!AP37/$K$2</f>
        <v>0.96689895470383269</v>
      </c>
      <c r="L37" s="24">
        <f t="shared" si="0"/>
        <v>30.779427359490985</v>
      </c>
      <c r="M37" s="14" t="s">
        <v>8</v>
      </c>
    </row>
    <row r="38" spans="1:13" s="7" customFormat="1" x14ac:dyDescent="0.25">
      <c r="A38" s="4" t="s">
        <v>50</v>
      </c>
      <c r="B38" s="4" t="s">
        <v>10</v>
      </c>
      <c r="C38" s="23">
        <f>'Total and digestible IAA'!AH38/$C$2</f>
        <v>0.61624649859943992</v>
      </c>
      <c r="D38" s="23">
        <f>'Total and digestible IAA'!AI38/$D$2</f>
        <v>0.56890331890331891</v>
      </c>
      <c r="E38" s="23">
        <f>'Total and digestible IAA'!AJ38/$E$2</f>
        <v>0.57792207792207795</v>
      </c>
      <c r="F38" s="23">
        <f>'Total and digestible IAA'!AK38/$F$2</f>
        <v>0.63244047619047616</v>
      </c>
      <c r="G38" s="23">
        <f>'Total and digestible IAA'!AL38/$G$2</f>
        <v>0.33540372670807456</v>
      </c>
      <c r="H38" s="23">
        <f>'Total and digestible IAA'!AM38/$H$2</f>
        <v>1.1065416065416065</v>
      </c>
      <c r="I38" s="23">
        <f>'Total and digestible IAA'!AN38/$I$2</f>
        <v>0.74966227625802118</v>
      </c>
      <c r="J38" s="23">
        <f>'Total and digestible IAA'!AO38/$J$2</f>
        <v>0.69494949494949498</v>
      </c>
      <c r="K38" s="23">
        <f>'Total and digestible IAA'!AP38/$K$2</f>
        <v>0.98639455782312913</v>
      </c>
      <c r="L38" s="24">
        <f t="shared" si="0"/>
        <v>33.540372670807457</v>
      </c>
      <c r="M38" s="14" t="s">
        <v>8</v>
      </c>
    </row>
    <row r="39" spans="1:13" x14ac:dyDescent="0.25">
      <c r="A39" s="5" t="s">
        <v>18</v>
      </c>
      <c r="B39" s="4" t="s">
        <v>10</v>
      </c>
      <c r="C39" s="23">
        <f>'Total and digestible IAA'!AH39/$C$2</f>
        <v>0.74789915966386555</v>
      </c>
      <c r="D39" s="23">
        <f>'Total and digestible IAA'!AI39/$D$2</f>
        <v>0.64728453364816996</v>
      </c>
      <c r="E39" s="23">
        <f>'Total and digestible IAA'!AJ39/$E$2</f>
        <v>0.52066115702479343</v>
      </c>
      <c r="F39" s="23">
        <f>'Total and digestible IAA'!AK39/$F$2</f>
        <v>0.58475378787878796</v>
      </c>
      <c r="G39" s="23">
        <f>'Total and digestible IAA'!AL39/$G$2</f>
        <v>0.49943534726143418</v>
      </c>
      <c r="H39" s="23">
        <f>'Total and digestible IAA'!AM39/$H$2</f>
        <v>0.98425816607634797</v>
      </c>
      <c r="I39" s="23">
        <f>'Total and digestible IAA'!AN39/$I$2</f>
        <v>0.66102514506769816</v>
      </c>
      <c r="J39" s="23">
        <f>'Total and digestible IAA'!AO39/$J$2</f>
        <v>0.76505312868949238</v>
      </c>
      <c r="K39" s="23">
        <f>'Total and digestible IAA'!AP39/$K$2</f>
        <v>1.1818181818181821</v>
      </c>
      <c r="L39" s="24">
        <f t="shared" si="0"/>
        <v>49.943534726143419</v>
      </c>
      <c r="M39" s="14" t="s">
        <v>8</v>
      </c>
    </row>
    <row r="40" spans="1:13" x14ac:dyDescent="0.25">
      <c r="A40" s="5" t="s">
        <v>227</v>
      </c>
      <c r="B40" s="4" t="s">
        <v>10</v>
      </c>
      <c r="C40" s="23">
        <f>'Total and digestible IAA'!AH40/$C$2</f>
        <v>0.53979238754325265</v>
      </c>
      <c r="D40" s="23">
        <f>'Total and digestible IAA'!AI40/$D$2</f>
        <v>0.39724980901451484</v>
      </c>
      <c r="E40" s="23">
        <f>'Total and digestible IAA'!AJ40/$E$2</f>
        <v>0.47074102368220017</v>
      </c>
      <c r="F40" s="23">
        <f>'Total and digestible IAA'!AK40/$F$2</f>
        <v>0.51759453781512599</v>
      </c>
      <c r="G40" s="23">
        <f>'Total and digestible IAA'!AL40/$G$2</f>
        <v>0.3022774327122153</v>
      </c>
      <c r="H40" s="23">
        <f>'Total and digestible IAA'!AM40/$H$2</f>
        <v>0.93964858670741014</v>
      </c>
      <c r="I40" s="23">
        <f>'Total and digestible IAA'!AN40/$I$2</f>
        <v>0.54657607723940638</v>
      </c>
      <c r="J40" s="23">
        <f>'Total and digestible IAA'!AO40/$J$2</f>
        <v>0.56149732620320858</v>
      </c>
      <c r="K40" s="23">
        <f>'Total and digestible IAA'!AP40/$K$2</f>
        <v>0.84033613445378152</v>
      </c>
      <c r="L40" s="24">
        <f t="shared" si="0"/>
        <v>30.227743271221531</v>
      </c>
      <c r="M40" s="14" t="s">
        <v>8</v>
      </c>
    </row>
    <row r="41" spans="1:13" s="4" customFormat="1" x14ac:dyDescent="0.25">
      <c r="A41" s="4" t="s">
        <v>257</v>
      </c>
      <c r="B41" s="4" t="s">
        <v>10</v>
      </c>
      <c r="C41" s="23">
        <f>'Total and digestible IAA'!AH41/$C$2</f>
        <v>5.1791764705882357E-2</v>
      </c>
      <c r="D41" s="23">
        <f>'Total and digestible IAA'!AI41/$D$2</f>
        <v>0.48022500000000007</v>
      </c>
      <c r="E41" s="23">
        <f>'Total and digestible IAA'!AJ41/$E$2</f>
        <v>0.59407272727272731</v>
      </c>
      <c r="F41" s="23">
        <f>'Total and digestible IAA'!AK41/$F$2</f>
        <v>1.5489270833333333</v>
      </c>
      <c r="G41" s="23">
        <f>'Total and digestible IAA'!AL41/$G$2</f>
        <v>3.6457971014492753E-3</v>
      </c>
      <c r="H41" s="23">
        <f>'Total and digestible IAA'!AM41/$H$2</f>
        <v>0.59424242424242424</v>
      </c>
      <c r="I41" s="23">
        <f>'Total and digestible IAA'!AN41/$I$2</f>
        <v>0.91304468085106372</v>
      </c>
      <c r="J41" s="23">
        <f>'Total and digestible IAA'!AO41/$J$2</f>
        <v>0.52760727272727281</v>
      </c>
      <c r="K41" s="23">
        <f>'Total and digestible IAA'!AP41/$K$2</f>
        <v>0.44717142857142861</v>
      </c>
      <c r="L41" s="24">
        <f t="shared" si="0"/>
        <v>0.36457971014492752</v>
      </c>
      <c r="M41" s="14" t="s">
        <v>8</v>
      </c>
    </row>
    <row r="42" spans="1:13" s="6" customFormat="1" x14ac:dyDescent="0.25">
      <c r="C42" s="36"/>
      <c r="D42" s="36"/>
      <c r="E42" s="36"/>
      <c r="F42" s="36"/>
      <c r="G42" s="36"/>
      <c r="H42" s="36"/>
      <c r="I42" s="36"/>
      <c r="J42" s="36"/>
      <c r="K42" s="36"/>
      <c r="L42" s="37"/>
      <c r="M42" s="16"/>
    </row>
    <row r="43" spans="1:13" s="4" customFormat="1" x14ac:dyDescent="0.25">
      <c r="A43" s="4" t="s">
        <v>139</v>
      </c>
      <c r="B43" s="4" t="s">
        <v>296</v>
      </c>
      <c r="C43" s="23">
        <f>'Total and digestible IAA'!AH43/$C$2</f>
        <v>0.29808327825512226</v>
      </c>
      <c r="D43" s="23">
        <f>'Total and digestible IAA'!AI43/$D$2</f>
        <v>0.31664964249233912</v>
      </c>
      <c r="E43" s="23">
        <f>'Total and digestible IAA'!AJ43/$E$2</f>
        <v>0.47007150153217564</v>
      </c>
      <c r="F43" s="23">
        <f>'Total and digestible IAA'!AK43/$F$2</f>
        <v>0.43504213483146065</v>
      </c>
      <c r="G43" s="23">
        <f>'Total and digestible IAA'!AL43/$G$2</f>
        <v>0.41524181729360038</v>
      </c>
      <c r="H43" s="23">
        <f>'Total and digestible IAA'!AM43/$H$2</f>
        <v>0.38644875723527411</v>
      </c>
      <c r="I43" s="23">
        <f>'Total and digestible IAA'!AN43/$I$2</f>
        <v>0.50836720057375084</v>
      </c>
      <c r="J43" s="23">
        <f>'Total and digestible IAA'!AO43/$J$2</f>
        <v>0.52339121552604695</v>
      </c>
      <c r="K43" s="23">
        <f>'Total and digestible IAA'!AP43/$K$2</f>
        <v>1.1096843231674691</v>
      </c>
      <c r="L43" s="24">
        <f t="shared" si="0"/>
        <v>29.808327825512226</v>
      </c>
      <c r="M43" s="14" t="s">
        <v>6</v>
      </c>
    </row>
    <row r="44" spans="1:13" s="4" customFormat="1" x14ac:dyDescent="0.25">
      <c r="A44" s="4" t="s">
        <v>141</v>
      </c>
      <c r="B44" s="4" t="s">
        <v>296</v>
      </c>
      <c r="C44" s="23">
        <f>'Total and digestible IAA'!AH44/$C$2</f>
        <v>0.24949290060851931</v>
      </c>
      <c r="D44" s="23">
        <f>'Total and digestible IAA'!AI44/$D$2</f>
        <v>0.31583072100313481</v>
      </c>
      <c r="E44" s="23">
        <f>'Total and digestible IAA'!AJ44/$E$2</f>
        <v>0.46854754440961338</v>
      </c>
      <c r="F44" s="23">
        <f>'Total and digestible IAA'!AK44/$F$2</f>
        <v>0.43091475095785436</v>
      </c>
      <c r="G44" s="23">
        <f>'Total and digestible IAA'!AL44/$G$2</f>
        <v>0.4164584374479427</v>
      </c>
      <c r="H44" s="23">
        <f>'Total and digestible IAA'!AM44/$H$2</f>
        <v>0.37408568443051204</v>
      </c>
      <c r="I44" s="23">
        <f>'Total and digestible IAA'!AN44/$I$2</f>
        <v>0.55258009293225729</v>
      </c>
      <c r="J44" s="23">
        <f>'Total and digestible IAA'!AO44/$J$2</f>
        <v>0.52664576802507845</v>
      </c>
      <c r="K44" s="23">
        <f>'Total and digestible IAA'!AP44/$K$2</f>
        <v>1.1018062397372741</v>
      </c>
      <c r="L44" s="24">
        <f t="shared" si="0"/>
        <v>24.949290060851929</v>
      </c>
      <c r="M44" s="14" t="s">
        <v>6</v>
      </c>
    </row>
    <row r="45" spans="1:13" s="4" customFormat="1" x14ac:dyDescent="0.25">
      <c r="A45" s="4" t="s">
        <v>143</v>
      </c>
      <c r="B45" s="4" t="s">
        <v>296</v>
      </c>
      <c r="C45" s="23">
        <f>'Total and digestible IAA'!AH45/$C$2</f>
        <v>0.35805626598465468</v>
      </c>
      <c r="D45" s="23">
        <f>'Total and digestible IAA'!AI45/$D$2</f>
        <v>0.47727272727272718</v>
      </c>
      <c r="E45" s="23">
        <f>'Total and digestible IAA'!AJ45/$E$2</f>
        <v>0.42055335968379437</v>
      </c>
      <c r="F45" s="23">
        <f>'Total and digestible IAA'!AK45/$F$2</f>
        <v>0.42391304347826081</v>
      </c>
      <c r="G45" s="23">
        <f>'Total and digestible IAA'!AL45/$G$2</f>
        <v>0.39130434782608697</v>
      </c>
      <c r="H45" s="23">
        <f>'Total and digestible IAA'!AM45/$H$2</f>
        <v>0.76943346508563903</v>
      </c>
      <c r="I45" s="23">
        <f>'Total and digestible IAA'!AN45/$I$2</f>
        <v>0.50971322849213685</v>
      </c>
      <c r="J45" s="23">
        <f>'Total and digestible IAA'!AO45/$J$2</f>
        <v>0.58498023715415015</v>
      </c>
      <c r="K45" s="23">
        <f>'Total and digestible IAA'!AP45/$K$2</f>
        <v>1.1014492753623186</v>
      </c>
      <c r="L45" s="24">
        <f t="shared" si="0"/>
        <v>35.805626598465466</v>
      </c>
      <c r="M45" s="14" t="s">
        <v>6</v>
      </c>
    </row>
    <row r="46" spans="1:13" x14ac:dyDescent="0.25">
      <c r="A46" s="5" t="s">
        <v>21</v>
      </c>
      <c r="B46" s="4" t="s">
        <v>296</v>
      </c>
      <c r="C46" s="23">
        <f>'Total and digestible IAA'!AH46/$C$2</f>
        <v>0.34077079107505076</v>
      </c>
      <c r="D46" s="23">
        <f>'Total and digestible IAA'!AI46/$D$2</f>
        <v>0.48667711598746077</v>
      </c>
      <c r="E46" s="23">
        <f>'Total and digestible IAA'!AJ46/$E$2</f>
        <v>0.16363636363636366</v>
      </c>
      <c r="F46" s="23">
        <f>'Total and digestible IAA'!AK46/$F$2</f>
        <v>0.40409482758620691</v>
      </c>
      <c r="G46" s="23">
        <f>'Total and digestible IAA'!AL46/$G$2</f>
        <v>0.35182408795602205</v>
      </c>
      <c r="H46" s="23">
        <f>'Total and digestible IAA'!AM46/$H$2</f>
        <v>0.8254963427377221</v>
      </c>
      <c r="I46" s="23">
        <f>'Total and digestible IAA'!AN46/$I$2</f>
        <v>0.39691856199559794</v>
      </c>
      <c r="J46" s="23">
        <f>'Total and digestible IAA'!AO46/$J$2</f>
        <v>0.60313479623824462</v>
      </c>
      <c r="K46" s="23">
        <f>'Total and digestible IAA'!AP46/$K$2</f>
        <v>1.4975369458128076</v>
      </c>
      <c r="L46" s="24">
        <f t="shared" si="0"/>
        <v>16.363636363636367</v>
      </c>
      <c r="M46" s="15" t="s">
        <v>7</v>
      </c>
    </row>
    <row r="47" spans="1:13" s="4" customFormat="1" x14ac:dyDescent="0.25">
      <c r="A47" s="4" t="s">
        <v>145</v>
      </c>
      <c r="B47" s="4" t="s">
        <v>296</v>
      </c>
      <c r="C47" s="23">
        <f>'Total and digestible IAA'!AH47/$C$2</f>
        <v>0.35714285714285721</v>
      </c>
      <c r="D47" s="23">
        <f>'Total and digestible IAA'!AI47/$D$2</f>
        <v>0.44805194805194798</v>
      </c>
      <c r="E47" s="23">
        <f>'Total and digestible IAA'!AJ47/$E$2</f>
        <v>0.15064935064935064</v>
      </c>
      <c r="F47" s="23">
        <f>'Total and digestible IAA'!AK47/$F$2</f>
        <v>0.41852678571428575</v>
      </c>
      <c r="G47" s="23">
        <f>'Total and digestible IAA'!AL47/$G$2</f>
        <v>0.36438923395445133</v>
      </c>
      <c r="H47" s="23">
        <f>'Total and digestible IAA'!AM47/$H$2</f>
        <v>0.85497835497835506</v>
      </c>
      <c r="I47" s="23">
        <f>'Total and digestible IAA'!AN47/$I$2</f>
        <v>0.4110942249240121</v>
      </c>
      <c r="J47" s="23">
        <f>'Total and digestible IAA'!AO47/$J$2</f>
        <v>0.57662337662337659</v>
      </c>
      <c r="K47" s="23">
        <f>'Total and digestible IAA'!AP47/$K$2</f>
        <v>1.5510204081632653</v>
      </c>
      <c r="L47" s="24">
        <f t="shared" si="0"/>
        <v>15.064935064935064</v>
      </c>
      <c r="M47" s="15" t="s">
        <v>7</v>
      </c>
    </row>
    <row r="48" spans="1:13" s="4" customFormat="1" x14ac:dyDescent="0.25">
      <c r="A48" s="4" t="s">
        <v>147</v>
      </c>
      <c r="B48" s="4" t="s">
        <v>296</v>
      </c>
      <c r="C48" s="23">
        <f>'Total and digestible IAA'!AH48/$C$2</f>
        <v>0.67207572684246097</v>
      </c>
      <c r="D48" s="23">
        <f>'Total and digestible IAA'!AI48/$D$2</f>
        <v>0.62173458725182862</v>
      </c>
      <c r="E48" s="23">
        <f>'Total and digestible IAA'!AJ48/$E$2</f>
        <v>0.55590386624869392</v>
      </c>
      <c r="F48" s="23">
        <f>'Total and digestible IAA'!AK48/$F$2</f>
        <v>0.5510057471264368</v>
      </c>
      <c r="G48" s="23">
        <f>'Total and digestible IAA'!AL48/$G$2</f>
        <v>0.42528735632183906</v>
      </c>
      <c r="H48" s="23">
        <f>'Total and digestible IAA'!AM48/$H$2</f>
        <v>0.41866945315221177</v>
      </c>
      <c r="I48" s="23">
        <f>'Total and digestible IAA'!AN48/$I$2</f>
        <v>0.6067498165810713</v>
      </c>
      <c r="J48" s="23">
        <f>'Total and digestible IAA'!AO48/$J$2</f>
        <v>0.60313479623824462</v>
      </c>
      <c r="K48" s="23">
        <f>'Total and digestible IAA'!AP48/$K$2</f>
        <v>0.62397372742200341</v>
      </c>
      <c r="L48" s="24">
        <f t="shared" si="0"/>
        <v>41.86694531522118</v>
      </c>
      <c r="M48" s="14" t="s">
        <v>355</v>
      </c>
    </row>
    <row r="49" spans="1:13" s="4" customFormat="1" x14ac:dyDescent="0.25">
      <c r="A49" s="4" t="s">
        <v>149</v>
      </c>
      <c r="B49" s="4" t="s">
        <v>296</v>
      </c>
      <c r="C49" s="23">
        <f>'Total and digestible IAA'!AH49/$C$2</f>
        <v>0.61376512555081475</v>
      </c>
      <c r="D49" s="23">
        <f>'Total and digestible IAA'!AI49/$D$2</f>
        <v>1.1479840017295428</v>
      </c>
      <c r="E49" s="23">
        <f>'Total and digestible IAA'!AJ49/$E$2</f>
        <v>0.90433466652253813</v>
      </c>
      <c r="F49" s="23">
        <f>'Total and digestible IAA'!AK49/$F$2</f>
        <v>0.9501709274673007</v>
      </c>
      <c r="G49" s="23">
        <f>'Total and digestible IAA'!AL49/$G$2</f>
        <v>0.98464560823036773</v>
      </c>
      <c r="H49" s="23">
        <f>'Total and digestible IAA'!AM49/$H$2</f>
        <v>0.92699888300363931</v>
      </c>
      <c r="I49" s="23">
        <f>'Total and digestible IAA'!AN49/$I$2</f>
        <v>1.1075973385280948</v>
      </c>
      <c r="J49" s="23">
        <f>'Total and digestible IAA'!AO49/$J$2</f>
        <v>1.0601880877742946</v>
      </c>
      <c r="K49" s="23">
        <f>'Total and digestible IAA'!AP49/$K$2</f>
        <v>0.90204405186569281</v>
      </c>
      <c r="L49" s="24">
        <f t="shared" si="0"/>
        <v>61.376512555081476</v>
      </c>
      <c r="M49" s="14" t="s">
        <v>6</v>
      </c>
    </row>
    <row r="50" spans="1:13" s="4" customFormat="1" x14ac:dyDescent="0.25">
      <c r="A50" s="4" t="s">
        <v>151</v>
      </c>
      <c r="B50" s="4" t="s">
        <v>296</v>
      </c>
      <c r="C50" s="23">
        <f>'Total and digestible IAA'!AH50/$C$2</f>
        <v>0.16339869281045755</v>
      </c>
      <c r="D50" s="23">
        <f>'Total and digestible IAA'!AI50/$D$2</f>
        <v>0.21801346801346802</v>
      </c>
      <c r="E50" s="23">
        <f>'Total and digestible IAA'!AJ50/$E$2</f>
        <v>5.319865319865321E-2</v>
      </c>
      <c r="F50" s="23">
        <f>'Total and digestible IAA'!AK50/$F$2</f>
        <v>0.359375</v>
      </c>
      <c r="G50" s="23">
        <f>'Total and digestible IAA'!AL50/$G$2</f>
        <v>0.13902308105206657</v>
      </c>
      <c r="H50" s="23">
        <f>'Total and digestible IAA'!AM50/$H$2</f>
        <v>0.41694725028058355</v>
      </c>
      <c r="I50" s="23">
        <f>'Total and digestible IAA'!AN50/$I$2</f>
        <v>0.26989755713159969</v>
      </c>
      <c r="J50" s="23">
        <f>'Total and digestible IAA'!AO50/$J$2</f>
        <v>0.36296296296296293</v>
      </c>
      <c r="K50" s="23">
        <f>'Total and digestible IAA'!AP50/$K$2</f>
        <v>0.35273368606701938</v>
      </c>
      <c r="L50" s="24">
        <f t="shared" si="0"/>
        <v>5.319865319865321</v>
      </c>
      <c r="M50" s="14" t="s">
        <v>7</v>
      </c>
    </row>
    <row r="51" spans="1:13" s="4" customFormat="1" x14ac:dyDescent="0.25">
      <c r="A51" s="4" t="s">
        <v>153</v>
      </c>
      <c r="B51" s="4" t="s">
        <v>296</v>
      </c>
      <c r="C51" s="23">
        <f>'Total and digestible IAA'!AH51/$C$2</f>
        <v>0.43689320388349512</v>
      </c>
      <c r="D51" s="23">
        <f>'Total and digestible IAA'!AI51/$D$2</f>
        <v>0.66725507502206538</v>
      </c>
      <c r="E51" s="23">
        <f>'Total and digestible IAA'!AJ51/$E$2</f>
        <v>0.48578993821712274</v>
      </c>
      <c r="F51" s="23">
        <f>'Total and digestible IAA'!AK51/$F$2</f>
        <v>0.45388349514563098</v>
      </c>
      <c r="G51" s="23">
        <f>'Total and digestible IAA'!AL51/$G$2</f>
        <v>0.55663430420711968</v>
      </c>
      <c r="H51" s="23">
        <f>'Total and digestible IAA'!AM51/$H$2</f>
        <v>0.70844365989997049</v>
      </c>
      <c r="I51" s="23">
        <f>'Total and digestible IAA'!AN51/$I$2</f>
        <v>0.69076637058459012</v>
      </c>
      <c r="J51" s="23">
        <f>'Total and digestible IAA'!AO51/$J$2</f>
        <v>0.72021182700794362</v>
      </c>
      <c r="K51" s="23">
        <f>'Total and digestible IAA'!AP51/$K$2</f>
        <v>0.65094775774387426</v>
      </c>
      <c r="L51" s="24">
        <f t="shared" si="0"/>
        <v>43.689320388349515</v>
      </c>
      <c r="M51" s="14" t="s">
        <v>6</v>
      </c>
    </row>
    <row r="52" spans="1:13" x14ac:dyDescent="0.25">
      <c r="A52" s="5" t="s">
        <v>158</v>
      </c>
      <c r="B52" s="4" t="s">
        <v>296</v>
      </c>
      <c r="C52" s="23">
        <f>'Total and digestible IAA'!AH52/$C$2</f>
        <v>0.23429710867397804</v>
      </c>
      <c r="D52" s="23">
        <f>'Total and digestible IAA'!AI52/$D$2</f>
        <v>0.41640986132511554</v>
      </c>
      <c r="E52" s="23">
        <f>'Total and digestible IAA'!AJ52/$E$2</f>
        <v>0.29830508474576267</v>
      </c>
      <c r="F52" s="23">
        <f>'Total and digestible IAA'!AK52/$F$2</f>
        <v>0.29872881355932207</v>
      </c>
      <c r="G52" s="23">
        <f>'Total and digestible IAA'!AL52/$G$2</f>
        <v>0.3773028739867354</v>
      </c>
      <c r="H52" s="23">
        <f>'Total and digestible IAA'!AM52/$H$2</f>
        <v>0.36158192090395475</v>
      </c>
      <c r="I52" s="23">
        <f>'Total and digestible IAA'!AN52/$I$2</f>
        <v>0.35593220338983045</v>
      </c>
      <c r="J52" s="23">
        <f>'Total and digestible IAA'!AO52/$J$2</f>
        <v>0.44899845916795061</v>
      </c>
      <c r="K52" s="23">
        <f>'Total and digestible IAA'!AP52/$K$2</f>
        <v>0.33898305084745761</v>
      </c>
      <c r="L52" s="24">
        <f t="shared" si="0"/>
        <v>23.429710867397805</v>
      </c>
      <c r="M52" s="14" t="s">
        <v>6</v>
      </c>
    </row>
    <row r="53" spans="1:13" x14ac:dyDescent="0.25">
      <c r="A53" s="5" t="s">
        <v>22</v>
      </c>
      <c r="B53" s="4" t="s">
        <v>296</v>
      </c>
      <c r="C53" s="23">
        <f>'Total and digestible IAA'!AH53/$C$2</f>
        <v>0.23697478991596638</v>
      </c>
      <c r="D53" s="23">
        <f>'Total and digestible IAA'!AI53/$D$2</f>
        <v>0.45584415584415594</v>
      </c>
      <c r="E53" s="23">
        <f>'Total and digestible IAA'!AJ53/$E$2</f>
        <v>0.3444155844155844</v>
      </c>
      <c r="F53" s="23">
        <f>'Total and digestible IAA'!AK53/$F$2</f>
        <v>0.33273809523809522</v>
      </c>
      <c r="G53" s="23">
        <f>'Total and digestible IAA'!AL53/$G$2</f>
        <v>0.40124223602484471</v>
      </c>
      <c r="H53" s="23">
        <f>'Total and digestible IAA'!AM53/$H$2</f>
        <v>0.40606060606060601</v>
      </c>
      <c r="I53" s="23">
        <f>'Total and digestible IAA'!AN53/$I$2</f>
        <v>0.38465045592705166</v>
      </c>
      <c r="J53" s="23">
        <f>'Total and digestible IAA'!AO53/$J$2</f>
        <v>0.49974025974025976</v>
      </c>
      <c r="K53" s="23">
        <f>'Total and digestible IAA'!AP53/$K$2</f>
        <v>0.3836734693877551</v>
      </c>
      <c r="L53" s="24">
        <f t="shared" si="0"/>
        <v>23.697478991596636</v>
      </c>
      <c r="M53" s="14" t="s">
        <v>6</v>
      </c>
    </row>
    <row r="54" spans="1:13" x14ac:dyDescent="0.25">
      <c r="A54" s="5" t="s">
        <v>288</v>
      </c>
      <c r="B54" s="4" t="s">
        <v>296</v>
      </c>
      <c r="C54" s="23">
        <f>'Total and digestible IAA'!AH54/$C$2</f>
        <v>0.23039215686274508</v>
      </c>
      <c r="D54" s="23">
        <f>'Total and digestible IAA'!AI54/$D$2</f>
        <v>0.45959595959595956</v>
      </c>
      <c r="E54" s="23">
        <f>'Total and digestible IAA'!AJ54/$E$2</f>
        <v>0.34772727272727277</v>
      </c>
      <c r="F54" s="23">
        <f>'Total and digestible IAA'!AK54/$F$2</f>
        <v>0.31828703703703703</v>
      </c>
      <c r="G54" s="23">
        <f>'Total and digestible IAA'!AL54/$G$2</f>
        <v>0.40821256038647347</v>
      </c>
      <c r="H54" s="23">
        <f>'Total and digestible IAA'!AM54/$H$2</f>
        <v>0.39478114478114473</v>
      </c>
      <c r="I54" s="23">
        <f>'Total and digestible IAA'!AN54/$I$2</f>
        <v>0.40307328605200943</v>
      </c>
      <c r="J54" s="23">
        <f>'Total and digestible IAA'!AO54/$J$2</f>
        <v>0.48585858585858593</v>
      </c>
      <c r="K54" s="23">
        <f>'Total and digestible IAA'!AP54/$K$2</f>
        <v>0.37301587301587302</v>
      </c>
      <c r="L54" s="24">
        <f t="shared" si="0"/>
        <v>23.03921568627451</v>
      </c>
      <c r="M54" s="14" t="s">
        <v>6</v>
      </c>
    </row>
    <row r="55" spans="1:13" x14ac:dyDescent="0.25">
      <c r="A55" s="5" t="s">
        <v>289</v>
      </c>
      <c r="B55" s="4" t="s">
        <v>296</v>
      </c>
      <c r="C55" s="23">
        <f>'Total and digestible IAA'!AH55/$C$2</f>
        <v>0.25919117647058826</v>
      </c>
      <c r="D55" s="23">
        <f>'Total and digestible IAA'!AI55/$D$2</f>
        <v>0.42613636363636365</v>
      </c>
      <c r="E55" s="23">
        <f>'Total and digestible IAA'!AJ55/$E$2</f>
        <v>0.36136363636363639</v>
      </c>
      <c r="F55" s="23">
        <f>'Total and digestible IAA'!AK55/$F$2</f>
        <v>0.3173828125</v>
      </c>
      <c r="G55" s="23">
        <f>'Total and digestible IAA'!AL55/$G$2</f>
        <v>0.41213768115942029</v>
      </c>
      <c r="H55" s="23">
        <f>'Total and digestible IAA'!AM55/$H$2</f>
        <v>0.41856060606060613</v>
      </c>
      <c r="I55" s="23">
        <f>'Total and digestible IAA'!AN55/$I$2</f>
        <v>0.38996010638297873</v>
      </c>
      <c r="J55" s="23">
        <f>'Total and digestible IAA'!AO55/$J$2</f>
        <v>0.47812499999999991</v>
      </c>
      <c r="K55" s="23">
        <f>'Total and digestible IAA'!AP55/$K$2</f>
        <v>0.4174107142857143</v>
      </c>
      <c r="L55" s="24">
        <f t="shared" si="0"/>
        <v>25.919117647058826</v>
      </c>
      <c r="M55" s="14" t="s">
        <v>6</v>
      </c>
    </row>
    <row r="56" spans="1:13" x14ac:dyDescent="0.25">
      <c r="A56" s="5" t="s">
        <v>23</v>
      </c>
      <c r="B56" s="4" t="s">
        <v>296</v>
      </c>
      <c r="C56" s="23">
        <f>'Total and digestible IAA'!AH56/$C$2</f>
        <v>0.41619228336495884</v>
      </c>
      <c r="D56" s="23">
        <f>'Total and digestible IAA'!AI56/$D$2</f>
        <v>0.56060606060606066</v>
      </c>
      <c r="E56" s="23">
        <f>'Total and digestible IAA'!AJ56/$E$2</f>
        <v>0.48172043010752691</v>
      </c>
      <c r="F56" s="23">
        <f>'Total and digestible IAA'!AK56/$F$2</f>
        <v>0.40143369175627241</v>
      </c>
      <c r="G56" s="23">
        <f>'Total and digestible IAA'!AL56/$G$2</f>
        <v>0.46376811594202899</v>
      </c>
      <c r="H56" s="23">
        <f>'Total and digestible IAA'!AM56/$H$2</f>
        <v>0.59042033235581626</v>
      </c>
      <c r="I56" s="23">
        <f>'Total and digestible IAA'!AN56/$I$2</f>
        <v>0.49965682910089226</v>
      </c>
      <c r="J56" s="23">
        <f>'Total and digestible IAA'!AO56/$J$2</f>
        <v>0.5329423264907136</v>
      </c>
      <c r="K56" s="23">
        <f>'Total and digestible IAA'!AP56/$K$2</f>
        <v>0.43420378904249873</v>
      </c>
      <c r="L56" s="24">
        <f t="shared" si="0"/>
        <v>40.143369175627242</v>
      </c>
      <c r="M56" s="15" t="s">
        <v>524</v>
      </c>
    </row>
    <row r="57" spans="1:13" x14ac:dyDescent="0.25">
      <c r="A57" s="5" t="s">
        <v>290</v>
      </c>
      <c r="B57" s="4" t="s">
        <v>296</v>
      </c>
      <c r="C57" s="23">
        <f>'Total and digestible IAA'!AH57/$C$2</f>
        <v>0.30769230769230776</v>
      </c>
      <c r="D57" s="23">
        <f>'Total and digestible IAA'!AI57/$D$2</f>
        <v>0.53292540792540799</v>
      </c>
      <c r="E57" s="23">
        <f>'Total and digestible IAA'!AJ57/$E$2</f>
        <v>0.37855477855477859</v>
      </c>
      <c r="F57" s="23">
        <f>'Total and digestible IAA'!AK57/$F$2</f>
        <v>0.37566773504273504</v>
      </c>
      <c r="G57" s="23">
        <f>'Total and digestible IAA'!AL57/$G$2</f>
        <v>0.50334448160535117</v>
      </c>
      <c r="H57" s="23">
        <f>'Total and digestible IAA'!AM57/$H$2</f>
        <v>0.47144522144522144</v>
      </c>
      <c r="I57" s="23">
        <f>'Total and digestible IAA'!AN57/$I$2</f>
        <v>0.45867430441898527</v>
      </c>
      <c r="J57" s="23">
        <f>'Total and digestible IAA'!AO57/$J$2</f>
        <v>0.50699300699300698</v>
      </c>
      <c r="K57" s="23">
        <f>'Total and digestible IAA'!AP57/$K$2</f>
        <v>0.45238095238095238</v>
      </c>
      <c r="L57" s="24">
        <f t="shared" si="0"/>
        <v>30.769230769230777</v>
      </c>
      <c r="M57" s="15" t="s">
        <v>6</v>
      </c>
    </row>
    <row r="58" spans="1:13" x14ac:dyDescent="0.25">
      <c r="A58" s="5" t="s">
        <v>292</v>
      </c>
      <c r="B58" s="4" t="s">
        <v>296</v>
      </c>
      <c r="C58" s="23">
        <f>'Total and digestible IAA'!AH58/$C$2</f>
        <v>0.28671023965141607</v>
      </c>
      <c r="D58" s="23">
        <f>'Total and digestible IAA'!AI58/$D$2</f>
        <v>0.53232323232323242</v>
      </c>
      <c r="E58" s="23">
        <f>'Total and digestible IAA'!AJ58/$E$2</f>
        <v>0.3827609427609428</v>
      </c>
      <c r="F58" s="23">
        <f>'Total and digestible IAA'!AK58/$F$2</f>
        <v>0.37592592592592594</v>
      </c>
      <c r="G58" s="23">
        <f>'Total and digestible IAA'!AL58/$G$2</f>
        <v>0.50842726784755776</v>
      </c>
      <c r="H58" s="23">
        <f>'Total and digestible IAA'!AM58/$H$2</f>
        <v>0.4781144781144781</v>
      </c>
      <c r="I58" s="23">
        <f>'Total and digestible IAA'!AN58/$I$2</f>
        <v>0.4630417651694248</v>
      </c>
      <c r="J58" s="23">
        <f>'Total and digestible IAA'!AO58/$J$2</f>
        <v>0.50774410774410772</v>
      </c>
      <c r="K58" s="23">
        <f>'Total and digestible IAA'!AP58/$K$2</f>
        <v>0.49488536155202811</v>
      </c>
      <c r="L58" s="24">
        <f t="shared" si="0"/>
        <v>28.671023965141607</v>
      </c>
      <c r="M58" s="15" t="s">
        <v>6</v>
      </c>
    </row>
    <row r="59" spans="1:13" x14ac:dyDescent="0.25">
      <c r="A59" s="5" t="s">
        <v>291</v>
      </c>
      <c r="B59" s="4" t="s">
        <v>296</v>
      </c>
      <c r="C59" s="23">
        <f>'Total and digestible IAA'!AH59/$C$2</f>
        <v>0.26445012787723787</v>
      </c>
      <c r="D59" s="23">
        <f>'Total and digestible IAA'!AI59/$D$2</f>
        <v>0.5478260869565218</v>
      </c>
      <c r="E59" s="23">
        <f>'Total and digestible IAA'!AJ59/$E$2</f>
        <v>0.38245059288537542</v>
      </c>
      <c r="F59" s="23">
        <f>'Total and digestible IAA'!AK59/$F$2</f>
        <v>0.36657608695652177</v>
      </c>
      <c r="G59" s="23">
        <f>'Total and digestible IAA'!AL59/$G$2</f>
        <v>0.49224952741020789</v>
      </c>
      <c r="H59" s="23">
        <f>'Total and digestible IAA'!AM59/$H$2</f>
        <v>0.44321475625823453</v>
      </c>
      <c r="I59" s="23">
        <f>'Total and digestible IAA'!AN59/$I$2</f>
        <v>0.46299722479185929</v>
      </c>
      <c r="J59" s="23">
        <f>'Total and digestible IAA'!AO59/$J$2</f>
        <v>0.49565217391304345</v>
      </c>
      <c r="K59" s="23">
        <f>'Total and digestible IAA'!AP59/$K$2</f>
        <v>0.45631469979296063</v>
      </c>
      <c r="L59" s="24">
        <f t="shared" si="0"/>
        <v>26.445012787723787</v>
      </c>
      <c r="M59" s="15" t="s">
        <v>6</v>
      </c>
    </row>
    <row r="60" spans="1:13" x14ac:dyDescent="0.25">
      <c r="A60" s="5" t="s">
        <v>293</v>
      </c>
      <c r="B60" s="4" t="s">
        <v>296</v>
      </c>
      <c r="C60" s="23">
        <f>'Total and digestible IAA'!AH60/$C$2</f>
        <v>0.29988465974625145</v>
      </c>
      <c r="D60" s="23">
        <f>'Total and digestible IAA'!AI60/$D$2</f>
        <v>0.53008021390374338</v>
      </c>
      <c r="E60" s="23">
        <f>'Total and digestible IAA'!AJ60/$E$2</f>
        <v>0.36934046345811061</v>
      </c>
      <c r="F60" s="23">
        <f>'Total and digestible IAA'!AK60/$F$2</f>
        <v>0.3795955882352941</v>
      </c>
      <c r="G60" s="23">
        <f>'Total and digestible IAA'!AL60/$G$2</f>
        <v>0.50127877237851659</v>
      </c>
      <c r="H60" s="23">
        <f>'Total and digestible IAA'!AM60/$H$2</f>
        <v>0.43969102792632203</v>
      </c>
      <c r="I60" s="23">
        <f>'Total and digestible IAA'!AN60/$I$2</f>
        <v>0.46328744263662908</v>
      </c>
      <c r="J60" s="23">
        <f>'Total and digestible IAA'!AO60/$J$2</f>
        <v>0.50659536541889483</v>
      </c>
      <c r="K60" s="23">
        <f>'Total and digestible IAA'!AP60/$K$2</f>
        <v>0.44444444444444448</v>
      </c>
      <c r="L60" s="24">
        <f t="shared" si="0"/>
        <v>29.988465974625143</v>
      </c>
      <c r="M60" s="15" t="s">
        <v>6</v>
      </c>
    </row>
    <row r="61" spans="1:13" x14ac:dyDescent="0.25">
      <c r="A61" s="5" t="s">
        <v>157</v>
      </c>
      <c r="B61" s="4" t="s">
        <v>296</v>
      </c>
      <c r="C61" s="23">
        <f>'Total and digestible IAA'!AH61/$C$2</f>
        <v>0.27647058823529413</v>
      </c>
      <c r="D61" s="23">
        <f>'Total and digestible IAA'!AI61/$D$2</f>
        <v>0.37670454545454546</v>
      </c>
      <c r="E61" s="23">
        <f>'Total and digestible IAA'!AJ61/$E$2</f>
        <v>0.3</v>
      </c>
      <c r="F61" s="23">
        <f>'Total and digestible IAA'!AK61/$F$2</f>
        <v>0.29218749999999999</v>
      </c>
      <c r="G61" s="23">
        <f>'Total and digestible IAA'!AL61/$G$2</f>
        <v>0.30724637681159422</v>
      </c>
      <c r="H61" s="23">
        <f>'Total and digestible IAA'!AM61/$H$2</f>
        <v>0.50454545454545452</v>
      </c>
      <c r="I61" s="23">
        <f>'Total and digestible IAA'!AN61/$I$2</f>
        <v>0.37473404255319159</v>
      </c>
      <c r="J61" s="23">
        <f>'Total and digestible IAA'!AO61/$J$2</f>
        <v>0.34181818181818185</v>
      </c>
      <c r="K61" s="23">
        <f>'Total and digestible IAA'!AP61/$K$2</f>
        <v>0.33571428571428569</v>
      </c>
      <c r="L61" s="24">
        <f t="shared" si="0"/>
        <v>27.647058823529413</v>
      </c>
      <c r="M61" s="15" t="s">
        <v>6</v>
      </c>
    </row>
    <row r="62" spans="1:13" s="4" customFormat="1" x14ac:dyDescent="0.25">
      <c r="A62" s="4" t="s">
        <v>155</v>
      </c>
      <c r="B62" s="4" t="s">
        <v>296</v>
      </c>
      <c r="C62" s="23">
        <f>'Total and digestible IAA'!AH62/$C$2</f>
        <v>0.87197231833910038</v>
      </c>
      <c r="D62" s="23">
        <f>'Total and digestible IAA'!AI62/$D$2</f>
        <v>0.88770053475935806</v>
      </c>
      <c r="E62" s="23">
        <f>'Total and digestible IAA'!AJ62/$E$2</f>
        <v>0.63636363636363624</v>
      </c>
      <c r="F62" s="23">
        <f>'Total and digestible IAA'!AK62/$F$2</f>
        <v>0.4797794117647059</v>
      </c>
      <c r="G62" s="23">
        <f>'Total and digestible IAA'!AL62/$G$2</f>
        <v>0.45893719806763289</v>
      </c>
      <c r="H62" s="23">
        <f>'Total and digestible IAA'!AM62/$H$2</f>
        <v>0.70825906120023774</v>
      </c>
      <c r="I62" s="23">
        <f>'Total and digestible IAA'!AN62/$I$2</f>
        <v>0.93199833124739262</v>
      </c>
      <c r="J62" s="23">
        <f>'Total and digestible IAA'!AO62/$J$2</f>
        <v>0.81818181818181823</v>
      </c>
      <c r="K62" s="23">
        <f>'Total and digestible IAA'!AP62/$K$2</f>
        <v>1.0560224089635855</v>
      </c>
      <c r="L62" s="24">
        <f t="shared" si="0"/>
        <v>45.893719806763286</v>
      </c>
      <c r="M62" s="14" t="s">
        <v>8</v>
      </c>
    </row>
    <row r="63" spans="1:13" s="6" customFormat="1" x14ac:dyDescent="0.25">
      <c r="C63" s="36"/>
      <c r="D63" s="36"/>
      <c r="E63" s="36"/>
      <c r="F63" s="36"/>
      <c r="G63" s="36"/>
      <c r="H63" s="36"/>
      <c r="I63" s="36"/>
      <c r="J63" s="36"/>
      <c r="K63" s="36"/>
      <c r="L63" s="37"/>
      <c r="M63" s="16"/>
    </row>
    <row r="64" spans="1:13" s="4" customFormat="1" x14ac:dyDescent="0.25">
      <c r="A64" s="4" t="s">
        <v>250</v>
      </c>
      <c r="B64" s="4" t="s">
        <v>298</v>
      </c>
      <c r="C64" s="23">
        <f>'Total and digestible IAA'!AH64/$C$2</f>
        <v>0.39077277970011542</v>
      </c>
      <c r="D64" s="23">
        <f>'Total and digestible IAA'!AI64/$D$2</f>
        <v>0.50941176470588223</v>
      </c>
      <c r="E64" s="23">
        <f>'Total and digestible IAA'!AJ64/$E$2</f>
        <v>0.48643137254901969</v>
      </c>
      <c r="F64" s="23">
        <f>'Total and digestible IAA'!AK64/$F$2</f>
        <v>0.83620098039215673</v>
      </c>
      <c r="G64" s="23">
        <f>'Total and digestible IAA'!AL64/$G$2</f>
        <v>0.67444160272804765</v>
      </c>
      <c r="H64" s="23">
        <f>'Total and digestible IAA'!AM64/$H$2</f>
        <v>0.54612002376708269</v>
      </c>
      <c r="I64" s="23">
        <f>'Total and digestible IAA'!AN64/$I$2</f>
        <v>0.43292448894451396</v>
      </c>
      <c r="J64" s="23">
        <f>'Total and digestible IAA'!AO64/$J$2</f>
        <v>0.5851265597147951</v>
      </c>
      <c r="K64" s="23">
        <f>'Total and digestible IAA'!AP64/$K$2</f>
        <v>1.2118954248366012</v>
      </c>
      <c r="L64" s="24">
        <f t="shared" si="0"/>
        <v>39.077277970011544</v>
      </c>
      <c r="M64" s="14" t="s">
        <v>6</v>
      </c>
    </row>
    <row r="65" spans="1:14" x14ac:dyDescent="0.25">
      <c r="A65" s="5" t="s">
        <v>175</v>
      </c>
      <c r="B65" s="4" t="s">
        <v>298</v>
      </c>
      <c r="C65" s="23">
        <f>'Total and digestible IAA'!AH65/$C$2</f>
        <v>0.71430056121388485</v>
      </c>
      <c r="D65" s="23">
        <f>'Total and digestible IAA'!AI65/$D$2</f>
        <v>0.86283327979441049</v>
      </c>
      <c r="E65" s="23">
        <f>'Total and digestible IAA'!AJ65/$E$2</f>
        <v>0.75335689045936394</v>
      </c>
      <c r="F65" s="23">
        <f>'Total and digestible IAA'!AK65/$F$2</f>
        <v>0.77451413427561844</v>
      </c>
      <c r="G65" s="23">
        <f>'Total and digestible IAA'!AL65/$G$2</f>
        <v>0.7005684436933477</v>
      </c>
      <c r="H65" s="23">
        <f>'Total and digestible IAA'!AM65/$H$2</f>
        <v>0.75339972159760138</v>
      </c>
      <c r="I65" s="23">
        <f>'Total and digestible IAA'!AN65/$I$2</f>
        <v>0.92047590406736324</v>
      </c>
      <c r="J65" s="23">
        <f>'Total and digestible IAA'!AO65/$J$2</f>
        <v>0.88207516864760682</v>
      </c>
      <c r="K65" s="23">
        <f>'Total and digestible IAA'!AP65/$K$2</f>
        <v>1.010600706713781</v>
      </c>
      <c r="L65" s="24">
        <f t="shared" si="0"/>
        <v>70.056844369334769</v>
      </c>
      <c r="M65" s="15" t="s">
        <v>8</v>
      </c>
    </row>
    <row r="66" spans="1:14" x14ac:dyDescent="0.25">
      <c r="A66" s="5" t="s">
        <v>177</v>
      </c>
      <c r="B66" s="4" t="s">
        <v>298</v>
      </c>
      <c r="C66" s="23">
        <f>'Total and digestible IAA'!AH66/$C$2</f>
        <v>0.38200692041522494</v>
      </c>
      <c r="D66" s="23">
        <f>'Total and digestible IAA'!AI66/$D$2</f>
        <v>0.51377005347593585</v>
      </c>
      <c r="E66" s="23">
        <f>'Total and digestible IAA'!AJ66/$E$2</f>
        <v>0.47272727272727272</v>
      </c>
      <c r="F66" s="23">
        <f>'Total and digestible IAA'!AK66/$F$2</f>
        <v>0.50735294117647056</v>
      </c>
      <c r="G66" s="23">
        <f>'Total and digestible IAA'!AL66/$G$2</f>
        <v>0.33759590792838878</v>
      </c>
      <c r="H66" s="23">
        <f>'Total and digestible IAA'!AM66/$H$2</f>
        <v>0.36452762923351156</v>
      </c>
      <c r="I66" s="23">
        <f>'Total and digestible IAA'!AN66/$I$2</f>
        <v>0.52715894868585722</v>
      </c>
      <c r="J66" s="23">
        <f>'Total and digestible IAA'!AO66/$J$2</f>
        <v>0.7380748663101605</v>
      </c>
      <c r="K66" s="23">
        <f>'Total and digestible IAA'!AP66/$K$2</f>
        <v>0.36722689075630244</v>
      </c>
      <c r="L66" s="24">
        <f t="shared" si="0"/>
        <v>33.759590792838878</v>
      </c>
      <c r="M66" s="15" t="s">
        <v>8</v>
      </c>
    </row>
    <row r="67" spans="1:14" x14ac:dyDescent="0.25">
      <c r="A67" s="5" t="s">
        <v>179</v>
      </c>
      <c r="B67" s="4" t="s">
        <v>298</v>
      </c>
      <c r="C67" s="23">
        <f>'Total and digestible IAA'!AH67/$C$2</f>
        <v>0.39973262032085566</v>
      </c>
      <c r="D67" s="23">
        <f>'Total and digestible IAA'!AI67/$D$2</f>
        <v>0.68801652892561982</v>
      </c>
      <c r="E67" s="23">
        <f>'Total and digestible IAA'!AJ67/$E$2</f>
        <v>0.60433884297520657</v>
      </c>
      <c r="F67" s="23">
        <f>'Total and digestible IAA'!AK67/$F$2</f>
        <v>0.62890625</v>
      </c>
      <c r="G67" s="23">
        <f>'Total and digestible IAA'!AL67/$G$2</f>
        <v>0.53754940711462451</v>
      </c>
      <c r="H67" s="23">
        <f>'Total and digestible IAA'!AM67/$H$2</f>
        <v>0.48760330578512395</v>
      </c>
      <c r="I67" s="23">
        <f>'Total and digestible IAA'!AN67/$I$2</f>
        <v>0.69890393294648623</v>
      </c>
      <c r="J67" s="23">
        <f>'Total and digestible IAA'!AO67/$J$2</f>
        <v>0.78842975206611576</v>
      </c>
      <c r="K67" s="23">
        <f>'Total and digestible IAA'!AP67/$K$2</f>
        <v>0.62554112554112551</v>
      </c>
      <c r="L67" s="24">
        <f t="shared" si="0"/>
        <v>39.973262032085564</v>
      </c>
      <c r="M67" s="15" t="s">
        <v>6</v>
      </c>
    </row>
    <row r="68" spans="1:14" s="4" customFormat="1" x14ac:dyDescent="0.25">
      <c r="A68" s="4" t="s">
        <v>251</v>
      </c>
      <c r="B68" s="4" t="s">
        <v>298</v>
      </c>
      <c r="C68" s="23">
        <f>'Total and digestible IAA'!AH68/$C$2</f>
        <v>0.34729649435531795</v>
      </c>
      <c r="D68" s="23">
        <f>'Total and digestible IAA'!AI68/$D$2</f>
        <v>0.63480257116620753</v>
      </c>
      <c r="E68" s="23">
        <f>'Total and digestible IAA'!AJ68/$E$2</f>
        <v>0.59136822773186415</v>
      </c>
      <c r="F68" s="23">
        <f>'Total and digestible IAA'!AK68/$F$2</f>
        <v>0.97134539842873169</v>
      </c>
      <c r="G68" s="23">
        <f>'Total and digestible IAA'!AL68/$G$2</f>
        <v>0.76158688332601376</v>
      </c>
      <c r="H68" s="23">
        <f>'Total and digestible IAA'!AM68/$H$2</f>
        <v>0.64196510560146924</v>
      </c>
      <c r="I68" s="23">
        <f>'Total and digestible IAA'!AN68/$I$2</f>
        <v>0.45559137474031092</v>
      </c>
      <c r="J68" s="23">
        <f>'Total and digestible IAA'!AO68/$J$2</f>
        <v>0.63577594123048675</v>
      </c>
      <c r="K68" s="23">
        <f>'Total and digestible IAA'!AP68/$K$2</f>
        <v>1.1025974025974026</v>
      </c>
      <c r="L68" s="24">
        <f t="shared" ref="L68:L131" si="1">MIN(C68:K68)*100</f>
        <v>34.729649435531798</v>
      </c>
      <c r="M68" s="15" t="s">
        <v>6</v>
      </c>
    </row>
    <row r="69" spans="1:14" s="4" customFormat="1" ht="14.25" customHeight="1" x14ac:dyDescent="0.25">
      <c r="A69" s="4" t="s">
        <v>307</v>
      </c>
      <c r="B69" s="4" t="s">
        <v>298</v>
      </c>
      <c r="C69" s="23">
        <f>'Total and digestible IAA'!AH69/$C$2</f>
        <v>0.4584368958851146</v>
      </c>
      <c r="D69" s="23">
        <f>'Total and digestible IAA'!AI69/$D$2</f>
        <v>0.62441314553990612</v>
      </c>
      <c r="E69" s="23">
        <f>'Total and digestible IAA'!AJ69/$E$2</f>
        <v>0.5809645753307725</v>
      </c>
      <c r="F69" s="23">
        <f>'Total and digestible IAA'!AK69/$F$2</f>
        <v>0.6561032863849765</v>
      </c>
      <c r="G69" s="23">
        <f>'Total and digestible IAA'!AL69/$G$2</f>
        <v>0.92100428658909972</v>
      </c>
      <c r="H69" s="23">
        <f>'Total and digestible IAA'!AM69/$H$2</f>
        <v>0.65841513728837675</v>
      </c>
      <c r="I69" s="23">
        <f>'Total and digestible IAA'!AN69/$I$2</f>
        <v>0.73788832284487083</v>
      </c>
      <c r="J69" s="23">
        <f>'Total and digestible IAA'!AO69/$J$2</f>
        <v>0.59462227912932131</v>
      </c>
      <c r="K69" s="23">
        <f>'Total and digestible IAA'!AP69/$K$2</f>
        <v>1.0503018108651911</v>
      </c>
      <c r="L69" s="24">
        <f t="shared" si="1"/>
        <v>45.843689588511459</v>
      </c>
      <c r="M69" s="15" t="s">
        <v>6</v>
      </c>
    </row>
    <row r="70" spans="1:14" x14ac:dyDescent="0.25">
      <c r="A70" s="5" t="s">
        <v>308</v>
      </c>
      <c r="B70" s="4" t="s">
        <v>298</v>
      </c>
      <c r="C70" s="23"/>
      <c r="D70" s="23">
        <f>'Total and digestible IAA'!AI70/$D$2</f>
        <v>1.0922570669626928</v>
      </c>
      <c r="E70" s="23">
        <f>'Total and digestible IAA'!AJ70/$E$2</f>
        <v>0.65189707806367192</v>
      </c>
      <c r="F70" s="23">
        <f>'Total and digestible IAA'!AK70/$F$2</f>
        <v>0.55978794156127343</v>
      </c>
      <c r="G70" s="23">
        <f>'Total and digestible IAA'!AL70/$G$2</f>
        <v>0.54608543961774025</v>
      </c>
      <c r="H70" s="23">
        <f>'Total and digestible IAA'!AM70/$H$2</f>
        <v>0.22772866034968081</v>
      </c>
      <c r="I70" s="23">
        <f>'Total and digestible IAA'!AN70/$I$2</f>
        <v>0.50294606155644839</v>
      </c>
      <c r="J70" s="23">
        <f>'Total and digestible IAA'!AO70/$J$2</f>
        <v>0.59581334496293059</v>
      </c>
      <c r="K70" s="23"/>
      <c r="L70" s="24">
        <f t="shared" si="1"/>
        <v>22.772866034968082</v>
      </c>
      <c r="M70" s="15" t="s">
        <v>355</v>
      </c>
      <c r="N70" s="5" t="s">
        <v>525</v>
      </c>
    </row>
    <row r="71" spans="1:14" s="4" customFormat="1" x14ac:dyDescent="0.25">
      <c r="A71" s="4" t="s">
        <v>253</v>
      </c>
      <c r="B71" s="4" t="s">
        <v>298</v>
      </c>
      <c r="C71" s="23">
        <f>'Total and digestible IAA'!AH71/$C$2</f>
        <v>0.44450127877237861</v>
      </c>
      <c r="D71" s="23">
        <f>'Total and digestible IAA'!AI71/$D$2</f>
        <v>0.52067912324829324</v>
      </c>
      <c r="E71" s="23">
        <f>'Total and digestible IAA'!AJ71/$E$2</f>
        <v>0.51190801293568089</v>
      </c>
      <c r="F71" s="23">
        <f>'Total and digestible IAA'!AK71/$F$2</f>
        <v>0.84395998023715413</v>
      </c>
      <c r="G71" s="23">
        <f>'Total and digestible IAA'!AL71/$G$2</f>
        <v>0.65736380821446982</v>
      </c>
      <c r="H71" s="23">
        <f>'Total and digestible IAA'!AM71/$H$2</f>
        <v>0.94824529883818409</v>
      </c>
      <c r="I71" s="23">
        <f>'Total and digestible IAA'!AN71/$I$2</f>
        <v>0.44017744512656626</v>
      </c>
      <c r="J71" s="23">
        <f>'Total and digestible IAA'!AO71/$J$2</f>
        <v>0.51544376572044559</v>
      </c>
      <c r="K71" s="23">
        <f>'Total and digestible IAA'!AP71/$K$2</f>
        <v>0.88819875776397506</v>
      </c>
      <c r="L71" s="24">
        <f t="shared" si="1"/>
        <v>44.017744512656627</v>
      </c>
      <c r="M71" s="14" t="s">
        <v>6</v>
      </c>
    </row>
    <row r="72" spans="1:14" s="4" customFormat="1" x14ac:dyDescent="0.25">
      <c r="A72" s="4" t="s">
        <v>285</v>
      </c>
      <c r="B72" s="4" t="s">
        <v>298</v>
      </c>
      <c r="C72" s="23"/>
      <c r="D72" s="23"/>
      <c r="E72" s="23"/>
      <c r="F72" s="23"/>
      <c r="G72" s="23"/>
      <c r="H72" s="23"/>
      <c r="I72" s="23"/>
      <c r="J72" s="23"/>
      <c r="K72" s="23"/>
      <c r="L72" s="24"/>
      <c r="M72" s="14"/>
    </row>
    <row r="73" spans="1:14" s="4" customFormat="1" x14ac:dyDescent="0.25">
      <c r="A73" s="4" t="s">
        <v>309</v>
      </c>
      <c r="B73" s="4" t="s">
        <v>298</v>
      </c>
      <c r="C73" s="23">
        <f>'Total and digestible IAA'!AH73/$C$2</f>
        <v>0.54240491377273792</v>
      </c>
      <c r="D73" s="23">
        <f>'Total and digestible IAA'!AI73/$D$2</f>
        <v>0.74224169404892304</v>
      </c>
      <c r="E73" s="23">
        <f>'Total and digestible IAA'!AJ73/$E$2</f>
        <v>0.57305585980284768</v>
      </c>
      <c r="F73" s="23">
        <f>'Total and digestible IAA'!AK73/$F$2</f>
        <v>0.59107262382864778</v>
      </c>
      <c r="G73" s="23">
        <f>'Total and digestible IAA'!AL73/$G$2</f>
        <v>0.81136138757930265</v>
      </c>
      <c r="H73" s="23">
        <f>'Total and digestible IAA'!AM73/$H$2</f>
        <v>0.5958378970427165</v>
      </c>
      <c r="I73" s="23">
        <f>'Total and digestible IAA'!AN73/$I$2</f>
        <v>0.69302742886439384</v>
      </c>
      <c r="J73" s="23">
        <f>'Total and digestible IAA'!AO73/$J$2</f>
        <v>0.60752099306316176</v>
      </c>
      <c r="K73" s="23">
        <f>'Total and digestible IAA'!AP73/$K$2</f>
        <v>0.82042455536431447</v>
      </c>
      <c r="L73" s="24">
        <f t="shared" si="1"/>
        <v>54.240491377273791</v>
      </c>
      <c r="M73" s="14" t="s">
        <v>6</v>
      </c>
    </row>
    <row r="74" spans="1:14" s="4" customFormat="1" x14ac:dyDescent="0.25">
      <c r="A74" s="4" t="s">
        <v>310</v>
      </c>
      <c r="B74" s="4" t="s">
        <v>298</v>
      </c>
      <c r="C74" s="23">
        <f>'Total and digestible IAA'!AH74/$C$2</f>
        <v>0.40532113905632927</v>
      </c>
      <c r="D74" s="23">
        <f>'Total and digestible IAA'!AI74/$D$2</f>
        <v>0.56890459363957591</v>
      </c>
      <c r="E74" s="23">
        <f>'Total and digestible IAA'!AJ74/$E$2</f>
        <v>0.53080629617732089</v>
      </c>
      <c r="F74" s="23">
        <f>'Total and digestible IAA'!AK74/$F$2</f>
        <v>0.54074646643109536</v>
      </c>
      <c r="G74" s="23">
        <f>'Total and digestible IAA'!AL74/$G$2</f>
        <v>0.63112613304655096</v>
      </c>
      <c r="H74" s="23">
        <f>'Total and digestible IAA'!AM74/$H$2</f>
        <v>0.57179569547060716</v>
      </c>
      <c r="I74" s="23">
        <f>'Total and digestible IAA'!AN74/$I$2</f>
        <v>0.57529509059469208</v>
      </c>
      <c r="J74" s="23">
        <f>'Total and digestible IAA'!AO74/$J$2</f>
        <v>0.76582075168647623</v>
      </c>
      <c r="K74" s="23">
        <f>'Total and digestible IAA'!AP74/$K$2</f>
        <v>0.96365471983846551</v>
      </c>
      <c r="L74" s="24">
        <f t="shared" si="1"/>
        <v>40.532113905632926</v>
      </c>
      <c r="M74" s="14" t="s">
        <v>6</v>
      </c>
    </row>
    <row r="75" spans="1:14" s="4" customFormat="1" x14ac:dyDescent="0.25">
      <c r="A75" s="4" t="s">
        <v>311</v>
      </c>
      <c r="B75" s="4" t="s">
        <v>298</v>
      </c>
      <c r="C75" s="23">
        <f>'Total and digestible IAA'!AH75/$C$2</f>
        <v>0.5117647058823529</v>
      </c>
      <c r="D75" s="23">
        <f>'Total and digestible IAA'!AI75/$D$2</f>
        <v>0.5573347107438017</v>
      </c>
      <c r="E75" s="23">
        <f>'Total and digestible IAA'!AJ75/$E$2</f>
        <v>0.44644628099173556</v>
      </c>
      <c r="F75" s="23">
        <f>'Total and digestible IAA'!AK75/$F$2</f>
        <v>0.46874999999999994</v>
      </c>
      <c r="G75" s="23">
        <f>'Total and digestible IAA'!AL75/$G$2</f>
        <v>0.43847167325428199</v>
      </c>
      <c r="H75" s="23">
        <f>'Total and digestible IAA'!AM75/$H$2</f>
        <v>0.67410468319559236</v>
      </c>
      <c r="I75" s="23">
        <f>'Total and digestible IAA'!AN75/$I$2</f>
        <v>0.68612185686653782</v>
      </c>
      <c r="J75" s="23">
        <f>'Total and digestible IAA'!AO75/$J$2</f>
        <v>0.51487603305785123</v>
      </c>
      <c r="K75" s="23">
        <f>'Total and digestible IAA'!AP75/$K$2</f>
        <v>1.2779220779220775</v>
      </c>
      <c r="L75" s="24">
        <f t="shared" si="1"/>
        <v>43.847167325428202</v>
      </c>
      <c r="M75" s="14" t="s">
        <v>8</v>
      </c>
    </row>
    <row r="76" spans="1:14" s="4" customFormat="1" x14ac:dyDescent="0.25">
      <c r="A76" s="4" t="s">
        <v>312</v>
      </c>
      <c r="B76" s="4" t="s">
        <v>298</v>
      </c>
      <c r="C76" s="23">
        <f>'Total and digestible IAA'!AH76/$C$2</f>
        <v>0.5117647058823529</v>
      </c>
      <c r="D76" s="23">
        <f>'Total and digestible IAA'!AI76/$D$2</f>
        <v>0.5573347107438017</v>
      </c>
      <c r="E76" s="23">
        <f>'Total and digestible IAA'!AJ76/$E$2</f>
        <v>0.44644628099173556</v>
      </c>
      <c r="F76" s="23">
        <f>'Total and digestible IAA'!AK76/$F$2</f>
        <v>0.46874999999999994</v>
      </c>
      <c r="G76" s="23">
        <f>'Total and digestible IAA'!AL76/$G$2</f>
        <v>0.43847167325428199</v>
      </c>
      <c r="H76" s="23">
        <f>'Total and digestible IAA'!AM76/$H$2</f>
        <v>0.67410468319559236</v>
      </c>
      <c r="I76" s="23">
        <f>'Total and digestible IAA'!AN76/$I$2</f>
        <v>0.68612185686653782</v>
      </c>
      <c r="J76" s="23">
        <f>'Total and digestible IAA'!AO76/$J$2</f>
        <v>0.51487603305785123</v>
      </c>
      <c r="K76" s="23">
        <f>'Total and digestible IAA'!AP76/$K$2</f>
        <v>1.2779220779220775</v>
      </c>
      <c r="L76" s="24">
        <f t="shared" si="1"/>
        <v>43.847167325428202</v>
      </c>
      <c r="M76" s="14" t="s">
        <v>8</v>
      </c>
    </row>
    <row r="77" spans="1:14" s="4" customFormat="1" x14ac:dyDescent="0.25">
      <c r="A77" s="4" t="s">
        <v>313</v>
      </c>
      <c r="B77" s="4" t="s">
        <v>298</v>
      </c>
      <c r="C77" s="23">
        <f>'Total and digestible IAA'!AH77/$C$2</f>
        <v>0.54023529411764704</v>
      </c>
      <c r="D77" s="23">
        <f>'Total and digestible IAA'!AI77/$D$2</f>
        <v>0.69954545454545458</v>
      </c>
      <c r="E77" s="23">
        <f>'Total and digestible IAA'!AJ77/$E$2</f>
        <v>0.61090909090909096</v>
      </c>
      <c r="F77" s="23">
        <f>'Total and digestible IAA'!AK77/$F$2</f>
        <v>0.66649999999999998</v>
      </c>
      <c r="G77" s="23">
        <f>'Total and digestible IAA'!AL77/$G$2</f>
        <v>0.77484057971014486</v>
      </c>
      <c r="H77" s="23">
        <f>'Total and digestible IAA'!AM77/$H$2</f>
        <v>0.65721212121212114</v>
      </c>
      <c r="I77" s="23">
        <f>'Total and digestible IAA'!AN77/$I$2</f>
        <v>0.7726382978723404</v>
      </c>
      <c r="J77" s="23">
        <f>'Total and digestible IAA'!AO77/$J$2</f>
        <v>0.70625454545454536</v>
      </c>
      <c r="K77" s="23">
        <f>'Total and digestible IAA'!AP77/$K$2</f>
        <v>1.3276190476190475</v>
      </c>
      <c r="L77" s="24">
        <f t="shared" si="1"/>
        <v>54.023529411764706</v>
      </c>
      <c r="M77" s="14" t="s">
        <v>6</v>
      </c>
    </row>
    <row r="78" spans="1:14" s="4" customFormat="1" x14ac:dyDescent="0.25">
      <c r="A78" s="4" t="s">
        <v>338</v>
      </c>
      <c r="B78" s="4" t="s">
        <v>298</v>
      </c>
      <c r="C78" s="23">
        <f>'Total and digestible IAA'!AH78/$C$2</f>
        <v>0.33499501495513456</v>
      </c>
      <c r="D78" s="23">
        <f>'Total and digestible IAA'!AI78/$D$2</f>
        <v>0.64714946070878276</v>
      </c>
      <c r="E78" s="23">
        <f>'Total and digestible IAA'!AJ78/$E$2</f>
        <v>0.60647149460708794</v>
      </c>
      <c r="F78" s="23">
        <f>'Total and digestible IAA'!AK78/$F$2</f>
        <v>0.66440677966101691</v>
      </c>
      <c r="G78" s="23">
        <f>'Total and digestible IAA'!AL78/$G$2</f>
        <v>0.80176860722181276</v>
      </c>
      <c r="H78" s="23">
        <f>'Total and digestible IAA'!AM78/$H$2</f>
        <v>0.45002568053415509</v>
      </c>
      <c r="I78" s="23">
        <f>'Total and digestible IAA'!AN78/$I$2</f>
        <v>0.64572664983772088</v>
      </c>
      <c r="J78" s="23">
        <f>'Total and digestible IAA'!AO78/$J$2</f>
        <v>0.64758089368258864</v>
      </c>
      <c r="K78" s="23">
        <f>'Total and digestible IAA'!AP78/$K$2</f>
        <v>1.0290556900726391</v>
      </c>
      <c r="L78" s="24">
        <f t="shared" si="1"/>
        <v>33.499501495513456</v>
      </c>
      <c r="M78" s="14" t="s">
        <v>6</v>
      </c>
    </row>
    <row r="79" spans="1:14" s="4" customFormat="1" x14ac:dyDescent="0.25">
      <c r="A79" s="4" t="s">
        <v>340</v>
      </c>
      <c r="B79" s="4" t="s">
        <v>298</v>
      </c>
      <c r="C79" s="23">
        <f>'Total and digestible IAA'!AH79/$C$2</f>
        <v>0.33978065802592222</v>
      </c>
      <c r="D79" s="23">
        <f>'Total and digestible IAA'!AI79/$D$2</f>
        <v>0.65523882896764263</v>
      </c>
      <c r="E79" s="23">
        <f>'Total and digestible IAA'!AJ79/$E$2</f>
        <v>0.60647149460708794</v>
      </c>
      <c r="F79" s="23">
        <f>'Total and digestible IAA'!AK79/$F$2</f>
        <v>0.67231638418079098</v>
      </c>
      <c r="G79" s="23">
        <f>'Total and digestible IAA'!AL79/$G$2</f>
        <v>0.82063375092114965</v>
      </c>
      <c r="H79" s="23">
        <f>'Total and digestible IAA'!AM79/$H$2</f>
        <v>0.46625577812018493</v>
      </c>
      <c r="I79" s="23">
        <f>'Total and digestible IAA'!AN79/$I$2</f>
        <v>0.65019834114677255</v>
      </c>
      <c r="J79" s="23">
        <f>'Total and digestible IAA'!AO79/$J$2</f>
        <v>0.66397534668721125</v>
      </c>
      <c r="K79" s="23">
        <f>'Total and digestible IAA'!AP79/$K$2</f>
        <v>1.0290556900726391</v>
      </c>
      <c r="L79" s="24">
        <f t="shared" si="1"/>
        <v>33.978065802592219</v>
      </c>
      <c r="M79" s="14" t="s">
        <v>6</v>
      </c>
    </row>
    <row r="80" spans="1:14" s="4" customFormat="1" x14ac:dyDescent="0.25">
      <c r="A80" s="4" t="s">
        <v>54</v>
      </c>
      <c r="B80" s="4" t="s">
        <v>298</v>
      </c>
      <c r="C80" s="23">
        <f>'Total and digestible IAA'!AH80/$C$2</f>
        <v>0.3688292037072064</v>
      </c>
      <c r="D80" s="23">
        <f>'Total and digestible IAA'!AI80/$D$2</f>
        <v>0.68137971353405435</v>
      </c>
      <c r="E80" s="23">
        <f>'Total and digestible IAA'!AJ80/$E$2</f>
        <v>0.61876644256065483</v>
      </c>
      <c r="F80" s="23">
        <f>'Total and digestible IAA'!AK80/$F$2</f>
        <v>0.68770096463022512</v>
      </c>
      <c r="G80" s="23">
        <f>'Total and digestible IAA'!AL80/$G$2</f>
        <v>0.82948879258120134</v>
      </c>
      <c r="H80" s="23">
        <f>'Total and digestible IAA'!AM80/$H$2</f>
        <v>0.48445873526259386</v>
      </c>
      <c r="I80" s="23">
        <f>'Total and digestible IAA'!AN80/$I$2</f>
        <v>0.67472805637271682</v>
      </c>
      <c r="J80" s="23">
        <f>'Total and digestible IAA'!AO80/$J$2</f>
        <v>0.68418591055247002</v>
      </c>
      <c r="K80" s="23">
        <f>'Total and digestible IAA'!AP80/$K$2</f>
        <v>1.0765579543714594</v>
      </c>
      <c r="L80" s="24">
        <f t="shared" si="1"/>
        <v>36.88292037072064</v>
      </c>
      <c r="M80" s="14" t="s">
        <v>6</v>
      </c>
    </row>
    <row r="81" spans="1:14" s="4" customFormat="1" x14ac:dyDescent="0.25">
      <c r="A81" s="4" t="s">
        <v>268</v>
      </c>
      <c r="B81" s="4" t="s">
        <v>298</v>
      </c>
      <c r="C81" s="23">
        <f>'Total and digestible IAA'!AH81/$C$2</f>
        <v>0.49242615501136072</v>
      </c>
      <c r="D81" s="23">
        <f>'Total and digestible IAA'!AI81/$D$2</f>
        <v>0.47019118220834955</v>
      </c>
      <c r="E81" s="23">
        <f>'Total and digestible IAA'!AJ81/$E$2</f>
        <v>0.58796722590714012</v>
      </c>
      <c r="F81" s="23">
        <f>'Total and digestible IAA'!AK81/$F$2</f>
        <v>0.63407993562231768</v>
      </c>
      <c r="G81" s="23">
        <f>'Total and digestible IAA'!AL81/$G$2</f>
        <v>0.24197611494681845</v>
      </c>
      <c r="H81" s="23">
        <f>'Total and digestible IAA'!AM81/$H$2</f>
        <v>0.55262062686955393</v>
      </c>
      <c r="I81" s="23">
        <f>'Total and digestible IAA'!AN81/$I$2</f>
        <v>0.88998721577938089</v>
      </c>
      <c r="J81" s="23">
        <f>'Total and digestible IAA'!AO81/$J$2</f>
        <v>0.70230198985563796</v>
      </c>
      <c r="K81" s="23">
        <f>'Total and digestible IAA'!AP81/$K$2</f>
        <v>0.94580012262415725</v>
      </c>
      <c r="L81" s="24">
        <f t="shared" si="1"/>
        <v>24.197611494681844</v>
      </c>
      <c r="M81" s="14" t="s">
        <v>8</v>
      </c>
    </row>
    <row r="82" spans="1:14" s="4" customFormat="1" x14ac:dyDescent="0.25">
      <c r="A82" s="4" t="s">
        <v>248</v>
      </c>
      <c r="B82" s="4" t="s">
        <v>298</v>
      </c>
      <c r="C82" s="23">
        <f>'Total and digestible IAA'!AH82/$C$2</f>
        <v>0.43724741805118994</v>
      </c>
      <c r="D82" s="23">
        <f>'Total and digestible IAA'!AI82/$D$2</f>
        <v>0.65359125607217206</v>
      </c>
      <c r="E82" s="23">
        <f>'Total and digestible IAA'!AJ82/$E$2</f>
        <v>0.59883414295628035</v>
      </c>
      <c r="F82" s="23">
        <f>'Total and digestible IAA'!AK82/$F$2</f>
        <v>0.69473202926208655</v>
      </c>
      <c r="G82" s="23">
        <f>'Total and digestible IAA'!AL82/$G$2</f>
        <v>0.77690009956853634</v>
      </c>
      <c r="H82" s="23">
        <f>'Total and digestible IAA'!AM82/$H$2</f>
        <v>0.51566042100393239</v>
      </c>
      <c r="I82" s="23">
        <f>'Total and digestible IAA'!AN82/$I$2</f>
        <v>0.58472470358941053</v>
      </c>
      <c r="J82" s="23">
        <f>'Total and digestible IAA'!AO82/$J$2</f>
        <v>0.69309507286606542</v>
      </c>
      <c r="K82" s="23">
        <f>'Total and digestible IAA'!AP82/$K$2</f>
        <v>0.92420937840785167</v>
      </c>
      <c r="L82" s="24">
        <f t="shared" si="1"/>
        <v>43.724741805118995</v>
      </c>
      <c r="M82" s="14" t="s">
        <v>6</v>
      </c>
    </row>
    <row r="83" spans="1:14" s="4" customFormat="1" x14ac:dyDescent="0.25">
      <c r="A83" s="4" t="s">
        <v>314</v>
      </c>
      <c r="B83" s="4" t="s">
        <v>298</v>
      </c>
      <c r="C83" s="23">
        <f>'Total and digestible IAA'!AH83/$C$2</f>
        <v>0.32887700534759357</v>
      </c>
      <c r="D83" s="23">
        <f>'Total and digestible IAA'!AI83/$D$2</f>
        <v>0.64152892561983466</v>
      </c>
      <c r="E83" s="23">
        <f>'Total and digestible IAA'!AJ83/$E$2</f>
        <v>0.60165289256198351</v>
      </c>
      <c r="F83" s="23">
        <f>'Total and digestible IAA'!AK83/$F$2</f>
        <v>0.60740214646464641</v>
      </c>
      <c r="G83" s="23">
        <f>'Total and digestible IAA'!AL83/$G$2</f>
        <v>0.72924901185770752</v>
      </c>
      <c r="H83" s="23">
        <f>'Total and digestible IAA'!AM83/$H$2</f>
        <v>0.50114784205693297</v>
      </c>
      <c r="I83" s="23">
        <f>'Total and digestible IAA'!AN83/$I$2</f>
        <v>0.64172308188265637</v>
      </c>
      <c r="J83" s="23">
        <f>'Total and digestible IAA'!AO83/$J$2</f>
        <v>0.62878787878787867</v>
      </c>
      <c r="K83" s="23">
        <f>'Total and digestible IAA'!AP83/$K$2</f>
        <v>0.9617604617604617</v>
      </c>
      <c r="L83" s="24">
        <f t="shared" si="1"/>
        <v>32.887700534759354</v>
      </c>
      <c r="M83" s="14" t="s">
        <v>6</v>
      </c>
    </row>
    <row r="84" spans="1:14" s="4" customFormat="1" x14ac:dyDescent="0.25">
      <c r="A84" s="4" t="s">
        <v>315</v>
      </c>
      <c r="B84" s="4" t="s">
        <v>298</v>
      </c>
      <c r="C84" s="23">
        <f>'Total and digestible IAA'!AH84/$C$2</f>
        <v>0.2880685877589903</v>
      </c>
      <c r="D84" s="23">
        <f>'Total and digestible IAA'!AI84/$D$2</f>
        <v>0.63240706661759294</v>
      </c>
      <c r="E84" s="23">
        <f>'Total and digestible IAA'!AJ84/$E$2</f>
        <v>0.62423260949576742</v>
      </c>
      <c r="F84" s="23">
        <f>'Total and digestible IAA'!AK84/$F$2</f>
        <v>0.58636977058029693</v>
      </c>
      <c r="G84" s="23">
        <f>'Total and digestible IAA'!AL84/$G$2</f>
        <v>0.8039664378337148</v>
      </c>
      <c r="H84" s="23">
        <f>'Total and digestible IAA'!AM84/$H$2</f>
        <v>0.40493191019506813</v>
      </c>
      <c r="I84" s="23">
        <f>'Total and digestible IAA'!AN84/$I$2</f>
        <v>0.66223619605478512</v>
      </c>
      <c r="J84" s="23">
        <f>'Total and digestible IAA'!AO84/$J$2</f>
        <v>0.68281192491718801</v>
      </c>
      <c r="K84" s="23">
        <f>'Total and digestible IAA'!AP84/$K$2</f>
        <v>0.90655484866011182</v>
      </c>
      <c r="L84" s="24">
        <f t="shared" si="1"/>
        <v>28.80685877589903</v>
      </c>
      <c r="M84" s="14" t="s">
        <v>6</v>
      </c>
    </row>
    <row r="85" spans="1:14" s="4" customFormat="1" x14ac:dyDescent="0.25">
      <c r="A85" s="4" t="s">
        <v>316</v>
      </c>
      <c r="B85" s="4" t="s">
        <v>298</v>
      </c>
      <c r="C85" s="23">
        <f>'Total and digestible IAA'!AH85/$C$2</f>
        <v>0.31517792302106029</v>
      </c>
      <c r="D85" s="23">
        <f>'Total and digestible IAA'!AI85/$D$2</f>
        <v>0.68771043771043761</v>
      </c>
      <c r="E85" s="23">
        <f>'Total and digestible IAA'!AJ85/$E$2</f>
        <v>0.68691358024691362</v>
      </c>
      <c r="F85" s="23">
        <f>'Total and digestible IAA'!AK85/$F$2</f>
        <v>0.65486968449931415</v>
      </c>
      <c r="G85" s="23">
        <f>'Total and digestible IAA'!AL85/$G$2</f>
        <v>0.84868491680085889</v>
      </c>
      <c r="H85" s="23">
        <f>'Total and digestible IAA'!AM85/$H$2</f>
        <v>0.48250405287442322</v>
      </c>
      <c r="I85" s="23">
        <f>'Total and digestible IAA'!AN85/$I$2</f>
        <v>0.72325540670694333</v>
      </c>
      <c r="J85" s="23">
        <f>'Total and digestible IAA'!AO85/$J$2</f>
        <v>0.7559371492704825</v>
      </c>
      <c r="K85" s="23">
        <f>'Total and digestible IAA'!AP85/$K$2</f>
        <v>0.99662943366647061</v>
      </c>
      <c r="L85" s="24">
        <f t="shared" si="1"/>
        <v>31.517792302106031</v>
      </c>
      <c r="M85" s="14" t="s">
        <v>6</v>
      </c>
    </row>
    <row r="86" spans="1:14" s="4" customFormat="1" x14ac:dyDescent="0.25">
      <c r="A86" s="4" t="s">
        <v>317</v>
      </c>
      <c r="B86" s="4" t="s">
        <v>298</v>
      </c>
      <c r="C86" s="23">
        <f>'Total and digestible IAA'!AH86/$C$2</f>
        <v>0.34570877531340405</v>
      </c>
      <c r="D86" s="23">
        <f>'Total and digestible IAA'!AI86/$D$2</f>
        <v>0.70411698956780921</v>
      </c>
      <c r="E86" s="23">
        <f>'Total and digestible IAA'!AJ86/$E$2</f>
        <v>0.69845007451564811</v>
      </c>
      <c r="F86" s="23">
        <f>'Total and digestible IAA'!AK86/$F$2</f>
        <v>0.65517418032786878</v>
      </c>
      <c r="G86" s="23">
        <f>'Total and digestible IAA'!AL86/$G$2</f>
        <v>0.86667854597291527</v>
      </c>
      <c r="H86" s="23">
        <f>'Total and digestible IAA'!AM86/$H$2</f>
        <v>0.44028812717337312</v>
      </c>
      <c r="I86" s="23">
        <f>'Total and digestible IAA'!AN86/$I$2</f>
        <v>0.74233519358214162</v>
      </c>
      <c r="J86" s="23">
        <f>'Total and digestible IAA'!AO86/$J$2</f>
        <v>0.77146050670640831</v>
      </c>
      <c r="K86" s="23">
        <f>'Total and digestible IAA'!AP86/$K$2</f>
        <v>1.0017564402810304</v>
      </c>
      <c r="L86" s="24">
        <f t="shared" si="1"/>
        <v>34.570877531340408</v>
      </c>
      <c r="M86" s="14" t="s">
        <v>6</v>
      </c>
    </row>
    <row r="87" spans="1:14" s="4" customFormat="1" x14ac:dyDescent="0.25">
      <c r="A87" s="4" t="s">
        <v>318</v>
      </c>
      <c r="B87" s="4" t="s">
        <v>298</v>
      </c>
      <c r="C87" s="23">
        <f>'Total and digestible IAA'!AH87/$C$2</f>
        <v>0.79477124183006531</v>
      </c>
      <c r="D87" s="23">
        <f>'Total and digestible IAA'!AI87/$D$2</f>
        <v>0.75757575757575768</v>
      </c>
      <c r="E87" s="23">
        <f>'Total and digestible IAA'!AJ87/$E$2</f>
        <v>0.69171717171717173</v>
      </c>
      <c r="F87" s="23">
        <f>'Total and digestible IAA'!AK87/$F$2</f>
        <v>0.54287037037037034</v>
      </c>
      <c r="G87" s="23">
        <f>'Total and digestible IAA'!AL87/$G$2</f>
        <v>0.42512077294685996</v>
      </c>
      <c r="H87" s="23">
        <f>'Total and digestible IAA'!AM87/$H$2</f>
        <v>0.92444444444444462</v>
      </c>
      <c r="I87" s="23">
        <f>'Total and digestible IAA'!AN87/$I$2</f>
        <v>0.71219858156028371</v>
      </c>
      <c r="J87" s="23">
        <f>'Total and digestible IAA'!AO87/$J$2</f>
        <v>0.74375757575757573</v>
      </c>
      <c r="K87" s="23">
        <f>'Total and digestible IAA'!AP87/$K$2</f>
        <v>0.89142857142857157</v>
      </c>
      <c r="L87" s="24">
        <f t="shared" si="1"/>
        <v>42.512077294685994</v>
      </c>
      <c r="M87" s="14" t="s">
        <v>8</v>
      </c>
    </row>
    <row r="88" spans="1:14" s="4" customFormat="1" x14ac:dyDescent="0.25">
      <c r="A88" s="4" t="s">
        <v>319</v>
      </c>
      <c r="B88" s="4" t="s">
        <v>298</v>
      </c>
      <c r="C88" s="23">
        <f>'Total and digestible IAA'!AH88/$C$2</f>
        <v>0.79477124183006531</v>
      </c>
      <c r="D88" s="23">
        <f>'Total and digestible IAA'!AI88/$D$2</f>
        <v>0.75757575757575768</v>
      </c>
      <c r="E88" s="23">
        <f>'Total and digestible IAA'!AJ88/$E$2</f>
        <v>0.69171717171717173</v>
      </c>
      <c r="F88" s="23">
        <f>'Total and digestible IAA'!AK88/$F$2</f>
        <v>0.54287037037037034</v>
      </c>
      <c r="G88" s="23">
        <f>'Total and digestible IAA'!AL88/$G$2</f>
        <v>0.42512077294685996</v>
      </c>
      <c r="H88" s="23">
        <f>'Total and digestible IAA'!AM88/$H$2</f>
        <v>0.92444444444444462</v>
      </c>
      <c r="I88" s="23">
        <f>'Total and digestible IAA'!AN88/$I$2</f>
        <v>0.71219858156028371</v>
      </c>
      <c r="J88" s="23">
        <f>'Total and digestible IAA'!AO88/$J$2</f>
        <v>0.74375757575757573</v>
      </c>
      <c r="K88" s="23">
        <f>'Total and digestible IAA'!AP88/$K$2</f>
        <v>0.89142857142857157</v>
      </c>
      <c r="L88" s="24">
        <f t="shared" si="1"/>
        <v>42.512077294685994</v>
      </c>
      <c r="M88" s="14" t="s">
        <v>8</v>
      </c>
    </row>
    <row r="89" spans="1:14" s="4" customFormat="1" x14ac:dyDescent="0.25">
      <c r="A89" s="4" t="s">
        <v>320</v>
      </c>
      <c r="B89" s="4" t="s">
        <v>298</v>
      </c>
      <c r="C89" s="23">
        <f>'Total and digestible IAA'!AH89/$C$2</f>
        <v>0.34004592828122243</v>
      </c>
      <c r="D89" s="23">
        <f>'Total and digestible IAA'!AI89/$D$2</f>
        <v>0.74208299208299211</v>
      </c>
      <c r="E89" s="23">
        <f>'Total and digestible IAA'!AJ89/$E$2</f>
        <v>0.74474474474474472</v>
      </c>
      <c r="F89" s="23">
        <f>'Total and digestible IAA'!AK89/$F$2</f>
        <v>0.67992992992992995</v>
      </c>
      <c r="G89" s="23">
        <f>'Total and digestible IAA'!AL89/$G$2</f>
        <v>0.63611437524480996</v>
      </c>
      <c r="H89" s="23">
        <f>'Total and digestible IAA'!AM89/$H$2</f>
        <v>0.69651469651469655</v>
      </c>
      <c r="I89" s="23">
        <f>'Total and digestible IAA'!AN89/$I$2</f>
        <v>0.80966072455434157</v>
      </c>
      <c r="J89" s="23">
        <f>'Total and digestible IAA'!AO89/$J$2</f>
        <v>0.6833742833742833</v>
      </c>
      <c r="K89" s="23">
        <f>'Total and digestible IAA'!AP89/$K$2</f>
        <v>0.98670098670098672</v>
      </c>
      <c r="L89" s="24">
        <f t="shared" si="1"/>
        <v>34.004592828122242</v>
      </c>
      <c r="M89" s="14" t="s">
        <v>6</v>
      </c>
    </row>
    <row r="90" spans="1:14" s="4" customFormat="1" x14ac:dyDescent="0.25">
      <c r="A90" s="4" t="s">
        <v>321</v>
      </c>
      <c r="B90" s="4" t="s">
        <v>298</v>
      </c>
      <c r="C90" s="23">
        <f>'Total and digestible IAA'!AH90/$C$2</f>
        <v>0.31393188854489162</v>
      </c>
      <c r="D90" s="23">
        <f>'Total and digestible IAA'!AI90/$D$2</f>
        <v>0.6577751196172249</v>
      </c>
      <c r="E90" s="23">
        <f>'Total and digestible IAA'!AJ90/$E$2</f>
        <v>0.73263157894736852</v>
      </c>
      <c r="F90" s="23">
        <f>'Total and digestible IAA'!AK90/$F$2</f>
        <v>0.6506578947368421</v>
      </c>
      <c r="G90" s="23">
        <f>'Total and digestible IAA'!AL90/$G$2</f>
        <v>0.5785659801678108</v>
      </c>
      <c r="H90" s="23">
        <f>'Total and digestible IAA'!AM90/$H$2</f>
        <v>0.56363636363636371</v>
      </c>
      <c r="I90" s="23">
        <f>'Total and digestible IAA'!AN90/$I$2</f>
        <v>0.79734042553191498</v>
      </c>
      <c r="J90" s="23">
        <f>'Total and digestible IAA'!AO90/$J$2</f>
        <v>0.58066985645933022</v>
      </c>
      <c r="K90" s="23">
        <f>'Total and digestible IAA'!AP90/$K$2</f>
        <v>0.89448621553884722</v>
      </c>
      <c r="L90" s="24">
        <f t="shared" si="1"/>
        <v>31.393188854489161</v>
      </c>
      <c r="M90" s="14" t="s">
        <v>6</v>
      </c>
    </row>
    <row r="91" spans="1:14" s="4" customFormat="1" x14ac:dyDescent="0.25">
      <c r="A91" s="4" t="s">
        <v>322</v>
      </c>
      <c r="B91" s="4" t="s">
        <v>298</v>
      </c>
      <c r="C91" s="23">
        <f>'Total and digestible IAA'!AH91/$C$2</f>
        <v>0.31393188854489162</v>
      </c>
      <c r="D91" s="23">
        <f>'Total and digestible IAA'!AI91/$D$2</f>
        <v>0.6577751196172249</v>
      </c>
      <c r="E91" s="23">
        <f>'Total and digestible IAA'!AJ91/$E$2</f>
        <v>0.73263157894736852</v>
      </c>
      <c r="F91" s="23">
        <f>'Total and digestible IAA'!AK91/$F$2</f>
        <v>0.6506578947368421</v>
      </c>
      <c r="G91" s="23">
        <f>'Total and digestible IAA'!AL91/$G$2</f>
        <v>0.5785659801678108</v>
      </c>
      <c r="H91" s="23">
        <f>'Total and digestible IAA'!AM91/$H$2</f>
        <v>0.56363636363636371</v>
      </c>
      <c r="I91" s="23">
        <f>'Total and digestible IAA'!AN91/$I$2</f>
        <v>0.79734042553191498</v>
      </c>
      <c r="J91" s="23">
        <f>'Total and digestible IAA'!AO91/$J$2</f>
        <v>0.58066985645933022</v>
      </c>
      <c r="K91" s="23">
        <f>'Total and digestible IAA'!AP91/$K$2</f>
        <v>0.89448621553884722</v>
      </c>
      <c r="L91" s="24">
        <f t="shared" si="1"/>
        <v>31.393188854489161</v>
      </c>
      <c r="M91" s="14" t="s">
        <v>6</v>
      </c>
    </row>
    <row r="92" spans="1:14" x14ac:dyDescent="0.25">
      <c r="A92" s="5" t="s">
        <v>323</v>
      </c>
      <c r="B92" s="4" t="s">
        <v>298</v>
      </c>
      <c r="C92" s="23"/>
      <c r="D92" s="23">
        <f>'Total and digestible IAA'!AI92/$D$2</f>
        <v>0.49573521907122547</v>
      </c>
      <c r="E92" s="23">
        <f>'Total and digestible IAA'!AJ92/$E$2</f>
        <v>0.58022891302762991</v>
      </c>
      <c r="F92" s="23">
        <f>'Total and digestible IAA'!AK92/$F$2</f>
        <v>0.49337159182036888</v>
      </c>
      <c r="G92" s="23">
        <f>'Total and digestible IAA'!AL92/$G$2</f>
        <v>0.58941459502806737</v>
      </c>
      <c r="H92" s="23"/>
      <c r="I92" s="23"/>
      <c r="J92" s="23">
        <f>'Total and digestible IAA'!AO92/$J$2</f>
        <v>0.60301815265728653</v>
      </c>
      <c r="K92" s="23"/>
      <c r="L92" s="24">
        <f t="shared" si="1"/>
        <v>49.337159182036885</v>
      </c>
      <c r="M92" s="15" t="s">
        <v>526</v>
      </c>
      <c r="N92" s="5" t="s">
        <v>525</v>
      </c>
    </row>
    <row r="93" spans="1:14" x14ac:dyDescent="0.25">
      <c r="A93" s="5" t="s">
        <v>324</v>
      </c>
      <c r="B93" s="4" t="s">
        <v>298</v>
      </c>
      <c r="C93" s="23"/>
      <c r="D93" s="23">
        <f>'Total and digestible IAA'!AI93/$D$2</f>
        <v>0.63974067251778821</v>
      </c>
      <c r="E93" s="23">
        <f>'Total and digestible IAA'!AJ93/$E$2</f>
        <v>0.61680210929317003</v>
      </c>
      <c r="F93" s="23">
        <f>'Total and digestible IAA'!AK93/$F$2</f>
        <v>0.56838498212157329</v>
      </c>
      <c r="G93" s="23">
        <f>'Total and digestible IAA'!AL93/$G$2</f>
        <v>0.58773672361276663</v>
      </c>
      <c r="H93" s="23"/>
      <c r="I93" s="23"/>
      <c r="J93" s="23">
        <f>'Total and digestible IAA'!AO93/$J$2</f>
        <v>0.71658178928739136</v>
      </c>
      <c r="K93" s="23"/>
      <c r="L93" s="24">
        <f t="shared" si="1"/>
        <v>56.838498212157326</v>
      </c>
      <c r="M93" s="15" t="s">
        <v>526</v>
      </c>
      <c r="N93" s="5" t="s">
        <v>525</v>
      </c>
    </row>
    <row r="94" spans="1:14" s="4" customFormat="1" x14ac:dyDescent="0.25">
      <c r="A94" s="4" t="s">
        <v>249</v>
      </c>
      <c r="B94" s="4" t="s">
        <v>298</v>
      </c>
      <c r="C94" s="23">
        <f>'Total and digestible IAA'!AH94/$C$2</f>
        <v>0.4446247464503042</v>
      </c>
      <c r="D94" s="23">
        <f>'Total and digestible IAA'!AI94/$D$2</f>
        <v>0.53570184604667359</v>
      </c>
      <c r="E94" s="23">
        <f>'Total and digestible IAA'!AJ94/$E$2</f>
        <v>0.58397770811563909</v>
      </c>
      <c r="F94" s="23">
        <f>'Total and digestible IAA'!AK94/$F$2</f>
        <v>0.67978927203065143</v>
      </c>
      <c r="G94" s="23">
        <f>'Total and digestible IAA'!AL94/$G$2</f>
        <v>0.78885557221389302</v>
      </c>
      <c r="H94" s="23">
        <f>'Total and digestible IAA'!AM94/$H$2</f>
        <v>0.69990711714849652</v>
      </c>
      <c r="I94" s="23">
        <f>'Total and digestible IAA'!AN94/$I$2</f>
        <v>0.65522132550745893</v>
      </c>
      <c r="J94" s="23">
        <f>'Total and digestible IAA'!AO94/$J$2</f>
        <v>0.68062695924764893</v>
      </c>
      <c r="K94" s="23">
        <f>'Total and digestible IAA'!AP94/$K$2</f>
        <v>1.0188286808976463</v>
      </c>
      <c r="L94" s="24">
        <f t="shared" si="1"/>
        <v>44.462474645030419</v>
      </c>
      <c r="M94" s="14" t="s">
        <v>6</v>
      </c>
    </row>
    <row r="95" spans="1:14" s="4" customFormat="1" x14ac:dyDescent="0.25">
      <c r="A95" s="4" t="s">
        <v>325</v>
      </c>
      <c r="B95" s="4" t="s">
        <v>298</v>
      </c>
      <c r="C95" s="23">
        <f>'Total and digestible IAA'!AH95/$C$2</f>
        <v>0.3685937894471093</v>
      </c>
      <c r="D95" s="23">
        <f>'Total and digestible IAA'!AI95/$D$2</f>
        <v>0.65977370269215763</v>
      </c>
      <c r="E95" s="23">
        <f>'Total and digestible IAA'!AJ95/$E$2</f>
        <v>0.60413577838470556</v>
      </c>
      <c r="F95" s="23">
        <f>'Total and digestible IAA'!AK95/$F$2</f>
        <v>0.59370529327610877</v>
      </c>
      <c r="G95" s="23">
        <f>'Total and digestible IAA'!AL95/$G$2</f>
        <v>0.8776513031038129</v>
      </c>
      <c r="H95" s="23">
        <f>'Total and digestible IAA'!AM95/$H$2</f>
        <v>0.53895174925217848</v>
      </c>
      <c r="I95" s="23">
        <f>'Total and digestible IAA'!AN95/$I$2</f>
        <v>0.67176513560405449</v>
      </c>
      <c r="J95" s="23">
        <f>'Total and digestible IAA'!AO95/$J$2</f>
        <v>0.66094420600858372</v>
      </c>
      <c r="K95" s="23">
        <f>'Total and digestible IAA'!AP95/$K$2</f>
        <v>1.0128755364806867</v>
      </c>
      <c r="L95" s="24">
        <f t="shared" si="1"/>
        <v>36.859378944710933</v>
      </c>
      <c r="M95" s="14" t="s">
        <v>6</v>
      </c>
    </row>
    <row r="96" spans="1:14" x14ac:dyDescent="0.25">
      <c r="A96" s="4" t="s">
        <v>325</v>
      </c>
      <c r="B96" s="4" t="s">
        <v>298</v>
      </c>
      <c r="C96" s="23">
        <f>'Total and digestible IAA'!AH96/$C$2</f>
        <v>0.35989568241089537</v>
      </c>
      <c r="D96" s="23">
        <f>'Total and digestible IAA'!AI96/$D$2</f>
        <v>0.62136139722346617</v>
      </c>
      <c r="E96" s="23">
        <f>'Total and digestible IAA'!AJ96/$E$2</f>
        <v>0.57241379310344831</v>
      </c>
      <c r="F96" s="23">
        <f>'Total and digestible IAA'!AK96/$F$2</f>
        <v>0.56896551724137934</v>
      </c>
      <c r="G96" s="23">
        <f>'Total and digestible IAA'!AL96/$G$2</f>
        <v>0.83272649389590936</v>
      </c>
      <c r="H96" s="23">
        <f>'Total and digestible IAA'!AM96/$H$2</f>
        <v>0.54933572174951484</v>
      </c>
      <c r="I96" s="23">
        <f>'Total and digestible IAA'!AN96/$I$2</f>
        <v>0.65223771093176819</v>
      </c>
      <c r="J96" s="23">
        <f>'Total and digestible IAA'!AO96/$J$2</f>
        <v>0.61639050604567847</v>
      </c>
      <c r="K96" s="23">
        <f>'Total and digestible IAA'!AP96/$K$2</f>
        <v>0.96903589021815639</v>
      </c>
      <c r="L96" s="24">
        <f t="shared" si="1"/>
        <v>35.989568241089536</v>
      </c>
      <c r="M96" s="14" t="s">
        <v>6</v>
      </c>
    </row>
    <row r="97" spans="1:14" s="4" customFormat="1" x14ac:dyDescent="0.25">
      <c r="A97" s="4" t="s">
        <v>326</v>
      </c>
      <c r="B97" s="4" t="s">
        <v>298</v>
      </c>
      <c r="C97" s="23">
        <f>'Total and digestible IAA'!AH97/$C$2</f>
        <v>0.44938146932592782</v>
      </c>
      <c r="D97" s="23">
        <f>'Total and digestible IAA'!AI97/$D$2</f>
        <v>0.78131096371439712</v>
      </c>
      <c r="E97" s="23">
        <f>'Total and digestible IAA'!AJ97/$E$2</f>
        <v>0.69590323839250889</v>
      </c>
      <c r="F97" s="23">
        <f>'Total and digestible IAA'!AK97/$F$2</f>
        <v>0.68276108726752505</v>
      </c>
      <c r="G97" s="23">
        <f>'Total and digestible IAA'!AL97/$G$2</f>
        <v>0.98339242395969406</v>
      </c>
      <c r="H97" s="23">
        <f>'Total and digestible IAA'!AM97/$H$2</f>
        <v>0.62348809988294984</v>
      </c>
      <c r="I97" s="23">
        <f>'Total and digestible IAA'!AN97/$I$2</f>
        <v>0.7803853529358048</v>
      </c>
      <c r="J97" s="23">
        <f>'Total and digestible IAA'!AO97/$J$2</f>
        <v>0.76394849785407737</v>
      </c>
      <c r="K97" s="23">
        <f>'Total and digestible IAA'!AP97/$K$2</f>
        <v>1.1334559574902923</v>
      </c>
      <c r="L97" s="24">
        <f t="shared" si="1"/>
        <v>44.93814693259278</v>
      </c>
      <c r="M97" s="14" t="s">
        <v>6</v>
      </c>
    </row>
    <row r="98" spans="1:14" x14ac:dyDescent="0.25">
      <c r="A98" s="5" t="s">
        <v>181</v>
      </c>
      <c r="B98" s="4" t="s">
        <v>298</v>
      </c>
      <c r="C98" s="23">
        <f>'Total and digestible IAA'!AH98/$C$2</f>
        <v>0.41745730550284632</v>
      </c>
      <c r="D98" s="23">
        <f>'Total and digestible IAA'!AI98/$D$2</f>
        <v>0.46594982078853048</v>
      </c>
      <c r="E98" s="23">
        <f>'Total and digestible IAA'!AJ98/$E$2</f>
        <v>0.61818181818181817</v>
      </c>
      <c r="F98" s="23">
        <f>'Total and digestible IAA'!AK98/$F$2</f>
        <v>0.65979689366786132</v>
      </c>
      <c r="G98" s="23">
        <f>'Total and digestible IAA'!AL98/$G$2</f>
        <v>0.84878707599605208</v>
      </c>
      <c r="H98" s="23">
        <f>'Total and digestible IAA'!AM98/$H$2</f>
        <v>0.4599036964628363</v>
      </c>
      <c r="I98" s="23">
        <f>'Total and digestible IAA'!AN98/$I$2</f>
        <v>0.70948676885533424</v>
      </c>
      <c r="J98" s="23">
        <f>'Total and digestible IAA'!AO98/$J$2</f>
        <v>0.68282828282828267</v>
      </c>
      <c r="K98" s="23">
        <f>'Total and digestible IAA'!AP98/$K$2</f>
        <v>1.152415087898959</v>
      </c>
      <c r="L98" s="24">
        <f t="shared" si="1"/>
        <v>41.745730550284634</v>
      </c>
      <c r="M98" s="14" t="s">
        <v>6</v>
      </c>
    </row>
    <row r="99" spans="1:14" s="4" customFormat="1" x14ac:dyDescent="0.25">
      <c r="A99" s="4" t="s">
        <v>247</v>
      </c>
      <c r="B99" s="4" t="s">
        <v>298</v>
      </c>
      <c r="C99" s="23">
        <f>'Total and digestible IAA'!AH99/$C$2</f>
        <v>1.7796307325789156</v>
      </c>
      <c r="D99" s="23">
        <f>'Total and digestible IAA'!AI99/$D$2</f>
        <v>0.81298391899940448</v>
      </c>
      <c r="E99" s="23">
        <f>'Total and digestible IAA'!AJ99/$E$2</f>
        <v>0.81953543776057181</v>
      </c>
      <c r="F99" s="23">
        <f>'Total and digestible IAA'!AK99/$F$2</f>
        <v>0.84425253126861222</v>
      </c>
      <c r="G99" s="23">
        <f>'Total and digestible IAA'!AL99/$G$2</f>
        <v>0.95641815780614758</v>
      </c>
      <c r="H99" s="23">
        <f>'Total and digestible IAA'!AM99/$H$2</f>
        <v>0.38666594473622473</v>
      </c>
      <c r="I99" s="23">
        <f>'Total and digestible IAA'!AN99/$I$2</f>
        <v>0.91355670168413305</v>
      </c>
      <c r="J99" s="23">
        <f>'Total and digestible IAA'!AO99/$J$2</f>
        <v>0.83153392170664342</v>
      </c>
      <c r="K99" s="23">
        <f>'Total and digestible IAA'!AP99/$K$2</f>
        <v>1.3799030034884712</v>
      </c>
      <c r="L99" s="24">
        <f t="shared" si="1"/>
        <v>38.666594473622474</v>
      </c>
      <c r="M99" s="14" t="s">
        <v>355</v>
      </c>
    </row>
    <row r="100" spans="1:14" s="4" customFormat="1" x14ac:dyDescent="0.25">
      <c r="A100" s="4" t="s">
        <v>252</v>
      </c>
      <c r="B100" s="4" t="s">
        <v>298</v>
      </c>
      <c r="C100" s="23">
        <f>'Total and digestible IAA'!AH100/$C$2</f>
        <v>0.4221738077947228</v>
      </c>
      <c r="D100" s="23">
        <f>'Total and digestible IAA'!AI100/$D$2</f>
        <v>0.62954545454545452</v>
      </c>
      <c r="E100" s="23">
        <f>'Total and digestible IAA'!AJ100/$E$2</f>
        <v>0.59528619528619531</v>
      </c>
      <c r="F100" s="23">
        <f>'Total and digestible IAA'!AK100/$F$2</f>
        <v>0.6777263374485597</v>
      </c>
      <c r="G100" s="23">
        <f>'Total and digestible IAA'!AL100/$G$2</f>
        <v>0.85751774318602025</v>
      </c>
      <c r="H100" s="23">
        <f>'Total and digestible IAA'!AM100/$H$2</f>
        <v>0.82255892255892249</v>
      </c>
      <c r="I100" s="23">
        <f>'Total and digestible IAA'!AN100/$I$2</f>
        <v>0.45760441292356191</v>
      </c>
      <c r="J100" s="23">
        <f>'Total and digestible IAA'!AO100/$J$2</f>
        <v>0.63866816311260755</v>
      </c>
      <c r="K100" s="23">
        <f>'Total and digestible IAA'!AP100/$K$2</f>
        <v>1.0610229276895946</v>
      </c>
      <c r="L100" s="24">
        <f t="shared" si="1"/>
        <v>42.217380779472279</v>
      </c>
      <c r="M100" s="14" t="s">
        <v>6</v>
      </c>
    </row>
    <row r="101" spans="1:14" x14ac:dyDescent="0.25">
      <c r="A101" s="5" t="s">
        <v>327</v>
      </c>
      <c r="B101" s="4" t="s">
        <v>298</v>
      </c>
      <c r="C101" s="23"/>
      <c r="D101" s="23">
        <f>'Total and digestible IAA'!AI101/$D$2</f>
        <v>0.96944888921966277</v>
      </c>
      <c r="E101" s="23">
        <f>'Total and digestible IAA'!AJ101/$E$2</f>
        <v>0.59167193837680943</v>
      </c>
      <c r="F101" s="23">
        <f>'Total and digestible IAA'!AK101/$F$2</f>
        <v>0.48352435530085947</v>
      </c>
      <c r="G101" s="23">
        <f>'Total and digestible IAA'!AL101/$G$2</f>
        <v>0.5783872288170282</v>
      </c>
      <c r="H101" s="23"/>
      <c r="I101" s="23"/>
      <c r="J101" s="23">
        <f>'Total and digestible IAA'!AO101/$J$2</f>
        <v>0.62788672645406174</v>
      </c>
      <c r="K101" s="23"/>
      <c r="L101" s="24">
        <f t="shared" si="1"/>
        <v>48.352435530085948</v>
      </c>
      <c r="M101" s="15" t="s">
        <v>526</v>
      </c>
      <c r="N101" s="5" t="s">
        <v>525</v>
      </c>
    </row>
    <row r="102" spans="1:14" s="4" customFormat="1" x14ac:dyDescent="0.25">
      <c r="A102" s="4" t="s">
        <v>328</v>
      </c>
      <c r="B102" s="4" t="s">
        <v>298</v>
      </c>
      <c r="C102" s="23">
        <f>'Total and digestible IAA'!AH102/$C$2</f>
        <v>0.677490774907749</v>
      </c>
      <c r="D102" s="23">
        <f>'Total and digestible IAA'!AI102/$D$2</f>
        <v>0.53874538745387446</v>
      </c>
      <c r="E102" s="23">
        <f>'Total and digestible IAA'!AJ102/$E$2</f>
        <v>0.64354243542435419</v>
      </c>
      <c r="F102" s="23">
        <f>'Total and digestible IAA'!AK102/$F$2</f>
        <v>0.57503075030750306</v>
      </c>
      <c r="G102" s="23">
        <f>'Total and digestible IAA'!AL102/$G$2</f>
        <v>0.59743301780843905</v>
      </c>
      <c r="H102" s="23">
        <f>'Total and digestible IAA'!AM102/$H$2</f>
        <v>0.8120541205412054</v>
      </c>
      <c r="I102" s="23">
        <f>'Total and digestible IAA'!AN102/$I$2</f>
        <v>0.70465572740833804</v>
      </c>
      <c r="J102" s="23">
        <f>'Total and digestible IAA'!AO102/$J$2</f>
        <v>0.84825226434082512</v>
      </c>
      <c r="K102" s="23">
        <f>'Total and digestible IAA'!AP102/$K$2</f>
        <v>0.82698998418555603</v>
      </c>
      <c r="L102" s="24">
        <f t="shared" si="1"/>
        <v>53.874538745387447</v>
      </c>
      <c r="M102" s="14" t="s">
        <v>527</v>
      </c>
    </row>
    <row r="103" spans="1:14" s="4" customFormat="1" x14ac:dyDescent="0.25">
      <c r="A103" s="4" t="s">
        <v>329</v>
      </c>
      <c r="B103" s="4" t="s">
        <v>298</v>
      </c>
      <c r="C103" s="23">
        <f>'Total and digestible IAA'!AH103/$C$2</f>
        <v>0.53468479025076165</v>
      </c>
      <c r="D103" s="23">
        <f>'Total and digestible IAA'!AI103/$D$2</f>
        <v>0.52426657008330313</v>
      </c>
      <c r="E103" s="23">
        <f>'Total and digestible IAA'!AJ103/$E$2</f>
        <v>0.64010141253169162</v>
      </c>
      <c r="F103" s="23">
        <f>'Total and digestible IAA'!AK103/$F$2</f>
        <v>0.57263446215139435</v>
      </c>
      <c r="G103" s="23">
        <f>'Total and digestible IAA'!AL103/$G$2</f>
        <v>0.57353195912004151</v>
      </c>
      <c r="H103" s="23">
        <f>'Total and digestible IAA'!AM103/$H$2</f>
        <v>0.81865266207895693</v>
      </c>
      <c r="I103" s="23">
        <f>'Total and digestible IAA'!AN103/$I$2</f>
        <v>0.68804780876494043</v>
      </c>
      <c r="J103" s="23">
        <f>'Total and digestible IAA'!AO103/$J$2</f>
        <v>0.8418688880840276</v>
      </c>
      <c r="K103" s="23">
        <f>'Total and digestible IAA'!AP103/$K$2</f>
        <v>0.81138303927148547</v>
      </c>
      <c r="L103" s="24">
        <f t="shared" si="1"/>
        <v>52.426657008330309</v>
      </c>
      <c r="M103" s="14" t="s">
        <v>527</v>
      </c>
    </row>
    <row r="104" spans="1:14" s="4" customFormat="1" x14ac:dyDescent="0.25">
      <c r="A104" s="4" t="s">
        <v>330</v>
      </c>
      <c r="B104" s="4" t="s">
        <v>298</v>
      </c>
      <c r="C104" s="23">
        <f>'Total and digestible IAA'!AH104/$C$2</f>
        <v>0.55545800409716117</v>
      </c>
      <c r="D104" s="23">
        <f>'Total and digestible IAA'!AI104/$D$2</f>
        <v>0.77069199457259152</v>
      </c>
      <c r="E104" s="23">
        <f>'Total and digestible IAA'!AJ104/$E$2</f>
        <v>0.51053821800090471</v>
      </c>
      <c r="F104" s="23">
        <f>'Total and digestible IAA'!AK104/$F$2</f>
        <v>0.51145315091210619</v>
      </c>
      <c r="G104" s="23">
        <f>'Total and digestible IAA'!AL104/$G$2</f>
        <v>0.70300670560242273</v>
      </c>
      <c r="H104" s="23">
        <f>'Total and digestible IAA'!AM104/$H$2</f>
        <v>1.140358812000603</v>
      </c>
      <c r="I104" s="23">
        <f>'Total and digestible IAA'!AN104/$I$2</f>
        <v>0.52461098761511582</v>
      </c>
      <c r="J104" s="23">
        <f>'Total and digestible IAA'!AO104/$J$2</f>
        <v>0.67752148349163277</v>
      </c>
      <c r="K104" s="23">
        <f>'Total and digestible IAA'!AP104/$K$2</f>
        <v>0.88201847903340436</v>
      </c>
      <c r="L104" s="24">
        <f t="shared" si="1"/>
        <v>51.053821800090468</v>
      </c>
      <c r="M104" s="14" t="s">
        <v>528</v>
      </c>
    </row>
    <row r="105" spans="1:14" s="4" customFormat="1" x14ac:dyDescent="0.25">
      <c r="A105" s="4" t="s">
        <v>331</v>
      </c>
      <c r="B105" s="4" t="s">
        <v>298</v>
      </c>
      <c r="C105" s="23">
        <f>'Total and digestible IAA'!AH105/$C$2</f>
        <v>0.55545800409716117</v>
      </c>
      <c r="D105" s="23">
        <f>'Total and digestible IAA'!AI105/$D$2</f>
        <v>0.77069199457259152</v>
      </c>
      <c r="E105" s="23">
        <f>'Total and digestible IAA'!AJ105/$E$2</f>
        <v>0.51053821800090471</v>
      </c>
      <c r="F105" s="23">
        <f>'Total and digestible IAA'!AK105/$F$2</f>
        <v>0.51145315091210619</v>
      </c>
      <c r="G105" s="23">
        <f>'Total and digestible IAA'!AL105/$G$2</f>
        <v>0.70300670560242273</v>
      </c>
      <c r="H105" s="23">
        <f>'Total and digestible IAA'!AM105/$H$2</f>
        <v>1.140358812000603</v>
      </c>
      <c r="I105" s="23">
        <f>'Total and digestible IAA'!AN105/$I$2</f>
        <v>0.52461098761511582</v>
      </c>
      <c r="J105" s="23">
        <f>'Total and digestible IAA'!AO105/$J$2</f>
        <v>0.67752148349163277</v>
      </c>
      <c r="K105" s="23">
        <f>'Total and digestible IAA'!AP105/$K$2</f>
        <v>0.88201847903340436</v>
      </c>
      <c r="L105" s="24">
        <f t="shared" si="1"/>
        <v>51.053821800090468</v>
      </c>
      <c r="M105" s="14" t="s">
        <v>528</v>
      </c>
    </row>
    <row r="106" spans="1:14" s="4" customFormat="1" x14ac:dyDescent="0.25">
      <c r="A106" s="4" t="s">
        <v>332</v>
      </c>
      <c r="B106" s="4" t="s">
        <v>298</v>
      </c>
      <c r="C106" s="23">
        <f>'Total and digestible IAA'!AH106/$C$2</f>
        <v>0.57462686567164178</v>
      </c>
      <c r="D106" s="23">
        <f>'Total and digestible IAA'!AI106/$D$2</f>
        <v>0.77408412483039346</v>
      </c>
      <c r="E106" s="23">
        <f>'Total and digestible IAA'!AJ106/$E$2</f>
        <v>0.71890547263681592</v>
      </c>
      <c r="F106" s="23">
        <f>'Total and digestible IAA'!AK106/$F$2</f>
        <v>0.66736629353233834</v>
      </c>
      <c r="G106" s="23">
        <f>'Total and digestible IAA'!AL106/$G$2</f>
        <v>0.78412286394116371</v>
      </c>
      <c r="H106" s="23">
        <f>'Total and digestible IAA'!AM106/$H$2</f>
        <v>0.72742348861751849</v>
      </c>
      <c r="I106" s="23">
        <f>'Total and digestible IAA'!AN106/$I$2</f>
        <v>0.79501429025087333</v>
      </c>
      <c r="J106" s="23">
        <f>'Total and digestible IAA'!AO106/$J$2</f>
        <v>0.73704206241519676</v>
      </c>
      <c r="K106" s="23">
        <f>'Total and digestible IAA'!AP106/$K$2</f>
        <v>1.1466477138118929</v>
      </c>
      <c r="L106" s="24">
        <f t="shared" si="1"/>
        <v>57.462686567164177</v>
      </c>
      <c r="M106" s="14" t="s">
        <v>6</v>
      </c>
    </row>
    <row r="107" spans="1:14" s="4" customFormat="1" x14ac:dyDescent="0.25">
      <c r="A107" s="4" t="s">
        <v>333</v>
      </c>
      <c r="B107" s="4" t="s">
        <v>298</v>
      </c>
      <c r="C107" s="23">
        <f>'Total and digestible IAA'!AH107/$C$2</f>
        <v>0.55223880597014929</v>
      </c>
      <c r="D107" s="23">
        <f>'Total and digestible IAA'!AI107/$D$2</f>
        <v>0.71879240162822267</v>
      </c>
      <c r="E107" s="23">
        <f>'Total and digestible IAA'!AJ107/$E$2</f>
        <v>0.68507462686567167</v>
      </c>
      <c r="F107" s="23">
        <f>'Total and digestible IAA'!AK107/$F$2</f>
        <v>0.63596082089552242</v>
      </c>
      <c r="G107" s="23">
        <f>'Total and digestible IAA'!AL107/$G$2</f>
        <v>0.75708414449491668</v>
      </c>
      <c r="H107" s="23">
        <f>'Total and digestible IAA'!AM107/$H$2</f>
        <v>0.68317503392130252</v>
      </c>
      <c r="I107" s="23">
        <f>'Total and digestible IAA'!AN107/$I$2</f>
        <v>0.76278183550333467</v>
      </c>
      <c r="J107" s="23">
        <f>'Total and digestible IAA'!AO107/$J$2</f>
        <v>0.70194482134780634</v>
      </c>
      <c r="K107" s="23">
        <f>'Total and digestible IAA'!AP107/$K$2</f>
        <v>1.1075574508410331</v>
      </c>
      <c r="L107" s="24">
        <f t="shared" si="1"/>
        <v>55.223880597014926</v>
      </c>
      <c r="M107" s="14" t="s">
        <v>6</v>
      </c>
    </row>
    <row r="108" spans="1:14" s="4" customFormat="1" x14ac:dyDescent="0.25">
      <c r="A108" s="4" t="s">
        <v>334</v>
      </c>
      <c r="B108" s="4" t="s">
        <v>298</v>
      </c>
      <c r="C108" s="23">
        <f>'Total and digestible IAA'!AH108/$C$2</f>
        <v>0.62842166569598135</v>
      </c>
      <c r="D108" s="23">
        <f>'Total and digestible IAA'!AI108/$D$2</f>
        <v>0.68772502250225032</v>
      </c>
      <c r="E108" s="23">
        <f>'Total and digestible IAA'!AJ108/$E$2</f>
        <v>0.6261026102610262</v>
      </c>
      <c r="F108" s="23">
        <f>'Total and digestible IAA'!AK108/$F$2</f>
        <v>0.5976691419141914</v>
      </c>
      <c r="G108" s="23">
        <f>'Total and digestible IAA'!AL108/$G$2</f>
        <v>0.71132874156980919</v>
      </c>
      <c r="H108" s="23">
        <f>'Total and digestible IAA'!AM108/$H$2</f>
        <v>0.67686768676867692</v>
      </c>
      <c r="I108" s="23">
        <f>'Total and digestible IAA'!AN108/$I$2</f>
        <v>0.70734147882873388</v>
      </c>
      <c r="J108" s="23">
        <f>'Total and digestible IAA'!AO108/$J$2</f>
        <v>0.64941494149414936</v>
      </c>
      <c r="K108" s="23">
        <f>'Total and digestible IAA'!AP108/$K$2</f>
        <v>1.0502121640735502</v>
      </c>
      <c r="L108" s="24">
        <f t="shared" si="1"/>
        <v>59.76691419141914</v>
      </c>
      <c r="M108" s="14" t="s">
        <v>526</v>
      </c>
    </row>
    <row r="109" spans="1:14" s="4" customFormat="1" x14ac:dyDescent="0.25">
      <c r="A109" s="4" t="s">
        <v>335</v>
      </c>
      <c r="B109" s="4" t="s">
        <v>298</v>
      </c>
      <c r="C109" s="23">
        <f>'Total and digestible IAA'!AH109/$C$2</f>
        <v>0.60903149138443258</v>
      </c>
      <c r="D109" s="23">
        <f>'Total and digestible IAA'!AI109/$D$2</f>
        <v>0.68376951331496805</v>
      </c>
      <c r="E109" s="23">
        <f>'Total and digestible IAA'!AJ109/$E$2</f>
        <v>0.62006427915518814</v>
      </c>
      <c r="F109" s="23">
        <f>'Total and digestible IAA'!AK109/$F$2</f>
        <v>0.57415298821548821</v>
      </c>
      <c r="G109" s="23">
        <f>'Total and digestible IAA'!AL109/$G$2</f>
        <v>0.70223978919631103</v>
      </c>
      <c r="H109" s="23">
        <f>'Total and digestible IAA'!AM109/$H$2</f>
        <v>0.66437098255280058</v>
      </c>
      <c r="I109" s="23">
        <f>'Total and digestible IAA'!AN109/$I$2</f>
        <v>0.69304749623898565</v>
      </c>
      <c r="J109" s="23">
        <f>'Total and digestible IAA'!AO109/$J$2</f>
        <v>0.63140495867768609</v>
      </c>
      <c r="K109" s="23">
        <f>'Total and digestible IAA'!AP109/$K$2</f>
        <v>1.0259740259740262</v>
      </c>
      <c r="L109" s="24">
        <f t="shared" si="1"/>
        <v>57.415298821548824</v>
      </c>
      <c r="M109" s="14" t="s">
        <v>526</v>
      </c>
    </row>
    <row r="110" spans="1:14" x14ac:dyDescent="0.25">
      <c r="A110" s="5" t="s">
        <v>183</v>
      </c>
      <c r="B110" s="4" t="s">
        <v>298</v>
      </c>
      <c r="C110" s="23">
        <f>'Total and digestible IAA'!AH110/$C$2</f>
        <v>0.77883160125113526</v>
      </c>
      <c r="D110" s="23">
        <f>'Total and digestible IAA'!AI110/$D$2</f>
        <v>0.78543583346327772</v>
      </c>
      <c r="E110" s="23">
        <f>'Total and digestible IAA'!AJ110/$E$2</f>
        <v>0.78512396694214859</v>
      </c>
      <c r="F110" s="23">
        <f>'Total and digestible IAA'!AK110/$F$2</f>
        <v>0.75873713550600341</v>
      </c>
      <c r="G110" s="23">
        <f>'Total and digestible IAA'!AL110/$G$2</f>
        <v>0.83921246923707948</v>
      </c>
      <c r="H110" s="23">
        <f>'Total and digestible IAA'!AM110/$H$2</f>
        <v>0.85456624564686312</v>
      </c>
      <c r="I110" s="23">
        <f>'Total and digestible IAA'!AN110/$I$2</f>
        <v>0.86874566621656124</v>
      </c>
      <c r="J110" s="23">
        <f>'Total and digestible IAA'!AO110/$J$2</f>
        <v>0.81500077966630291</v>
      </c>
      <c r="K110" s="23">
        <f>'Total and digestible IAA'!AP110/$K$2</f>
        <v>1.2280486808788695</v>
      </c>
      <c r="L110" s="24">
        <f t="shared" si="1"/>
        <v>75.873713550600343</v>
      </c>
      <c r="M110" s="14" t="s">
        <v>526</v>
      </c>
    </row>
    <row r="111" spans="1:14" x14ac:dyDescent="0.25">
      <c r="A111" s="5" t="s">
        <v>185</v>
      </c>
      <c r="B111" s="4" t="s">
        <v>298</v>
      </c>
      <c r="C111" s="23">
        <f>'Total and digestible IAA'!AH111/$C$2</f>
        <v>0.78674351585014413</v>
      </c>
      <c r="D111" s="23">
        <f>'Total and digestible IAA'!AI111/$D$2</f>
        <v>0.72082132564841495</v>
      </c>
      <c r="E111" s="23">
        <f>'Total and digestible IAA'!AJ111/$E$2</f>
        <v>0.74383023316740893</v>
      </c>
      <c r="F111" s="23">
        <f>'Total and digestible IAA'!AK111/$F$2</f>
        <v>0.73877281460134492</v>
      </c>
      <c r="G111" s="23">
        <f>'Total and digestible IAA'!AL111/$G$2</f>
        <v>0.84801403332915659</v>
      </c>
      <c r="H111" s="23">
        <f>'Total and digestible IAA'!AM111/$H$2</f>
        <v>0.81180682909789548</v>
      </c>
      <c r="I111" s="23">
        <f>'Total and digestible IAA'!AN111/$I$2</f>
        <v>0.84229566497026176</v>
      </c>
      <c r="J111" s="23">
        <f>'Total and digestible IAA'!AO111/$J$2</f>
        <v>0.78988734608331157</v>
      </c>
      <c r="K111" s="23">
        <f>'Total and digestible IAA'!AP111/$K$2</f>
        <v>1.1928777274598601</v>
      </c>
      <c r="L111" s="24">
        <f t="shared" si="1"/>
        <v>72.082132564841501</v>
      </c>
      <c r="M111" s="15" t="s">
        <v>527</v>
      </c>
    </row>
    <row r="112" spans="1:14" x14ac:dyDescent="0.25">
      <c r="A112" s="5" t="s">
        <v>187</v>
      </c>
      <c r="B112" s="4" t="s">
        <v>298</v>
      </c>
      <c r="C112" s="23">
        <f>'Total and digestible IAA'!AH112/$C$2</f>
        <v>0.81816281014775583</v>
      </c>
      <c r="D112" s="23">
        <f>'Total and digestible IAA'!AI112/$D$2</f>
        <v>0.70282205945713061</v>
      </c>
      <c r="E112" s="23">
        <f>'Total and digestible IAA'!AJ112/$E$2</f>
        <v>0.73709607927617404</v>
      </c>
      <c r="F112" s="23">
        <f>'Total and digestible IAA'!AK112/$F$2</f>
        <v>0.74373025276461302</v>
      </c>
      <c r="G112" s="23">
        <f>'Total and digestible IAA'!AL112/$G$2</f>
        <v>0.84902809258877665</v>
      </c>
      <c r="H112" s="23">
        <f>'Total and digestible IAA'!AM112/$H$2</f>
        <v>0.81803820192445775</v>
      </c>
      <c r="I112" s="23">
        <f>'Total and digestible IAA'!AN112/$I$2</f>
        <v>0.84234143390138161</v>
      </c>
      <c r="J112" s="23">
        <f>'Total and digestible IAA'!AO112/$J$2</f>
        <v>0.79103834554071517</v>
      </c>
      <c r="K112" s="23">
        <f>'Total and digestible IAA'!AP112/$K$2</f>
        <v>1.1791920559693072</v>
      </c>
      <c r="L112" s="24">
        <f t="shared" si="1"/>
        <v>70.282205945713059</v>
      </c>
      <c r="M112" s="15" t="s">
        <v>527</v>
      </c>
    </row>
    <row r="113" spans="1:13" s="4" customFormat="1" x14ac:dyDescent="0.25">
      <c r="A113" s="4" t="s">
        <v>246</v>
      </c>
      <c r="B113" s="4" t="s">
        <v>298</v>
      </c>
      <c r="C113" s="23">
        <f>'Total and digestible IAA'!AH113/$C$2</f>
        <v>1.5328608768289724</v>
      </c>
      <c r="D113" s="23">
        <f>'Total and digestible IAA'!AI113/$D$2</f>
        <v>0.77345604464248519</v>
      </c>
      <c r="E113" s="23">
        <f>'Total and digestible IAA'!AJ113/$E$2</f>
        <v>0.79404489234997699</v>
      </c>
      <c r="F113" s="23">
        <f>'Total and digestible IAA'!AK113/$F$2</f>
        <v>0.71206959077721788</v>
      </c>
      <c r="G113" s="23">
        <f>'Total and digestible IAA'!AL113/$G$2</f>
        <v>0.74920167035126506</v>
      </c>
      <c r="H113" s="23">
        <f>'Total and digestible IAA'!AM113/$H$2</f>
        <v>0.88558974999652962</v>
      </c>
      <c r="I113" s="23">
        <f>'Total and digestible IAA'!AN113/$I$2</f>
        <v>0.78032377852067714</v>
      </c>
      <c r="J113" s="23">
        <f>'Total and digestible IAA'!AO113/$J$2</f>
        <v>0.78304251863573893</v>
      </c>
      <c r="K113" s="23">
        <f>'Total and digestible IAA'!AP113/$K$2</f>
        <v>1.2268394302292607</v>
      </c>
      <c r="L113" s="24">
        <f t="shared" si="1"/>
        <v>71.206959077721791</v>
      </c>
      <c r="M113" s="14" t="s">
        <v>526</v>
      </c>
    </row>
    <row r="114" spans="1:13" s="4" customFormat="1" x14ac:dyDescent="0.25">
      <c r="A114" s="4" t="s">
        <v>267</v>
      </c>
      <c r="B114" s="4" t="s">
        <v>298</v>
      </c>
      <c r="C114" s="23">
        <f>'Total and digestible IAA'!AH114/$C$2</f>
        <v>0.57837660203746311</v>
      </c>
      <c r="D114" s="23">
        <f>'Total and digestible IAA'!AI114/$D$2</f>
        <v>0.69933976637887252</v>
      </c>
      <c r="E114" s="23">
        <f>'Total and digestible IAA'!AJ114/$E$2</f>
        <v>0.73682072117826314</v>
      </c>
      <c r="F114" s="23">
        <f>'Total and digestible IAA'!AK114/$F$2</f>
        <v>0.67692330074487905</v>
      </c>
      <c r="G114" s="23">
        <f>'Total and digestible IAA'!AL114/$G$2</f>
        <v>0.79572504250667964</v>
      </c>
      <c r="H114" s="23">
        <f>'Total and digestible IAA'!AM114/$H$2</f>
        <v>0.65771965464702886</v>
      </c>
      <c r="I114" s="23">
        <f>'Total and digestible IAA'!AN114/$I$2</f>
        <v>0.78567692856293825</v>
      </c>
      <c r="J114" s="23">
        <f>'Total and digestible IAA'!AO114/$J$2</f>
        <v>0.73304215337734902</v>
      </c>
      <c r="K114" s="23">
        <f>'Total and digestible IAA'!AP114/$K$2</f>
        <v>1.08244213886672</v>
      </c>
      <c r="L114" s="24">
        <f t="shared" si="1"/>
        <v>57.83766020374631</v>
      </c>
      <c r="M114" s="14" t="s">
        <v>6</v>
      </c>
    </row>
    <row r="115" spans="1:13" s="4" customFormat="1" x14ac:dyDescent="0.25">
      <c r="A115" s="4" t="s">
        <v>56</v>
      </c>
      <c r="B115" s="4" t="s">
        <v>298</v>
      </c>
      <c r="C115" s="23">
        <f>'Total and digestible IAA'!AH115/$C$2</f>
        <v>0.69558823529411773</v>
      </c>
      <c r="D115" s="23">
        <f>'Total and digestible IAA'!AI115/$D$2</f>
        <v>0.71051136363636358</v>
      </c>
      <c r="E115" s="23">
        <f>'Total and digestible IAA'!AJ115/$E$2</f>
        <v>0.61568181818181822</v>
      </c>
      <c r="F115" s="23">
        <f>'Total and digestible IAA'!AK115/$F$2</f>
        <v>0.52018229166666663</v>
      </c>
      <c r="G115" s="23">
        <f>'Total and digestible IAA'!AL115/$G$2</f>
        <v>0.44157608695652173</v>
      </c>
      <c r="H115" s="23">
        <f>'Total and digestible IAA'!AM115/$H$2</f>
        <v>1.0643939393939394</v>
      </c>
      <c r="I115" s="23">
        <f>'Total and digestible IAA'!AN115/$I$2</f>
        <v>0.61409574468085104</v>
      </c>
      <c r="J115" s="23">
        <f>'Total and digestible IAA'!AO115/$J$2</f>
        <v>0.69681818181818178</v>
      </c>
      <c r="K115" s="23">
        <f>'Total and digestible IAA'!AP115/$K$2</f>
        <v>1.0119047619047616</v>
      </c>
      <c r="L115" s="24">
        <f t="shared" si="1"/>
        <v>44.157608695652172</v>
      </c>
      <c r="M115" s="14" t="s">
        <v>8</v>
      </c>
    </row>
    <row r="116" spans="1:13" s="4" customFormat="1" x14ac:dyDescent="0.25">
      <c r="A116" s="4" t="s">
        <v>245</v>
      </c>
      <c r="B116" s="4" t="s">
        <v>298</v>
      </c>
      <c r="C116" s="23">
        <f>'Total and digestible IAA'!AH116/$C$2</f>
        <v>1.3645272533306869</v>
      </c>
      <c r="D116" s="23">
        <f>'Total and digestible IAA'!AI116/$D$2</f>
        <v>0.75773551627621638</v>
      </c>
      <c r="E116" s="23">
        <f>'Total and digestible IAA'!AJ116/$E$2</f>
        <v>0.80500747670718176</v>
      </c>
      <c r="F116" s="23">
        <f>'Total and digestible IAA'!AK116/$F$2</f>
        <v>0.75831663854913545</v>
      </c>
      <c r="G116" s="23">
        <f>'Total and digestible IAA'!AL116/$G$2</f>
        <v>0.76911228063741222</v>
      </c>
      <c r="H116" s="23">
        <f>'Total and digestible IAA'!AM116/$H$2</f>
        <v>0.61669414516314558</v>
      </c>
      <c r="I116" s="23">
        <f>'Total and digestible IAA'!AN116/$I$2</f>
        <v>0.82101994849107574</v>
      </c>
      <c r="J116" s="23">
        <f>'Total and digestible IAA'!AO116/$J$2</f>
        <v>0.80131896783098799</v>
      </c>
      <c r="K116" s="23">
        <f>'Total and digestible IAA'!AP116/$K$2</f>
        <v>1.2108814846056515</v>
      </c>
      <c r="L116" s="24">
        <f t="shared" si="1"/>
        <v>61.669414516314561</v>
      </c>
      <c r="M116" s="14" t="s">
        <v>355</v>
      </c>
    </row>
    <row r="117" spans="1:13" s="6" customFormat="1" x14ac:dyDescent="0.25">
      <c r="C117" s="36"/>
      <c r="D117" s="36"/>
      <c r="E117" s="36"/>
      <c r="F117" s="36"/>
      <c r="G117" s="36"/>
      <c r="H117" s="36"/>
      <c r="I117" s="36"/>
      <c r="J117" s="36"/>
      <c r="K117" s="36"/>
      <c r="L117" s="37"/>
      <c r="M117" s="16"/>
    </row>
    <row r="118" spans="1:13" s="4" customFormat="1" x14ac:dyDescent="0.25">
      <c r="A118" s="4" t="s">
        <v>93</v>
      </c>
      <c r="B118" s="5" t="s">
        <v>123</v>
      </c>
      <c r="C118" s="23">
        <f>'Total and digestible IAA'!AH118/$C$2</f>
        <v>0.54632934968182534</v>
      </c>
      <c r="D118" s="23">
        <f>'Total and digestible IAA'!AI118/$D$2</f>
        <v>0.45568481650275849</v>
      </c>
      <c r="E118" s="23">
        <f>'Total and digestible IAA'!AJ118/$E$2</f>
        <v>0.45214679779323586</v>
      </c>
      <c r="F118" s="23">
        <f>'Total and digestible IAA'!AK118/$F$2</f>
        <v>0.46842018469656987</v>
      </c>
      <c r="G118" s="23">
        <f>'Total and digestible IAA'!AL118/$G$2</f>
        <v>0.35669764062559756</v>
      </c>
      <c r="H118" s="23">
        <f>'Total and digestible IAA'!AM118/$H$2</f>
        <v>0.80754777324698168</v>
      </c>
      <c r="I118" s="23">
        <f>'Total and digestible IAA'!AN118/$I$2</f>
        <v>0.44178409027115023</v>
      </c>
      <c r="J118" s="23">
        <f>'Total and digestible IAA'!AO118/$J$2</f>
        <v>0.62053250179899244</v>
      </c>
      <c r="K118" s="23">
        <f>'Total and digestible IAA'!AP118/$K$2</f>
        <v>0.78879256187963298</v>
      </c>
      <c r="L118" s="24">
        <f t="shared" si="1"/>
        <v>35.669764062559757</v>
      </c>
      <c r="M118" s="14" t="s">
        <v>8</v>
      </c>
    </row>
    <row r="119" spans="1:13" s="4" customFormat="1" x14ac:dyDescent="0.25">
      <c r="A119" s="4" t="s">
        <v>73</v>
      </c>
      <c r="B119" s="5" t="s">
        <v>123</v>
      </c>
      <c r="C119" s="23">
        <f>'Total and digestible IAA'!AH119/$C$2</f>
        <v>0.57388809182209466</v>
      </c>
      <c r="D119" s="23">
        <f>'Total and digestible IAA'!AI119/$D$2</f>
        <v>0.72339246119733924</v>
      </c>
      <c r="E119" s="23">
        <f>'Total and digestible IAA'!AJ119/$E$2</f>
        <v>0.56727272727272726</v>
      </c>
      <c r="F119" s="23">
        <f>'Total and digestible IAA'!AK119/$F$2</f>
        <v>0.57916666666666661</v>
      </c>
      <c r="G119" s="23">
        <f>'Total and digestible IAA'!AL119/$G$2</f>
        <v>0.57264050901378594</v>
      </c>
      <c r="H119" s="23">
        <f>'Total and digestible IAA'!AM119/$H$2</f>
        <v>1.1139689578713969</v>
      </c>
      <c r="I119" s="23">
        <f>'Total and digestible IAA'!AN119/$I$2</f>
        <v>0.58105864037363775</v>
      </c>
      <c r="J119" s="23">
        <f>'Total and digestible IAA'!AO119/$J$2</f>
        <v>0.71024390243902447</v>
      </c>
      <c r="K119" s="23">
        <f>'Total and digestible IAA'!AP119/$K$2</f>
        <v>1.102439024390244</v>
      </c>
      <c r="L119" s="24">
        <f t="shared" si="1"/>
        <v>56.727272727272727</v>
      </c>
      <c r="M119" s="14" t="s">
        <v>8</v>
      </c>
    </row>
    <row r="120" spans="1:13" s="4" customFormat="1" x14ac:dyDescent="0.25">
      <c r="A120" s="4" t="s">
        <v>79</v>
      </c>
      <c r="B120" s="5" t="s">
        <v>123</v>
      </c>
      <c r="C120" s="23">
        <f>'Total and digestible IAA'!AH120/$C$2</f>
        <v>0.43478260869565216</v>
      </c>
      <c r="D120" s="23">
        <f>'Total and digestible IAA'!AI120/$D$2</f>
        <v>0.53516139657443995</v>
      </c>
      <c r="E120" s="23">
        <f>'Total and digestible IAA'!AJ120/$E$2</f>
        <v>0.47285902503293803</v>
      </c>
      <c r="F120" s="23">
        <f>'Total and digestible IAA'!AK120/$F$2</f>
        <v>0.49048913043478265</v>
      </c>
      <c r="G120" s="23">
        <f>'Total and digestible IAA'!AL120/$G$2</f>
        <v>0.41241335853812233</v>
      </c>
      <c r="H120" s="23">
        <f>'Total and digestible IAA'!AM120/$H$2</f>
        <v>0.42160737812911731</v>
      </c>
      <c r="I120" s="23">
        <f>'Total and digestible IAA'!AN120/$I$2</f>
        <v>0.56267345050878814</v>
      </c>
      <c r="J120" s="23">
        <f>'Total and digestible IAA'!AO120/$J$2</f>
        <v>0.49802371541501972</v>
      </c>
      <c r="K120" s="23">
        <f>'Total and digestible IAA'!AP120/$K$2</f>
        <v>0.56176673567977919</v>
      </c>
      <c r="L120" s="24">
        <f t="shared" si="1"/>
        <v>41.241335853812231</v>
      </c>
      <c r="M120" s="14" t="s">
        <v>8</v>
      </c>
    </row>
    <row r="121" spans="1:13" s="4" customFormat="1" x14ac:dyDescent="0.25">
      <c r="A121" s="4" t="s">
        <v>81</v>
      </c>
      <c r="B121" s="5" t="s">
        <v>123</v>
      </c>
      <c r="C121" s="23">
        <f>'Total and digestible IAA'!AH121/$C$2</f>
        <v>0.54359243697478998</v>
      </c>
      <c r="D121" s="23">
        <f>'Total and digestible IAA'!AI121/$D$2</f>
        <v>0.49624594155844159</v>
      </c>
      <c r="E121" s="23">
        <f>'Total and digestible IAA'!AJ121/$E$2</f>
        <v>0.42499999999999999</v>
      </c>
      <c r="F121" s="23">
        <f>'Total and digestible IAA'!AK121/$F$2</f>
        <v>0.49055989583333331</v>
      </c>
      <c r="G121" s="23">
        <f>'Total and digestible IAA'!AL121/$G$2</f>
        <v>0.21739130434782611</v>
      </c>
      <c r="H121" s="23">
        <f>'Total and digestible IAA'!AM121/$H$2</f>
        <v>0.6247294372294373</v>
      </c>
      <c r="I121" s="23">
        <f>'Total and digestible IAA'!AN121/$I$2</f>
        <v>0.51044832826747721</v>
      </c>
      <c r="J121" s="23">
        <f>'Total and digestible IAA'!AO121/$J$2</f>
        <v>0.66477272727272729</v>
      </c>
      <c r="K121" s="23">
        <f>'Total and digestible IAA'!AP121/$K$2</f>
        <v>0.72959183673469397</v>
      </c>
      <c r="L121" s="24">
        <f t="shared" si="1"/>
        <v>21.739130434782609</v>
      </c>
      <c r="M121" s="14" t="s">
        <v>8</v>
      </c>
    </row>
    <row r="122" spans="1:13" s="4" customFormat="1" x14ac:dyDescent="0.25">
      <c r="A122" s="4" t="s">
        <v>83</v>
      </c>
      <c r="B122" s="5" t="s">
        <v>123</v>
      </c>
      <c r="C122" s="23">
        <f>'Total and digestible IAA'!AH122/$C$2</f>
        <v>0.53770739064856699</v>
      </c>
      <c r="D122" s="23">
        <f>'Total and digestible IAA'!AI122/$D$2</f>
        <v>0.48154623154623161</v>
      </c>
      <c r="E122" s="23">
        <f>'Total and digestible IAA'!AJ122/$E$2</f>
        <v>0.42478632478632478</v>
      </c>
      <c r="F122" s="23">
        <f>'Total and digestible IAA'!AK122/$F$2</f>
        <v>0.49016203703703703</v>
      </c>
      <c r="G122" s="23">
        <f>'Total and digestible IAA'!AL122/$G$2</f>
        <v>0.2115694289607333</v>
      </c>
      <c r="H122" s="23">
        <f>'Total and digestible IAA'!AM122/$H$2</f>
        <v>0.61758611758611759</v>
      </c>
      <c r="I122" s="23">
        <f>'Total and digestible IAA'!AN122/$I$2</f>
        <v>0.51018366975813778</v>
      </c>
      <c r="J122" s="23">
        <f>'Total and digestible IAA'!AO122/$J$2</f>
        <v>0.66666666666666663</v>
      </c>
      <c r="K122" s="23">
        <f>'Total and digestible IAA'!AP122/$K$2</f>
        <v>0.73015873015873012</v>
      </c>
      <c r="L122" s="24">
        <f t="shared" si="1"/>
        <v>21.156942896073332</v>
      </c>
      <c r="M122" s="14" t="s">
        <v>8</v>
      </c>
    </row>
    <row r="123" spans="1:13" s="4" customFormat="1" x14ac:dyDescent="0.25">
      <c r="A123" s="4" t="s">
        <v>286</v>
      </c>
      <c r="B123" s="5" t="s">
        <v>123</v>
      </c>
      <c r="C123" s="23">
        <f>'Total and digestible IAA'!AH123/$C$2</f>
        <v>0.26075504828797191</v>
      </c>
      <c r="D123" s="23">
        <f>'Total and digestible IAA'!AI123/$D$2</f>
        <v>0.58514246947082771</v>
      </c>
      <c r="E123" s="23">
        <f>'Total and digestible IAA'!AJ123/$E$2</f>
        <v>0.47829036635006783</v>
      </c>
      <c r="F123" s="23">
        <f>'Total and digestible IAA'!AK123/$F$2</f>
        <v>0.91503420398009949</v>
      </c>
      <c r="G123" s="23">
        <f>'Total and digestible IAA'!AL123/$G$2</f>
        <v>0.27903958468526929</v>
      </c>
      <c r="H123" s="23">
        <f>'Total and digestible IAA'!AM123/$H$2</f>
        <v>0.91994572591587509</v>
      </c>
      <c r="I123" s="23">
        <f>'Total and digestible IAA'!AN123/$I$2</f>
        <v>0.69474436328993328</v>
      </c>
      <c r="J123" s="23">
        <f>'Total and digestible IAA'!AO123/$J$2</f>
        <v>0.6643147896879239</v>
      </c>
      <c r="K123" s="23">
        <f>'Total and digestible IAA'!AP123/$K$2</f>
        <v>1.0810234541577823</v>
      </c>
      <c r="L123" s="24">
        <f t="shared" si="1"/>
        <v>26.075504828797193</v>
      </c>
      <c r="M123" s="14" t="s">
        <v>6</v>
      </c>
    </row>
    <row r="124" spans="1:13" s="4" customFormat="1" x14ac:dyDescent="0.25">
      <c r="A124" s="4" t="s">
        <v>85</v>
      </c>
      <c r="B124" s="5" t="s">
        <v>123</v>
      </c>
      <c r="C124" s="23">
        <f>'Total and digestible IAA'!AH124/$C$2</f>
        <v>0.54773384763741562</v>
      </c>
      <c r="D124" s="23">
        <f>'Total and digestible IAA'!AI124/$D$2</f>
        <v>0.52595628415300544</v>
      </c>
      <c r="E124" s="23">
        <f>'Total and digestible IAA'!AJ124/$E$2</f>
        <v>0.44172876304023845</v>
      </c>
      <c r="F124" s="23">
        <f>'Total and digestible IAA'!AK124/$F$2</f>
        <v>0.46840846994535523</v>
      </c>
      <c r="G124" s="23">
        <f>'Total and digestible IAA'!AL124/$G$2</f>
        <v>0.41530054644808739</v>
      </c>
      <c r="H124" s="23">
        <f>'Total and digestible IAA'!AM124/$H$2</f>
        <v>0.70268256333830104</v>
      </c>
      <c r="I124" s="23">
        <f>'Total and digestible IAA'!AN124/$I$2</f>
        <v>0.67913614695965596</v>
      </c>
      <c r="J124" s="23">
        <f>'Total and digestible IAA'!AO124/$J$2</f>
        <v>0.59185295578738206</v>
      </c>
      <c r="K124" s="23">
        <f>'Total and digestible IAA'!AP124/$K$2</f>
        <v>1.1173562321103305</v>
      </c>
      <c r="L124" s="24">
        <f t="shared" si="1"/>
        <v>41.530054644808736</v>
      </c>
      <c r="M124" s="14" t="s">
        <v>8</v>
      </c>
    </row>
    <row r="125" spans="1:13" s="4" customFormat="1" x14ac:dyDescent="0.25">
      <c r="A125" s="4" t="s">
        <v>87</v>
      </c>
      <c r="B125" s="5" t="s">
        <v>123</v>
      </c>
      <c r="C125" s="23">
        <f>'Total and digestible IAA'!AH125/$C$2</f>
        <v>0.66360698125404005</v>
      </c>
      <c r="D125" s="23">
        <f>'Total and digestible IAA'!AI125/$D$2</f>
        <v>0.58981018981018984</v>
      </c>
      <c r="E125" s="23">
        <f>'Total and digestible IAA'!AJ125/$E$2</f>
        <v>0.47760239760239759</v>
      </c>
      <c r="F125" s="23">
        <f>'Total and digestible IAA'!AK125/$F$2</f>
        <v>0.49807692307692303</v>
      </c>
      <c r="G125" s="23">
        <f>'Total and digestible IAA'!AL125/$G$2</f>
        <v>0.44057971014492747</v>
      </c>
      <c r="H125" s="23">
        <f>'Total and digestible IAA'!AM125/$H$2</f>
        <v>0.80725940725940726</v>
      </c>
      <c r="I125" s="23">
        <f>'Total and digestible IAA'!AN125/$I$2</f>
        <v>0.76895019873743287</v>
      </c>
      <c r="J125" s="23">
        <f>'Total and digestible IAA'!AO125/$J$2</f>
        <v>0.68811188811188795</v>
      </c>
      <c r="K125" s="23">
        <f>'Total and digestible IAA'!AP125/$K$2</f>
        <v>1.2709576138147567</v>
      </c>
      <c r="L125" s="24">
        <f t="shared" si="1"/>
        <v>44.05797101449275</v>
      </c>
      <c r="M125" s="14" t="s">
        <v>8</v>
      </c>
    </row>
    <row r="126" spans="1:13" s="4" customFormat="1" x14ac:dyDescent="0.25">
      <c r="A126" s="4" t="s">
        <v>89</v>
      </c>
      <c r="B126" s="5" t="s">
        <v>123</v>
      </c>
      <c r="C126" s="23">
        <f>'Total and digestible IAA'!AH126/$C$2</f>
        <v>0.60514525220407578</v>
      </c>
      <c r="D126" s="23">
        <f>'Total and digestible IAA'!AI126/$D$2</f>
        <v>0.56756756756756754</v>
      </c>
      <c r="E126" s="23">
        <f>'Total and digestible IAA'!AJ126/$E$2</f>
        <v>0.46459682823319187</v>
      </c>
      <c r="F126" s="23">
        <f>'Total and digestible IAA'!AK126/$F$2</f>
        <v>0.48899467649467643</v>
      </c>
      <c r="G126" s="23">
        <f>'Total and digestible IAA'!AL126/$G$2</f>
        <v>0.41968450664102835</v>
      </c>
      <c r="H126" s="23">
        <f>'Total and digestible IAA'!AM126/$H$2</f>
        <v>0.69495942223214946</v>
      </c>
      <c r="I126" s="23">
        <f>'Total and digestible IAA'!AN126/$I$2</f>
        <v>0.73158555073448683</v>
      </c>
      <c r="J126" s="23">
        <f>'Total and digestible IAA'!AO126/$J$2</f>
        <v>0.6549475094929641</v>
      </c>
      <c r="K126" s="23">
        <f>'Total and digestible IAA'!AP126/$K$2</f>
        <v>1.1990171990171989</v>
      </c>
      <c r="L126" s="24">
        <f t="shared" si="1"/>
        <v>41.968450664102832</v>
      </c>
      <c r="M126" s="14" t="s">
        <v>8</v>
      </c>
    </row>
    <row r="127" spans="1:13" s="4" customFormat="1" x14ac:dyDescent="0.25">
      <c r="A127" s="4" t="s">
        <v>91</v>
      </c>
      <c r="B127" s="5" t="s">
        <v>123</v>
      </c>
      <c r="C127" s="23">
        <f>'Total and digestible IAA'!AH127/$C$2</f>
        <v>0.6260325406758448</v>
      </c>
      <c r="D127" s="23">
        <f>'Total and digestible IAA'!AI127/$D$2</f>
        <v>0.54390715667311418</v>
      </c>
      <c r="E127" s="23">
        <f>'Total and digestible IAA'!AJ127/$E$2</f>
        <v>0.4465764023210832</v>
      </c>
      <c r="F127" s="23">
        <f>'Total and digestible IAA'!AK127/$F$2</f>
        <v>0.47340425531914887</v>
      </c>
      <c r="G127" s="23">
        <f>'Total and digestible IAA'!AL127/$G$2</f>
        <v>0.40940487203206899</v>
      </c>
      <c r="H127" s="23">
        <f>'Total and digestible IAA'!AM127/$H$2</f>
        <v>0.72946486137975508</v>
      </c>
      <c r="I127" s="23">
        <f>'Total and digestible IAA'!AN127/$I$2</f>
        <v>0.72209144409234949</v>
      </c>
      <c r="J127" s="23">
        <f>'Total and digestible IAA'!AO127/$J$2</f>
        <v>0.65918762088974858</v>
      </c>
      <c r="K127" s="23">
        <f>'Total and digestible IAA'!AP127/$K$2</f>
        <v>1.1352583586626139</v>
      </c>
      <c r="L127" s="24">
        <f t="shared" si="1"/>
        <v>40.940487203206899</v>
      </c>
      <c r="M127" s="14" t="s">
        <v>8</v>
      </c>
    </row>
    <row r="128" spans="1:13" s="4" customFormat="1" x14ac:dyDescent="0.25">
      <c r="A128" s="4" t="s">
        <v>95</v>
      </c>
      <c r="B128" s="5" t="s">
        <v>123</v>
      </c>
      <c r="C128" s="23">
        <f>'Total and digestible IAA'!AH128/$C$2</f>
        <v>0.28758169934640526</v>
      </c>
      <c r="D128" s="23">
        <f>'Total and digestible IAA'!AI128/$D$2</f>
        <v>0.40617715617715611</v>
      </c>
      <c r="E128" s="23">
        <f>'Total and digestible IAA'!AJ128/$E$2</f>
        <v>0.41118881118881123</v>
      </c>
      <c r="F128" s="23">
        <f>'Total and digestible IAA'!AK128/$F$2</f>
        <v>0.43304843304843299</v>
      </c>
      <c r="G128" s="23">
        <f>'Total and digestible IAA'!AL128/$G$2</f>
        <v>0.26780626780626782</v>
      </c>
      <c r="H128" s="23">
        <f>'Total and digestible IAA'!AM128/$H$2</f>
        <v>0.36726236726236733</v>
      </c>
      <c r="I128" s="23">
        <f>'Total and digestible IAA'!AN128/$I$2</f>
        <v>0.38479723586106562</v>
      </c>
      <c r="J128" s="23">
        <f>'Total and digestible IAA'!AO128/$J$2</f>
        <v>0.40341880341880343</v>
      </c>
      <c r="K128" s="23">
        <f>'Total and digestible IAA'!AP128/$K$2</f>
        <v>0.59584859584859584</v>
      </c>
      <c r="L128" s="24">
        <f t="shared" si="1"/>
        <v>26.780626780626783</v>
      </c>
      <c r="M128" s="14" t="s">
        <v>8</v>
      </c>
    </row>
    <row r="129" spans="1:13" s="4" customFormat="1" x14ac:dyDescent="0.25">
      <c r="A129" s="4" t="s">
        <v>58</v>
      </c>
      <c r="B129" s="5" t="s">
        <v>123</v>
      </c>
      <c r="C129" s="23">
        <f>'Total and digestible IAA'!AH129/$C$2</f>
        <v>0.48614487117160921</v>
      </c>
      <c r="D129" s="23">
        <f>'Total and digestible IAA'!AI129/$D$2</f>
        <v>0.49708865514650641</v>
      </c>
      <c r="E129" s="23">
        <f>'Total and digestible IAA'!AJ129/$E$2</f>
        <v>0.48670172802404205</v>
      </c>
      <c r="F129" s="23">
        <f>'Total and digestible IAA'!AK129/$F$2</f>
        <v>0.56527634297520646</v>
      </c>
      <c r="G129" s="23">
        <f>'Total and digestible IAA'!AL129/$G$2</f>
        <v>0.3928614205294047</v>
      </c>
      <c r="H129" s="23">
        <f>'Total and digestible IAA'!AM129/$H$2</f>
        <v>0.55465815176558975</v>
      </c>
      <c r="I129" s="23">
        <f>'Total and digestible IAA'!AN129/$I$2</f>
        <v>0.76404519078600308</v>
      </c>
      <c r="J129" s="23">
        <f>'Total and digestible IAA'!AO129/$J$2</f>
        <v>0.58726521412471833</v>
      </c>
      <c r="K129" s="23">
        <f>'Total and digestible IAA'!AP129/$K$2</f>
        <v>0.92561983471074372</v>
      </c>
      <c r="L129" s="24">
        <f t="shared" si="1"/>
        <v>39.28614205294047</v>
      </c>
      <c r="M129" s="14" t="s">
        <v>8</v>
      </c>
    </row>
    <row r="130" spans="1:13" s="4" customFormat="1" x14ac:dyDescent="0.25">
      <c r="A130" s="4" t="s">
        <v>59</v>
      </c>
      <c r="B130" s="5" t="s">
        <v>123</v>
      </c>
      <c r="C130" s="23">
        <f>'Total and digestible IAA'!AH130/$C$2</f>
        <v>0.51058398042761421</v>
      </c>
      <c r="D130" s="23">
        <f>'Total and digestible IAA'!AI130/$D$2</f>
        <v>0.54134473121814897</v>
      </c>
      <c r="E130" s="23">
        <f>'Total and digestible IAA'!AJ130/$E$2</f>
        <v>0.5384185434818346</v>
      </c>
      <c r="F130" s="23">
        <f>'Total and digestible IAA'!AK130/$F$2</f>
        <v>0.61087251356238703</v>
      </c>
      <c r="G130" s="23">
        <f>'Total and digestible IAA'!AL130/$G$2</f>
        <v>0.41743323636554241</v>
      </c>
      <c r="H130" s="23">
        <f>'Total and digestible IAA'!AM130/$H$2</f>
        <v>0.48945147679324896</v>
      </c>
      <c r="I130" s="23">
        <f>'Total and digestible IAA'!AN130/$I$2</f>
        <v>0.85346850832980636</v>
      </c>
      <c r="J130" s="23">
        <f>'Total and digestible IAA'!AO130/$J$2</f>
        <v>0.64731218148939662</v>
      </c>
      <c r="K130" s="23">
        <f>'Total and digestible IAA'!AP130/$K$2</f>
        <v>0.96099199173340233</v>
      </c>
      <c r="L130" s="24">
        <f t="shared" si="1"/>
        <v>41.743323636554244</v>
      </c>
      <c r="M130" s="14" t="s">
        <v>8</v>
      </c>
    </row>
    <row r="131" spans="1:13" s="4" customFormat="1" x14ac:dyDescent="0.25">
      <c r="A131" s="4" t="s">
        <v>61</v>
      </c>
      <c r="B131" s="5" t="s">
        <v>123</v>
      </c>
      <c r="C131" s="23">
        <f>'Total and digestible IAA'!AH131/$C$2</f>
        <v>0.4501800720288115</v>
      </c>
      <c r="D131" s="23">
        <f>'Total and digestible IAA'!AI131/$D$2</f>
        <v>0.54414741103052788</v>
      </c>
      <c r="E131" s="23">
        <f>'Total and digestible IAA'!AJ131/$E$2</f>
        <v>0.53998988024962047</v>
      </c>
      <c r="F131" s="23">
        <f>'Total and digestible IAA'!AK131/$F$2</f>
        <v>0.61220624613481756</v>
      </c>
      <c r="G131" s="23">
        <f>'Total and digestible IAA'!AL131/$G$2</f>
        <v>0.42117716651878145</v>
      </c>
      <c r="H131" s="23">
        <f>'Total and digestible IAA'!AM131/$H$2</f>
        <v>0.57615112160566717</v>
      </c>
      <c r="I131" s="23">
        <f>'Total and digestible IAA'!AN131/$I$2</f>
        <v>0.85313622547665091</v>
      </c>
      <c r="J131" s="23">
        <f>'Total and digestible IAA'!AO131/$J$2</f>
        <v>0.65171192443919712</v>
      </c>
      <c r="K131" s="23">
        <f>'Total and digestible IAA'!AP131/$K$2</f>
        <v>0.9700503578054599</v>
      </c>
      <c r="L131" s="24">
        <f t="shared" si="1"/>
        <v>42.117716651878148</v>
      </c>
      <c r="M131" s="14" t="s">
        <v>8</v>
      </c>
    </row>
    <row r="132" spans="1:13" s="4" customFormat="1" x14ac:dyDescent="0.25">
      <c r="A132" s="4" t="s">
        <v>98</v>
      </c>
      <c r="B132" s="5" t="s">
        <v>123</v>
      </c>
      <c r="C132" s="23">
        <f>'Total and digestible IAA'!AH132/$C$2</f>
        <v>0.71105365223012285</v>
      </c>
      <c r="D132" s="23">
        <f>'Total and digestible IAA'!AI132/$D$2</f>
        <v>0.62487512487512487</v>
      </c>
      <c r="E132" s="23">
        <f>'Total and digestible IAA'!AJ132/$E$2</f>
        <v>0.61163836163836161</v>
      </c>
      <c r="F132" s="23">
        <f>'Total and digestible IAA'!AK132/$F$2</f>
        <v>0.49679487179487181</v>
      </c>
      <c r="G132" s="23">
        <f>'Total and digestible IAA'!AL132/$G$2</f>
        <v>0.44409937888198769</v>
      </c>
      <c r="H132" s="23">
        <f>'Total and digestible IAA'!AM132/$H$2</f>
        <v>0.91650016650016652</v>
      </c>
      <c r="I132" s="23">
        <f>'Total and digestible IAA'!AN132/$I$2</f>
        <v>0.6223988777180266</v>
      </c>
      <c r="J132" s="23">
        <f>'Total and digestible IAA'!AO132/$J$2</f>
        <v>0.71153846153846156</v>
      </c>
      <c r="K132" s="23">
        <f>'Total and digestible IAA'!AP132/$K$2</f>
        <v>1.0024856096284667</v>
      </c>
      <c r="L132" s="24">
        <f t="shared" ref="L132:L195" si="2">MIN(C132:K132)*100</f>
        <v>44.409937888198769</v>
      </c>
      <c r="M132" s="14" t="s">
        <v>8</v>
      </c>
    </row>
    <row r="133" spans="1:13" s="4" customFormat="1" x14ac:dyDescent="0.25">
      <c r="A133" s="4" t="s">
        <v>99</v>
      </c>
      <c r="B133" s="5" t="s">
        <v>123</v>
      </c>
      <c r="C133" s="23">
        <f>'Total and digestible IAA'!AH133/$C$2</f>
        <v>0.77168494516450648</v>
      </c>
      <c r="D133" s="23">
        <f>'Total and digestible IAA'!AI133/$D$2</f>
        <v>0.67231638418079098</v>
      </c>
      <c r="E133" s="23">
        <f>'Total and digestible IAA'!AJ133/$E$2</f>
        <v>0.66358500256805353</v>
      </c>
      <c r="F133" s="23">
        <f>'Total and digestible IAA'!AK133/$F$2</f>
        <v>0.53648775894538603</v>
      </c>
      <c r="G133" s="23">
        <f>'Total and digestible IAA'!AL133/$G$2</f>
        <v>0.44387128469663473</v>
      </c>
      <c r="H133" s="23">
        <f>'Total and digestible IAA'!AM133/$H$2</f>
        <v>0.96045197740112986</v>
      </c>
      <c r="I133" s="23">
        <f>'Total and digestible IAA'!AN133/$I$2</f>
        <v>0.66420242817646347</v>
      </c>
      <c r="J133" s="23">
        <f>'Total and digestible IAA'!AO133/$J$2</f>
        <v>0.77657935285053925</v>
      </c>
      <c r="K133" s="23">
        <f>'Total and digestible IAA'!AP133/$K$2</f>
        <v>1.0368576809254775</v>
      </c>
      <c r="L133" s="24">
        <f t="shared" si="2"/>
        <v>44.387128469663473</v>
      </c>
      <c r="M133" s="14" t="s">
        <v>8</v>
      </c>
    </row>
    <row r="134" spans="1:13" s="4" customFormat="1" x14ac:dyDescent="0.25">
      <c r="A134" s="4" t="s">
        <v>125</v>
      </c>
      <c r="B134" s="5" t="s">
        <v>123</v>
      </c>
      <c r="C134" s="23">
        <f>'Total and digestible IAA'!AH134/$C$2</f>
        <v>0.30383631713554993</v>
      </c>
      <c r="D134" s="23">
        <f>'Total and digestible IAA'!AI134/$D$2</f>
        <v>0.74367588932806328</v>
      </c>
      <c r="E134" s="23">
        <f>'Total and digestible IAA'!AJ134/$E$2</f>
        <v>0.70830039525691701</v>
      </c>
      <c r="F134" s="23">
        <f>'Total and digestible IAA'!AK134/$F$2</f>
        <v>0.71739130434782616</v>
      </c>
      <c r="G134" s="23">
        <f>'Total and digestible IAA'!AL134/$G$2</f>
        <v>6.1751732829237557E-2</v>
      </c>
      <c r="H134" s="23">
        <f>'Total and digestible IAA'!AM134/$H$2</f>
        <v>0.46324110671936758</v>
      </c>
      <c r="I134" s="23">
        <f>'Total and digestible IAA'!AN134/$I$2</f>
        <v>0.63774283071230342</v>
      </c>
      <c r="J134" s="23">
        <f>'Total and digestible IAA'!AO134/$J$2</f>
        <v>0.73043478260869565</v>
      </c>
      <c r="K134" s="23">
        <f>'Total and digestible IAA'!AP134/$K$2</f>
        <v>0.48778467908902684</v>
      </c>
      <c r="L134" s="24">
        <f t="shared" si="2"/>
        <v>6.1751732829237556</v>
      </c>
      <c r="M134" s="14" t="s">
        <v>8</v>
      </c>
    </row>
    <row r="135" spans="1:13" s="4" customFormat="1" x14ac:dyDescent="0.25">
      <c r="A135" s="4" t="s">
        <v>127</v>
      </c>
      <c r="B135" s="5" t="s">
        <v>123</v>
      </c>
      <c r="C135" s="23">
        <f>'Total and digestible IAA'!AH135/$C$2</f>
        <v>0.32716457369464641</v>
      </c>
      <c r="D135" s="23">
        <f>'Total and digestible IAA'!AI135/$D$2</f>
        <v>0.7584269662921348</v>
      </c>
      <c r="E135" s="23">
        <f>'Total and digestible IAA'!AJ135/$E$2</f>
        <v>0.71705822267620023</v>
      </c>
      <c r="F135" s="23">
        <f>'Total and digestible IAA'!AK135/$F$2</f>
        <v>0.72928370786516872</v>
      </c>
      <c r="G135" s="23">
        <f>'Total and digestible IAA'!AL135/$G$2</f>
        <v>6.5135971340172613E-2</v>
      </c>
      <c r="H135" s="23">
        <f>'Total and digestible IAA'!AM135/$H$2</f>
        <v>0.4664623765747361</v>
      </c>
      <c r="I135" s="23">
        <f>'Total and digestible IAA'!AN135/$I$2</f>
        <v>0.64427444417881896</v>
      </c>
      <c r="J135" s="23">
        <f>'Total and digestible IAA'!AO135/$J$2</f>
        <v>0.74770173646578142</v>
      </c>
      <c r="K135" s="23">
        <f>'Total and digestible IAA'!AP135/$K$2</f>
        <v>0.5056179775280899</v>
      </c>
      <c r="L135" s="24">
        <f t="shared" si="2"/>
        <v>6.5135971340172611</v>
      </c>
      <c r="M135" s="14" t="s">
        <v>8</v>
      </c>
    </row>
    <row r="136" spans="1:13" s="4" customFormat="1" x14ac:dyDescent="0.25">
      <c r="A136" s="4" t="s">
        <v>129</v>
      </c>
      <c r="B136" s="5" t="s">
        <v>123</v>
      </c>
      <c r="C136" s="23">
        <f>'Total and digestible IAA'!AH136/$C$2</f>
        <v>0.35007173601147779</v>
      </c>
      <c r="D136" s="23">
        <f>'Total and digestible IAA'!AI136/$D$2</f>
        <v>0.84257206208425717</v>
      </c>
      <c r="E136" s="23">
        <f>'Total and digestible IAA'!AJ136/$E$2</f>
        <v>0.77605321507760539</v>
      </c>
      <c r="F136" s="23">
        <f>'Total and digestible IAA'!AK136/$F$2</f>
        <v>0.77566056910569092</v>
      </c>
      <c r="G136" s="23">
        <f>'Total and digestible IAA'!AL136/$G$2</f>
        <v>6.8339813832920926E-2</v>
      </c>
      <c r="H136" s="23">
        <f>'Total and digestible IAA'!AM136/$H$2</f>
        <v>0.51786154225178627</v>
      </c>
      <c r="I136" s="23">
        <f>'Total and digestible IAA'!AN136/$I$2</f>
        <v>0.6905379692094793</v>
      </c>
      <c r="J136" s="23">
        <f>'Total and digestible IAA'!AO136/$J$2</f>
        <v>0.80975609756097566</v>
      </c>
      <c r="K136" s="23">
        <f>'Total and digestible IAA'!AP136/$K$2</f>
        <v>0.52651955090979485</v>
      </c>
      <c r="L136" s="24">
        <f t="shared" si="2"/>
        <v>6.8339813832920928</v>
      </c>
      <c r="M136" s="14" t="s">
        <v>8</v>
      </c>
    </row>
    <row r="137" spans="1:13" s="4" customFormat="1" x14ac:dyDescent="0.25">
      <c r="A137" s="4" t="s">
        <v>131</v>
      </c>
      <c r="B137" s="5" t="s">
        <v>123</v>
      </c>
      <c r="C137" s="23">
        <f>'Total and digestible IAA'!AH137/$C$2</f>
        <v>0.37119675456389456</v>
      </c>
      <c r="D137" s="23">
        <f>'Total and digestible IAA'!AI137/$D$2</f>
        <v>0.8463949843260189</v>
      </c>
      <c r="E137" s="23">
        <f>'Total and digestible IAA'!AJ137/$E$2</f>
        <v>0.77899686520376177</v>
      </c>
      <c r="F137" s="23">
        <f>'Total and digestible IAA'!AK137/$F$2</f>
        <v>0.77783764367816077</v>
      </c>
      <c r="G137" s="23">
        <f>'Total and digestible IAA'!AL137/$G$2</f>
        <v>7.2463768115942018E-2</v>
      </c>
      <c r="H137" s="23">
        <f>'Total and digestible IAA'!AM137/$H$2</f>
        <v>0.51541274817136884</v>
      </c>
      <c r="I137" s="23">
        <f>'Total and digestible IAA'!AN137/$I$2</f>
        <v>0.6922230374174615</v>
      </c>
      <c r="J137" s="23">
        <f>'Total and digestible IAA'!AO137/$J$2</f>
        <v>0.80689655172413777</v>
      </c>
      <c r="K137" s="23">
        <f>'Total and digestible IAA'!AP137/$K$2</f>
        <v>0.53037766830870281</v>
      </c>
      <c r="L137" s="24">
        <f t="shared" si="2"/>
        <v>7.2463768115942013</v>
      </c>
      <c r="M137" s="14" t="s">
        <v>8</v>
      </c>
    </row>
    <row r="138" spans="1:13" s="4" customFormat="1" x14ac:dyDescent="0.25">
      <c r="A138" s="4" t="s">
        <v>133</v>
      </c>
      <c r="B138" s="5" t="s">
        <v>123</v>
      </c>
      <c r="C138" s="23">
        <f>'Total and digestible IAA'!AH138/$C$2</f>
        <v>0.19792387543252599</v>
      </c>
      <c r="D138" s="23">
        <f>'Total and digestible IAA'!AI138/$D$2</f>
        <v>0.3754010695187166</v>
      </c>
      <c r="E138" s="23">
        <f>'Total and digestible IAA'!AJ138/$E$2</f>
        <v>0.42352941176470588</v>
      </c>
      <c r="F138" s="23">
        <f>'Total and digestible IAA'!AK138/$F$2</f>
        <v>0.45465686274509798</v>
      </c>
      <c r="G138" s="23">
        <f>'Total and digestible IAA'!AL138/$G$2</f>
        <v>0.1577152600170503</v>
      </c>
      <c r="H138" s="23">
        <f>'Total and digestible IAA'!AM138/$H$2</f>
        <v>0.53957219251336908</v>
      </c>
      <c r="I138" s="23">
        <f>'Total and digestible IAA'!AN138/$I$2</f>
        <v>0.49524405506883606</v>
      </c>
      <c r="J138" s="23">
        <f>'Total and digestible IAA'!AO138/$J$2</f>
        <v>0.6</v>
      </c>
      <c r="K138" s="23">
        <f>'Total and digestible IAA'!AP138/$K$2</f>
        <v>0.63221288515406171</v>
      </c>
      <c r="L138" s="24">
        <f t="shared" si="2"/>
        <v>15.77152600170503</v>
      </c>
      <c r="M138" s="14" t="s">
        <v>8</v>
      </c>
    </row>
    <row r="139" spans="1:13" s="4" customFormat="1" x14ac:dyDescent="0.25">
      <c r="A139" s="4" t="s">
        <v>135</v>
      </c>
      <c r="B139" s="5" t="s">
        <v>123</v>
      </c>
      <c r="C139" s="23">
        <f>'Total and digestible IAA'!AH139/$C$2</f>
        <v>0.20057859209257475</v>
      </c>
      <c r="D139" s="23">
        <f>'Total and digestible IAA'!AI139/$D$2</f>
        <v>0.38748137108792852</v>
      </c>
      <c r="E139" s="23">
        <f>'Total and digestible IAA'!AJ139/$E$2</f>
        <v>0.43278688524590164</v>
      </c>
      <c r="F139" s="23">
        <f>'Total and digestible IAA'!AK139/$F$2</f>
        <v>0.4741575591985428</v>
      </c>
      <c r="G139" s="23">
        <f>'Total and digestible IAA'!AL139/$G$2</f>
        <v>0.1611625881048547</v>
      </c>
      <c r="H139" s="23">
        <f>'Total and digestible IAA'!AM139/$H$2</f>
        <v>0.55837059115747634</v>
      </c>
      <c r="I139" s="23">
        <f>'Total and digestible IAA'!AN139/$I$2</f>
        <v>0.52220672014881997</v>
      </c>
      <c r="J139" s="23">
        <f>'Total and digestible IAA'!AO139/$J$2</f>
        <v>0.59672131147540997</v>
      </c>
      <c r="K139" s="23">
        <f>'Total and digestible IAA'!AP139/$K$2</f>
        <v>0.74603174603174605</v>
      </c>
      <c r="L139" s="24">
        <f t="shared" si="2"/>
        <v>16.116258810485469</v>
      </c>
      <c r="M139" s="14" t="s">
        <v>8</v>
      </c>
    </row>
    <row r="140" spans="1:13" s="4" customFormat="1" x14ac:dyDescent="0.25">
      <c r="A140" s="4" t="s">
        <v>76</v>
      </c>
      <c r="B140" s="5" t="s">
        <v>123</v>
      </c>
      <c r="C140" s="23">
        <f>'Total and digestible IAA'!AH140/$C$2</f>
        <v>0.49118519811485439</v>
      </c>
      <c r="D140" s="23">
        <f>'Total and digestible IAA'!AI140/$D$2</f>
        <v>0.75343943889937937</v>
      </c>
      <c r="E140" s="23">
        <f>'Total and digestible IAA'!AJ140/$E$2</f>
        <v>0.57232263285675755</v>
      </c>
      <c r="F140" s="23">
        <f>'Total and digestible IAA'!AK140/$F$2</f>
        <v>0.58296241345202771</v>
      </c>
      <c r="G140" s="23">
        <f>'Total and digestible IAA'!AL140/$G$2</f>
        <v>0.60929772502472801</v>
      </c>
      <c r="H140" s="23">
        <f>'Total and digestible IAA'!AM140/$H$2</f>
        <v>1.1268770793993346</v>
      </c>
      <c r="I140" s="23">
        <f>'Total and digestible IAA'!AN140/$I$2</f>
        <v>0.59624976324262891</v>
      </c>
      <c r="J140" s="23">
        <f>'Total and digestible IAA'!AO140/$J$2</f>
        <v>0.71869436201780434</v>
      </c>
      <c r="K140" s="23">
        <f>'Total and digestible IAA'!AP140/$K$2</f>
        <v>1.0929772502472799</v>
      </c>
      <c r="L140" s="24">
        <f t="shared" si="2"/>
        <v>49.118519811485442</v>
      </c>
      <c r="M140" s="14" t="s">
        <v>6</v>
      </c>
    </row>
    <row r="141" spans="1:13" s="4" customFormat="1" x14ac:dyDescent="0.25">
      <c r="A141" s="4" t="s">
        <v>78</v>
      </c>
      <c r="B141" s="5" t="s">
        <v>123</v>
      </c>
      <c r="C141" s="23">
        <f>'Total and digestible IAA'!AH141/$C$2</f>
        <v>0.58051567083526323</v>
      </c>
      <c r="D141" s="23">
        <f>'Total and digestible IAA'!AI141/$D$2</f>
        <v>0.73371510379384397</v>
      </c>
      <c r="E141" s="23">
        <f>'Total and digestible IAA'!AJ141/$E$2</f>
        <v>0.56950608446671447</v>
      </c>
      <c r="F141" s="23">
        <f>'Total and digestible IAA'!AK141/$F$2</f>
        <v>0.58289588801399828</v>
      </c>
      <c r="G141" s="23">
        <f>'Total and digestible IAA'!AL141/$G$2</f>
        <v>0.58199246833276275</v>
      </c>
      <c r="H141" s="23">
        <f>'Total and digestible IAA'!AM141/$H$2</f>
        <v>1.1190646623717491</v>
      </c>
      <c r="I141" s="23">
        <f>'Total and digestible IAA'!AN141/$I$2</f>
        <v>0.58192327022951917</v>
      </c>
      <c r="J141" s="23">
        <f>'Total and digestible IAA'!AO141/$J$2</f>
        <v>0.71653543307086609</v>
      </c>
      <c r="K141" s="23">
        <f>'Total and digestible IAA'!AP141/$K$2</f>
        <v>1.1023622047244095</v>
      </c>
      <c r="L141" s="24">
        <f t="shared" si="2"/>
        <v>56.950608446671446</v>
      </c>
      <c r="M141" s="14" t="s">
        <v>7</v>
      </c>
    </row>
    <row r="142" spans="1:13" s="4" customFormat="1" x14ac:dyDescent="0.25">
      <c r="A142" s="4" t="s">
        <v>102</v>
      </c>
      <c r="B142" s="5" t="s">
        <v>123</v>
      </c>
      <c r="C142" s="23">
        <f>'Total and digestible IAA'!AH142/$C$2</f>
        <v>0.46302334681100826</v>
      </c>
      <c r="D142" s="23">
        <f>'Total and digestible IAA'!AI142/$D$2</f>
        <v>0.59650272122555947</v>
      </c>
      <c r="E142" s="23">
        <f>'Total and digestible IAA'!AJ142/$E$2</f>
        <v>0.550292279782302</v>
      </c>
      <c r="F142" s="23">
        <f>'Total and digestible IAA'!AK142/$F$2</f>
        <v>0.59497413155949752</v>
      </c>
      <c r="G142" s="23">
        <f>'Total and digestible IAA'!AL142/$G$2</f>
        <v>0.29294000449885921</v>
      </c>
      <c r="H142" s="23">
        <f>'Total and digestible IAA'!AM142/$H$2</f>
        <v>1.2379224618692468</v>
      </c>
      <c r="I142" s="23">
        <f>'Total and digestible IAA'!AN142/$I$2</f>
        <v>0.72187101948388921</v>
      </c>
      <c r="J142" s="23">
        <f>'Total and digestible IAA'!AO142/$J$2</f>
        <v>0.70026204394275349</v>
      </c>
      <c r="K142" s="23">
        <f>'Total and digestible IAA'!AP142/$K$2</f>
        <v>0.98110020061239567</v>
      </c>
      <c r="L142" s="24">
        <f t="shared" si="2"/>
        <v>29.294000449885921</v>
      </c>
      <c r="M142" s="14" t="s">
        <v>8</v>
      </c>
    </row>
    <row r="143" spans="1:13" s="4" customFormat="1" x14ac:dyDescent="0.25">
      <c r="A143" s="4" t="s">
        <v>137</v>
      </c>
      <c r="B143" s="5" t="s">
        <v>123</v>
      </c>
      <c r="C143" s="23">
        <f>'Total and digestible IAA'!AH143/$C$2</f>
        <v>0.57124183006535956</v>
      </c>
      <c r="D143" s="23">
        <f>'Total and digestible IAA'!AI143/$D$2</f>
        <v>0.58383838383838382</v>
      </c>
      <c r="E143" s="23">
        <f>'Total and digestible IAA'!AJ143/$E$2</f>
        <v>0.60606060606060608</v>
      </c>
      <c r="F143" s="23">
        <f>'Total and digestible IAA'!AK143/$F$2</f>
        <v>0.6060185185185184</v>
      </c>
      <c r="G143" s="23">
        <f>'Total and digestible IAA'!AL143/$G$2</f>
        <v>0.38121309715512613</v>
      </c>
      <c r="H143" s="23">
        <f>'Total and digestible IAA'!AM143/$H$2</f>
        <v>0.81750841750841752</v>
      </c>
      <c r="I143" s="23">
        <f>'Total and digestible IAA'!AN143/$I$2</f>
        <v>0.55657998423955879</v>
      </c>
      <c r="J143" s="23">
        <f>'Total and digestible IAA'!AO143/$J$2</f>
        <v>0.73737373737373724</v>
      </c>
      <c r="K143" s="23">
        <f>'Total and digestible IAA'!AP143/$K$2</f>
        <v>0.97883597883597906</v>
      </c>
      <c r="L143" s="24">
        <f t="shared" si="2"/>
        <v>38.121309715512616</v>
      </c>
      <c r="M143" s="14" t="s">
        <v>8</v>
      </c>
    </row>
    <row r="144" spans="1:13" s="4" customFormat="1" x14ac:dyDescent="0.25">
      <c r="A144" s="4" t="s">
        <v>63</v>
      </c>
      <c r="B144" s="5" t="s">
        <v>123</v>
      </c>
      <c r="C144" s="23">
        <f>'Total and digestible IAA'!AH144/$C$2</f>
        <v>0.70175219023779722</v>
      </c>
      <c r="D144" s="23">
        <f>'Total and digestible IAA'!AI144/$D$2</f>
        <v>0.76987427466150882</v>
      </c>
      <c r="E144" s="23">
        <f>'Total and digestible IAA'!AJ144/$E$2</f>
        <v>0.75203094777562862</v>
      </c>
      <c r="F144" s="23">
        <f>'Total and digestible IAA'!AK144/$F$2</f>
        <v>0.71210106382978722</v>
      </c>
      <c r="G144" s="23">
        <f>'Total and digestible IAA'!AL144/$G$2</f>
        <v>0.81036077705827947</v>
      </c>
      <c r="H144" s="23">
        <f>'Total and digestible IAA'!AM144/$H$2</f>
        <v>0.80128949065119282</v>
      </c>
      <c r="I144" s="23">
        <f>'Total and digestible IAA'!AN144/$I$2</f>
        <v>0.83383884110457229</v>
      </c>
      <c r="J144" s="23">
        <f>'Total and digestible IAA'!AO144/$J$2</f>
        <v>0.76936170212765975</v>
      </c>
      <c r="K144" s="23">
        <f>'Total and digestible IAA'!AP144/$K$2</f>
        <v>1.1709219858156028</v>
      </c>
      <c r="L144" s="24">
        <f t="shared" si="2"/>
        <v>70.175219023779718</v>
      </c>
      <c r="M144" s="14" t="s">
        <v>6</v>
      </c>
    </row>
    <row r="145" spans="1:14" s="4" customFormat="1" x14ac:dyDescent="0.25">
      <c r="A145" s="4" t="s">
        <v>64</v>
      </c>
      <c r="B145" s="5" t="s">
        <v>123</v>
      </c>
      <c r="C145" s="23">
        <f>'Total and digestible IAA'!AH145/$C$2</f>
        <v>0.71919191919191905</v>
      </c>
      <c r="D145" s="23">
        <f>'Total and digestible IAA'!AI145/$D$2</f>
        <v>0.75417814508723602</v>
      </c>
      <c r="E145" s="23">
        <f>'Total and digestible IAA'!AJ145/$E$2</f>
        <v>0.74207529843893483</v>
      </c>
      <c r="F145" s="23">
        <f>'Total and digestible IAA'!AK145/$F$2</f>
        <v>0.70608164983164989</v>
      </c>
      <c r="G145" s="23">
        <f>'Total and digestible IAA'!AL145/$G$2</f>
        <v>0.80257648953301131</v>
      </c>
      <c r="H145" s="23">
        <f>'Total and digestible IAA'!AM145/$H$2</f>
        <v>0.80091827364554635</v>
      </c>
      <c r="I145" s="23">
        <f>'Total and digestible IAA'!AN145/$I$2</f>
        <v>0.82581130453470886</v>
      </c>
      <c r="J145" s="23">
        <f>'Total and digestible IAA'!AO145/$J$2</f>
        <v>0.7725252525252525</v>
      </c>
      <c r="K145" s="23">
        <f>'Total and digestible IAA'!AP145/$K$2</f>
        <v>1.1515151515151516</v>
      </c>
      <c r="L145" s="24">
        <f t="shared" si="2"/>
        <v>70.608164983164983</v>
      </c>
      <c r="M145" s="14" t="s">
        <v>526</v>
      </c>
    </row>
    <row r="146" spans="1:14" s="4" customFormat="1" x14ac:dyDescent="0.25">
      <c r="A146" s="4" t="s">
        <v>67</v>
      </c>
      <c r="B146" s="5" t="s">
        <v>123</v>
      </c>
      <c r="C146" s="23">
        <f>'Total and digestible IAA'!AH146/$C$2</f>
        <v>0.72657123685976288</v>
      </c>
      <c r="D146" s="23">
        <f>'Total and digestible IAA'!AI146/$D$2</f>
        <v>0.7555737988247494</v>
      </c>
      <c r="E146" s="23">
        <f>'Total and digestible IAA'!AJ146/$E$2</f>
        <v>0.73833390943657096</v>
      </c>
      <c r="F146" s="23">
        <f>'Total and digestible IAA'!AK146/$F$2</f>
        <v>0.70853136882129286</v>
      </c>
      <c r="G146" s="23">
        <f>'Total and digestible IAA'!AL146/$G$2</f>
        <v>0.81087783104645406</v>
      </c>
      <c r="H146" s="23">
        <f>'Total and digestible IAA'!AM146/$H$2</f>
        <v>0.79945846295656176</v>
      </c>
      <c r="I146" s="23">
        <f>'Total and digestible IAA'!AN146/$I$2</f>
        <v>0.82467033411536295</v>
      </c>
      <c r="J146" s="23">
        <f>'Total and digestible IAA'!AO146/$J$2</f>
        <v>0.76958174904942955</v>
      </c>
      <c r="K146" s="23">
        <f>'Total and digestible IAA'!AP146/$K$2</f>
        <v>1.1615969581749048</v>
      </c>
      <c r="L146" s="24">
        <f t="shared" si="2"/>
        <v>70.853136882129292</v>
      </c>
      <c r="M146" s="14" t="s">
        <v>526</v>
      </c>
    </row>
    <row r="147" spans="1:14" s="4" customFormat="1" x14ac:dyDescent="0.25">
      <c r="A147" s="4" t="s">
        <v>69</v>
      </c>
      <c r="B147" s="5" t="s">
        <v>123</v>
      </c>
      <c r="C147" s="23">
        <f>'Total and digestible IAA'!AH147/$C$2</f>
        <v>0.72657123685976288</v>
      </c>
      <c r="D147" s="23">
        <f>'Total and digestible IAA'!AI147/$D$2</f>
        <v>0.7555737988247494</v>
      </c>
      <c r="E147" s="23">
        <f>'Total and digestible IAA'!AJ147/$E$2</f>
        <v>0.73833390943657096</v>
      </c>
      <c r="F147" s="23">
        <f>'Total and digestible IAA'!AK147/$F$2</f>
        <v>0.70853136882129286</v>
      </c>
      <c r="G147" s="23">
        <f>'Total and digestible IAA'!AL147/$G$2</f>
        <v>0.81087783104645406</v>
      </c>
      <c r="H147" s="23">
        <f>'Total and digestible IAA'!AM147/$H$2</f>
        <v>0.79945846295656176</v>
      </c>
      <c r="I147" s="23">
        <f>'Total and digestible IAA'!AN147/$I$2</f>
        <v>0.82467033411536295</v>
      </c>
      <c r="J147" s="23">
        <f>'Total and digestible IAA'!AO147/$J$2</f>
        <v>0.76958174904942955</v>
      </c>
      <c r="K147" s="23">
        <f>'Total and digestible IAA'!AP147/$K$2</f>
        <v>1.1615969581749048</v>
      </c>
      <c r="L147" s="24">
        <f t="shared" si="2"/>
        <v>70.853136882129292</v>
      </c>
      <c r="M147" s="14" t="s">
        <v>526</v>
      </c>
    </row>
    <row r="148" spans="1:14" s="4" customFormat="1" x14ac:dyDescent="0.25">
      <c r="A148" s="4" t="s">
        <v>71</v>
      </c>
      <c r="B148" s="5" t="s">
        <v>123</v>
      </c>
      <c r="C148" s="23">
        <f>'Total and digestible IAA'!AH148/$C$2</f>
        <v>0.74669650468883209</v>
      </c>
      <c r="D148" s="23">
        <f>'Total and digestible IAA'!AI148/$D$2</f>
        <v>0.76585144927536242</v>
      </c>
      <c r="E148" s="23">
        <f>'Total and digestible IAA'!AJ148/$E$2</f>
        <v>0.75233860342556003</v>
      </c>
      <c r="F148" s="23">
        <f>'Total and digestible IAA'!AK148/$F$2</f>
        <v>0.72467542270531393</v>
      </c>
      <c r="G148" s="23">
        <f>'Total and digestible IAA'!AL148/$G$2</f>
        <v>0.82850241545893721</v>
      </c>
      <c r="H148" s="23">
        <f>'Total and digestible IAA'!AM148/$H$2</f>
        <v>0.82405577514273165</v>
      </c>
      <c r="I148" s="23">
        <f>'Total and digestible IAA'!AN148/$I$2</f>
        <v>0.84239130434782594</v>
      </c>
      <c r="J148" s="23">
        <f>'Total and digestible IAA'!AO148/$J$2</f>
        <v>0.78853754940711462</v>
      </c>
      <c r="K148" s="23">
        <f>'Total and digestible IAA'!AP148/$K$2</f>
        <v>1.1666666666666665</v>
      </c>
      <c r="L148" s="24">
        <f t="shared" si="2"/>
        <v>72.467542270531396</v>
      </c>
      <c r="M148" s="14" t="s">
        <v>526</v>
      </c>
    </row>
    <row r="149" spans="1:14" s="4" customFormat="1" x14ac:dyDescent="0.25">
      <c r="A149" s="4" t="s">
        <v>265</v>
      </c>
      <c r="B149" s="5" t="s">
        <v>123</v>
      </c>
      <c r="C149" s="23">
        <f>'Total and digestible IAA'!AH149/$C$2</f>
        <v>0.73018611601684558</v>
      </c>
      <c r="D149" s="23">
        <f>'Total and digestible IAA'!AI149/$D$2</f>
        <v>0.74774301910560548</v>
      </c>
      <c r="E149" s="23">
        <f>'Total and digestible IAA'!AJ149/$E$2</f>
        <v>0.76597102666386729</v>
      </c>
      <c r="F149" s="23">
        <f>'Total and digestible IAA'!AK149/$F$2</f>
        <v>0.71324095458044645</v>
      </c>
      <c r="G149" s="23">
        <f>'Total and digestible IAA'!AL149/$G$2</f>
        <v>0.81825484486394218</v>
      </c>
      <c r="H149" s="23">
        <f>'Total and digestible IAA'!AM149/$H$2</f>
        <v>0.70458394569249072</v>
      </c>
      <c r="I149" s="23">
        <f>'Total and digestible IAA'!AN149/$I$2</f>
        <v>0.83162743845511278</v>
      </c>
      <c r="J149" s="23">
        <f>'Total and digestible IAA'!AO149/$J$2</f>
        <v>0.77009447826999777</v>
      </c>
      <c r="K149" s="23">
        <f>'Total and digestible IAA'!AP149/$K$2</f>
        <v>1.104519960409106</v>
      </c>
      <c r="L149" s="24">
        <f t="shared" si="2"/>
        <v>70.458394569249066</v>
      </c>
      <c r="M149" s="14" t="s">
        <v>355</v>
      </c>
    </row>
    <row r="150" spans="1:14" s="4" customFormat="1" x14ac:dyDescent="0.25">
      <c r="A150" s="4" t="s">
        <v>266</v>
      </c>
      <c r="B150" s="5" t="s">
        <v>123</v>
      </c>
      <c r="C150" s="23">
        <f>'Total and digestible IAA'!AH150/$C$2</f>
        <v>0.74587479531427126</v>
      </c>
      <c r="D150" s="23">
        <f>'Total and digestible IAA'!AI150/$D$2</f>
        <v>0.75490072026474597</v>
      </c>
      <c r="E150" s="23">
        <f>'Total and digestible IAA'!AJ150/$E$2</f>
        <v>0.82051002530659933</v>
      </c>
      <c r="F150" s="23">
        <f>'Total and digestible IAA'!AK150/$F$2</f>
        <v>0.75040149892933616</v>
      </c>
      <c r="G150" s="23">
        <f>'Total and digestible IAA'!AL150/$G$2</f>
        <v>0.84602923377711581</v>
      </c>
      <c r="H150" s="23">
        <f>'Total and digestible IAA'!AM150/$H$2</f>
        <v>0.74304068522483946</v>
      </c>
      <c r="I150" s="23">
        <f>'Total and digestible IAA'!AN150/$I$2</f>
        <v>0.86030115267210372</v>
      </c>
      <c r="J150" s="23">
        <f>'Total and digestible IAA'!AO150/$J$2</f>
        <v>0.83312439166828889</v>
      </c>
      <c r="K150" s="23">
        <f>'Total and digestible IAA'!AP150/$K$2</f>
        <v>1.1785867237687366</v>
      </c>
      <c r="L150" s="24">
        <f t="shared" si="2"/>
        <v>74.304068522483945</v>
      </c>
      <c r="M150" s="14" t="s">
        <v>355</v>
      </c>
    </row>
    <row r="151" spans="1:14" s="4" customFormat="1" x14ac:dyDescent="0.25">
      <c r="A151" s="4" t="s">
        <v>103</v>
      </c>
      <c r="B151" s="5" t="s">
        <v>123</v>
      </c>
      <c r="C151" s="23">
        <f>'Total and digestible IAA'!AH151/$C$2</f>
        <v>0.63137254901960782</v>
      </c>
      <c r="D151" s="23">
        <f>'Total and digestible IAA'!AI151/$D$2</f>
        <v>0.66477272727272729</v>
      </c>
      <c r="E151" s="23">
        <f>'Total and digestible IAA'!AJ151/$E$2</f>
        <v>0.6310606060606061</v>
      </c>
      <c r="F151" s="23">
        <f>'Total and digestible IAA'!AK151/$F$2</f>
        <v>0.54108796296296291</v>
      </c>
      <c r="G151" s="23">
        <f>'Total and digestible IAA'!AL151/$G$2</f>
        <v>0.42584541062801928</v>
      </c>
      <c r="H151" s="23">
        <f>'Total and digestible IAA'!AM151/$H$2</f>
        <v>1.0483164983164985</v>
      </c>
      <c r="I151" s="23">
        <f>'Total and digestible IAA'!AN151/$I$2</f>
        <v>0.62712765957446814</v>
      </c>
      <c r="J151" s="23">
        <f>'Total and digestible IAA'!AO151/$J$2</f>
        <v>0.73777777777777787</v>
      </c>
      <c r="K151" s="23">
        <f>'Total and digestible IAA'!AP151/$K$2</f>
        <v>0.95555555555555538</v>
      </c>
      <c r="L151" s="24">
        <f t="shared" si="2"/>
        <v>42.584541062801925</v>
      </c>
      <c r="M151" s="14" t="s">
        <v>8</v>
      </c>
    </row>
    <row r="152" spans="1:14" s="4" customFormat="1" x14ac:dyDescent="0.25">
      <c r="A152" s="4" t="s">
        <v>105</v>
      </c>
      <c r="B152" s="5" t="s">
        <v>123</v>
      </c>
      <c r="C152" s="23">
        <f>'Total and digestible IAA'!AH152/$C$2</f>
        <v>0.58139534883720934</v>
      </c>
      <c r="D152" s="23">
        <f>'Total and digestible IAA'!AI152/$D$2</f>
        <v>0.61090556730091616</v>
      </c>
      <c r="E152" s="23">
        <f>'Total and digestible IAA'!AJ152/$E$2</f>
        <v>0.57716701902748413</v>
      </c>
      <c r="F152" s="23">
        <f>'Total and digestible IAA'!AK152/$F$2</f>
        <v>0.49757751937984501</v>
      </c>
      <c r="G152" s="23">
        <f>'Total and digestible IAA'!AL152/$G$2</f>
        <v>0.41411077407032915</v>
      </c>
      <c r="H152" s="23">
        <f>'Total and digestible IAA'!AM152/$H$2</f>
        <v>0.95795160911439969</v>
      </c>
      <c r="I152" s="23">
        <f>'Total and digestible IAA'!AN152/$I$2</f>
        <v>0.59838363846280718</v>
      </c>
      <c r="J152" s="23">
        <f>'Total and digestible IAA'!AO152/$J$2</f>
        <v>0.66412966878083157</v>
      </c>
      <c r="K152" s="23">
        <f>'Total and digestible IAA'!AP152/$K$2</f>
        <v>0.94186046511627908</v>
      </c>
      <c r="L152" s="24">
        <f t="shared" si="2"/>
        <v>41.411077407032913</v>
      </c>
      <c r="M152" s="14" t="s">
        <v>8</v>
      </c>
    </row>
    <row r="153" spans="1:14" s="4" customFormat="1" x14ac:dyDescent="0.25">
      <c r="A153" s="4" t="s">
        <v>107</v>
      </c>
      <c r="B153" s="5" t="s">
        <v>123</v>
      </c>
      <c r="C153" s="23">
        <f>'Total and digestible IAA'!AH153/$C$2</f>
        <v>0.62376237623762376</v>
      </c>
      <c r="D153" s="23">
        <f>'Total and digestible IAA'!AI153/$D$2</f>
        <v>0.6734923492349234</v>
      </c>
      <c r="E153" s="23">
        <f>'Total and digestible IAA'!AJ153/$E$2</f>
        <v>0.62754275427542761</v>
      </c>
      <c r="F153" s="23">
        <f>'Total and digestible IAA'!AK153/$F$2</f>
        <v>0.54352310231023104</v>
      </c>
      <c r="G153" s="23">
        <f>'Total and digestible IAA'!AL153/$G$2</f>
        <v>0.42875591907016786</v>
      </c>
      <c r="H153" s="23">
        <f>'Total and digestible IAA'!AM153/$H$2</f>
        <v>1.0393789378937894</v>
      </c>
      <c r="I153" s="23">
        <f>'Total and digestible IAA'!AN153/$I$2</f>
        <v>0.62328839266905411</v>
      </c>
      <c r="J153" s="23">
        <f>'Total and digestible IAA'!AO153/$J$2</f>
        <v>0.74333933393339335</v>
      </c>
      <c r="K153" s="23">
        <f>'Total and digestible IAA'!AP153/$K$2</f>
        <v>0.96039603960396036</v>
      </c>
      <c r="L153" s="24">
        <f t="shared" si="2"/>
        <v>42.875591907016783</v>
      </c>
      <c r="M153" s="14" t="s">
        <v>8</v>
      </c>
    </row>
    <row r="154" spans="1:14" s="4" customFormat="1" x14ac:dyDescent="0.25">
      <c r="A154" s="4" t="s">
        <v>109</v>
      </c>
      <c r="B154" s="5" t="s">
        <v>123</v>
      </c>
      <c r="C154" s="23">
        <f>'Total and digestible IAA'!AH154/$C$2</f>
        <v>0.56045219390687873</v>
      </c>
      <c r="D154" s="23">
        <f>'Total and digestible IAA'!AI154/$D$2</f>
        <v>0.60527095054782354</v>
      </c>
      <c r="E154" s="23">
        <f>'Total and digestible IAA'!AJ154/$E$2</f>
        <v>0.57743559372223863</v>
      </c>
      <c r="F154" s="23">
        <f>'Total and digestible IAA'!AK154/$F$2</f>
        <v>0.50125542888165042</v>
      </c>
      <c r="G154" s="23">
        <f>'Total and digestible IAA'!AL154/$G$2</f>
        <v>0.40183165746117167</v>
      </c>
      <c r="H154" s="23">
        <f>'Total and digestible IAA'!AM154/$H$2</f>
        <v>0.95528575658868842</v>
      </c>
      <c r="I154" s="23">
        <f>'Total and digestible IAA'!AN154/$I$2</f>
        <v>0.59817035137570174</v>
      </c>
      <c r="J154" s="23">
        <f>'Total and digestible IAA'!AO154/$J$2</f>
        <v>0.67065442700621858</v>
      </c>
      <c r="K154" s="23">
        <f>'Total and digestible IAA'!AP154/$K$2</f>
        <v>0.92973476035365299</v>
      </c>
      <c r="L154" s="24">
        <f t="shared" si="2"/>
        <v>40.183165746117169</v>
      </c>
      <c r="M154" s="14" t="s">
        <v>8</v>
      </c>
    </row>
    <row r="155" spans="1:14" s="6" customFormat="1" x14ac:dyDescent="0.25">
      <c r="C155" s="36"/>
      <c r="D155" s="36"/>
      <c r="E155" s="36"/>
      <c r="F155" s="36"/>
      <c r="G155" s="36"/>
      <c r="H155" s="36"/>
      <c r="I155" s="36"/>
      <c r="J155" s="36"/>
      <c r="K155" s="36"/>
      <c r="L155" s="37"/>
      <c r="M155" s="16"/>
    </row>
    <row r="156" spans="1:14" x14ac:dyDescent="0.25">
      <c r="A156" s="5" t="s">
        <v>192</v>
      </c>
      <c r="B156" s="5" t="s">
        <v>212</v>
      </c>
      <c r="C156" s="23">
        <f>'Total and digestible IAA'!AH156/$C$2</f>
        <v>0.49245184799583547</v>
      </c>
      <c r="D156" s="23">
        <f>'Total and digestible IAA'!AI156/$D$2</f>
        <v>0.83832796996513814</v>
      </c>
      <c r="E156" s="23">
        <f>'Total and digestible IAA'!AJ156/$E$2</f>
        <v>0.67597211048538475</v>
      </c>
      <c r="F156" s="23">
        <f>'Total and digestible IAA'!AK156/$F$2</f>
        <v>0.68553343166175029</v>
      </c>
      <c r="G156" s="23">
        <f>'Total and digestible IAA'!AL156/$G$2</f>
        <v>0.98621264588944479</v>
      </c>
      <c r="H156" s="23">
        <f>'Total and digestible IAA'!AM156/$H$2</f>
        <v>0.97076964333601501</v>
      </c>
      <c r="I156" s="23">
        <f>'Total and digestible IAA'!AN156/$I$2</f>
        <v>0.66966359128852071</v>
      </c>
      <c r="J156" s="23">
        <f>'Total and digestible IAA'!AO156/$J$2</f>
        <v>0.81576830249396615</v>
      </c>
      <c r="K156" s="23">
        <f>'Total and digestible IAA'!AP156/$K$2</f>
        <v>1.1001545160837198</v>
      </c>
      <c r="L156" s="24">
        <f t="shared" si="2"/>
        <v>49.245184799583548</v>
      </c>
      <c r="M156" s="15" t="s">
        <v>6</v>
      </c>
    </row>
    <row r="157" spans="1:14" x14ac:dyDescent="0.25">
      <c r="A157" s="5" t="s">
        <v>196</v>
      </c>
      <c r="B157" s="5" t="s">
        <v>212</v>
      </c>
      <c r="C157" s="23">
        <f>'Total and digestible IAA'!AH157/$C$2</f>
        <v>0.52575089441717282</v>
      </c>
      <c r="D157" s="23">
        <f>'Total and digestible IAA'!AI157/$D$2</f>
        <v>0.8665295100938667</v>
      </c>
      <c r="E157" s="23">
        <f>'Total and digestible IAA'!AJ157/$E$2</f>
        <v>0.70075864729330084</v>
      </c>
      <c r="F157" s="23">
        <f>'Total and digestible IAA'!AK157/$F$2</f>
        <v>0.70217468175388975</v>
      </c>
      <c r="G157" s="23">
        <f>'Total and digestible IAA'!AL157/$G$2</f>
        <v>1.012299366582621</v>
      </c>
      <c r="H157" s="23">
        <f>'Total and digestible IAA'!AM157/$H$2</f>
        <v>0.99018473275899033</v>
      </c>
      <c r="I157" s="23">
        <f>'Total and digestible IAA'!AN157/$I$2</f>
        <v>0.67970748442625428</v>
      </c>
      <c r="J157" s="23">
        <f>'Total and digestible IAA'!AO157/$J$2</f>
        <v>0.83281471004243302</v>
      </c>
      <c r="K157" s="23">
        <f>'Total and digestible IAA'!AP157/$K$2</f>
        <v>1.0610224287734895</v>
      </c>
      <c r="L157" s="24">
        <f t="shared" si="2"/>
        <v>52.575089441717282</v>
      </c>
      <c r="M157" s="15" t="s">
        <v>6</v>
      </c>
    </row>
    <row r="158" spans="1:14" x14ac:dyDescent="0.25">
      <c r="A158" s="5" t="s">
        <v>198</v>
      </c>
      <c r="B158" s="5" t="s">
        <v>212</v>
      </c>
      <c r="C158" s="23">
        <f>'Total and digestible IAA'!AH158/$C$2</f>
        <v>0.55709342560553632</v>
      </c>
      <c r="D158" s="23">
        <f>'Total and digestible IAA'!AI158/$D$2</f>
        <v>0.88539134662129304</v>
      </c>
      <c r="E158" s="23">
        <f>'Total and digestible IAA'!AJ158/$E$2</f>
        <v>0.7197374817695672</v>
      </c>
      <c r="F158" s="23">
        <f>'Total and digestible IAA'!AK158/$F$2</f>
        <v>0.71043616310160429</v>
      </c>
      <c r="G158" s="23">
        <f>'Total and digestible IAA'!AL158/$G$2</f>
        <v>1.0381306672866775</v>
      </c>
      <c r="H158" s="23">
        <f>'Total and digestible IAA'!AM158/$H$2</f>
        <v>1.0200129638632311</v>
      </c>
      <c r="I158" s="23">
        <f>'Total and digestible IAA'!AN158/$I$2</f>
        <v>0.69043690977358063</v>
      </c>
      <c r="J158" s="23">
        <f>'Total and digestible IAA'!AO158/$J$2</f>
        <v>0.84093339815264956</v>
      </c>
      <c r="K158" s="23">
        <f>'Total and digestible IAA'!AP158/$K$2</f>
        <v>1.0425261013496308</v>
      </c>
      <c r="L158" s="24">
        <f t="shared" si="2"/>
        <v>55.70934256055363</v>
      </c>
      <c r="M158" s="15" t="s">
        <v>6</v>
      </c>
    </row>
    <row r="159" spans="1:14" x14ac:dyDescent="0.25">
      <c r="A159" s="5" t="s">
        <v>25</v>
      </c>
      <c r="B159" s="5" t="s">
        <v>212</v>
      </c>
      <c r="C159" s="23"/>
      <c r="D159" s="23"/>
      <c r="E159" s="23"/>
      <c r="F159" s="23"/>
      <c r="G159" s="23"/>
      <c r="H159" s="23"/>
      <c r="I159" s="23"/>
      <c r="J159" s="23"/>
      <c r="K159" s="23"/>
      <c r="L159" s="24"/>
      <c r="M159" s="15"/>
    </row>
    <row r="160" spans="1:14" x14ac:dyDescent="0.25">
      <c r="A160" s="5" t="s">
        <v>279</v>
      </c>
      <c r="B160" s="5" t="s">
        <v>212</v>
      </c>
      <c r="C160" s="23"/>
      <c r="D160" s="23">
        <f>'Total and digestible IAA'!AI160/$D$2</f>
        <v>0.4285363636363636</v>
      </c>
      <c r="E160" s="23">
        <f>'Total and digestible IAA'!AJ160/$E$2</f>
        <v>0.20419636363636365</v>
      </c>
      <c r="F160" s="23">
        <f>'Total and digestible IAA'!AK160/$F$2</f>
        <v>0.2407604166666667</v>
      </c>
      <c r="G160" s="23">
        <f>'Total and digestible IAA'!AL160/$G$2</f>
        <v>0.7182608695652174</v>
      </c>
      <c r="H160" s="23">
        <f>'Total and digestible IAA'!AM160/$H$2</f>
        <v>0.37801212121212119</v>
      </c>
      <c r="I160" s="23">
        <f>'Total and digestible IAA'!AN160/$I$2</f>
        <v>0.15147234042553193</v>
      </c>
      <c r="J160" s="23">
        <f>'Total and digestible IAA'!AO160/$J$2</f>
        <v>0.24054545454545456</v>
      </c>
      <c r="K160" s="23">
        <f>'Total and digestible IAA'!AP160/$K$2</f>
        <v>0.56891428571428571</v>
      </c>
      <c r="L160" s="24">
        <f t="shared" si="2"/>
        <v>15.147234042553192</v>
      </c>
      <c r="M160" s="15" t="s">
        <v>356</v>
      </c>
      <c r="N160" s="5" t="s">
        <v>529</v>
      </c>
    </row>
    <row r="161" spans="1:14" x14ac:dyDescent="0.25">
      <c r="A161" s="5" t="s">
        <v>207</v>
      </c>
      <c r="B161" s="5" t="s">
        <v>212</v>
      </c>
      <c r="C161" s="23">
        <f>'Total and digestible IAA'!AH161/$C$2</f>
        <v>0.43227822306751795</v>
      </c>
      <c r="D161" s="23">
        <f>'Total and digestible IAA'!AI161/$D$2</f>
        <v>0.60922737770312818</v>
      </c>
      <c r="E161" s="23">
        <f>'Total and digestible IAA'!AJ161/$E$2</f>
        <v>0.54070963678353978</v>
      </c>
      <c r="F161" s="23">
        <f>'Total and digestible IAA'!AK161/$F$2</f>
        <v>0.50858833718244811</v>
      </c>
      <c r="G161" s="23">
        <f>'Total and digestible IAA'!AL161/$G$2</f>
        <v>0.53753723600093717</v>
      </c>
      <c r="H161" s="23">
        <f>'Total and digestible IAA'!AM161/$H$2</f>
        <v>0.74469871929456211</v>
      </c>
      <c r="I161" s="23">
        <f>'Total and digestible IAA'!AN161/$I$2</f>
        <v>0.78585818878679192</v>
      </c>
      <c r="J161" s="23">
        <f>'Total and digestible IAA'!AO161/$J$2</f>
        <v>0.64988452655889151</v>
      </c>
      <c r="K161" s="23">
        <f>'Total and digestible IAA'!AP161/$K$2</f>
        <v>0.7906081601231717</v>
      </c>
      <c r="L161" s="24">
        <f t="shared" si="2"/>
        <v>43.227822306751797</v>
      </c>
      <c r="M161" s="15" t="s">
        <v>6</v>
      </c>
    </row>
    <row r="162" spans="1:14" s="6" customFormat="1" x14ac:dyDescent="0.25">
      <c r="C162" s="36"/>
      <c r="D162" s="36"/>
      <c r="E162" s="36"/>
      <c r="F162" s="36"/>
      <c r="G162" s="36"/>
      <c r="H162" s="36"/>
      <c r="I162" s="36"/>
      <c r="J162" s="36"/>
      <c r="K162" s="36"/>
      <c r="L162" s="37"/>
      <c r="M162" s="16"/>
    </row>
    <row r="163" spans="1:14" x14ac:dyDescent="0.25">
      <c r="A163" s="5" t="s">
        <v>232</v>
      </c>
      <c r="B163" s="5" t="s">
        <v>24</v>
      </c>
      <c r="C163" s="23"/>
      <c r="D163" s="23">
        <f>'Total and digestible IAA'!AI163/$D$2</f>
        <v>0.9950647845781101</v>
      </c>
      <c r="E163" s="23">
        <f>'Total and digestible IAA'!AJ163/$E$2</f>
        <v>0.73296112925313384</v>
      </c>
      <c r="F163" s="23">
        <f>'Total and digestible IAA'!AK163/$F$2</f>
        <v>0.76469438006952484</v>
      </c>
      <c r="G163" s="23">
        <f>'Total and digestible IAA'!AL163/$G$2</f>
        <v>1.0091692276689002</v>
      </c>
      <c r="H163" s="23"/>
      <c r="I163" s="23">
        <f>'Total and digestible IAA'!AN163/$I$2</f>
        <v>0.68322649836049421</v>
      </c>
      <c r="J163" s="23">
        <f>'Total and digestible IAA'!AO163/$J$2</f>
        <v>0.77562625092173165</v>
      </c>
      <c r="K163" s="23">
        <f>'Total and digestible IAA'!AP163/$K$2</f>
        <v>1.5278927329912264</v>
      </c>
      <c r="L163" s="24">
        <f t="shared" si="2"/>
        <v>68.322649836049422</v>
      </c>
      <c r="M163" s="15" t="s">
        <v>356</v>
      </c>
      <c r="N163" s="5" t="s">
        <v>530</v>
      </c>
    </row>
    <row r="164" spans="1:14" x14ac:dyDescent="0.25">
      <c r="A164" s="5" t="s">
        <v>233</v>
      </c>
      <c r="B164" s="5" t="s">
        <v>24</v>
      </c>
      <c r="C164" s="23"/>
      <c r="D164" s="23">
        <f>'Total and digestible IAA'!AI164/$D$2</f>
        <v>0.93775190326914459</v>
      </c>
      <c r="E164" s="23">
        <f>'Total and digestible IAA'!AJ164/$E$2</f>
        <v>0.68571428571428572</v>
      </c>
      <c r="F164" s="23">
        <f>'Total and digestible IAA'!AK164/$F$2</f>
        <v>0.73506773399014769</v>
      </c>
      <c r="G164" s="23">
        <f>'Total and digestible IAA'!AL164/$G$2</f>
        <v>1.0354465624330693</v>
      </c>
      <c r="H164" s="23"/>
      <c r="I164" s="23">
        <f>'Total and digestible IAA'!AN164/$I$2</f>
        <v>0.66667540090137301</v>
      </c>
      <c r="J164" s="23">
        <f>'Total and digestible IAA'!AO164/$J$2</f>
        <v>0.73949843260188097</v>
      </c>
      <c r="K164" s="23">
        <f>'Total and digestible IAA'!AP164/$K$2</f>
        <v>1.7122331691297208</v>
      </c>
      <c r="L164" s="24">
        <f t="shared" si="2"/>
        <v>66.667540090137294</v>
      </c>
      <c r="M164" s="15" t="s">
        <v>356</v>
      </c>
      <c r="N164" s="5" t="s">
        <v>530</v>
      </c>
    </row>
    <row r="165" spans="1:14" x14ac:dyDescent="0.25">
      <c r="A165" s="5" t="s">
        <v>234</v>
      </c>
      <c r="B165" s="5" t="s">
        <v>24</v>
      </c>
      <c r="C165" s="23"/>
      <c r="D165" s="23">
        <f>'Total and digestible IAA'!AI165/$D$2</f>
        <v>0.8464109419991771</v>
      </c>
      <c r="E165" s="23">
        <f>'Total and digestible IAA'!AJ165/$E$2</f>
        <v>0.64298642533936634</v>
      </c>
      <c r="F165" s="23">
        <f>'Total and digestible IAA'!AK165/$F$2</f>
        <v>0.66400358220211153</v>
      </c>
      <c r="G165" s="23">
        <f>'Total and digestible IAA'!AL165/$G$2</f>
        <v>0.92061774542592956</v>
      </c>
      <c r="H165" s="23"/>
      <c r="I165" s="23">
        <f>'Total and digestible IAA'!AN165/$I$2</f>
        <v>0.60265235390391836</v>
      </c>
      <c r="J165" s="23">
        <f>'Total and digestible IAA'!AO165/$J$2</f>
        <v>0.62445495680789809</v>
      </c>
      <c r="K165" s="23">
        <f>'Total and digestible IAA'!AP165/$K$2</f>
        <v>1.5467571644042233</v>
      </c>
      <c r="L165" s="24">
        <f t="shared" si="2"/>
        <v>60.265235390391837</v>
      </c>
      <c r="M165" s="15" t="s">
        <v>356</v>
      </c>
      <c r="N165" s="5" t="s">
        <v>530</v>
      </c>
    </row>
    <row r="166" spans="1:14" x14ac:dyDescent="0.25">
      <c r="A166" s="5" t="s">
        <v>235</v>
      </c>
      <c r="B166" s="5" t="s">
        <v>24</v>
      </c>
      <c r="C166" s="23"/>
      <c r="D166" s="23">
        <f>'Total and digestible IAA'!AI166/$D$2</f>
        <v>1.0101974397917119</v>
      </c>
      <c r="E166" s="23">
        <f>'Total and digestible IAA'!AJ166/$E$2</f>
        <v>0.71789976133651545</v>
      </c>
      <c r="F166" s="23">
        <f>'Total and digestible IAA'!AK166/$F$2</f>
        <v>0.74944063245823378</v>
      </c>
      <c r="G166" s="23">
        <f>'Total and digestible IAA'!AL166/$G$2</f>
        <v>0.92627373664003321</v>
      </c>
      <c r="H166" s="23"/>
      <c r="I166" s="23">
        <f>'Total and digestible IAA'!AN166/$I$2</f>
        <v>0.66484283755649209</v>
      </c>
      <c r="J166" s="23">
        <f>'Total and digestible IAA'!AO166/$J$2</f>
        <v>0.77396398351052287</v>
      </c>
      <c r="K166" s="23">
        <f>'Total and digestible IAA'!AP166/$K$2</f>
        <v>1.7220706898511191</v>
      </c>
      <c r="L166" s="24">
        <f t="shared" si="2"/>
        <v>66.484283755649216</v>
      </c>
      <c r="M166" s="15" t="s">
        <v>356</v>
      </c>
      <c r="N166" s="5" t="s">
        <v>530</v>
      </c>
    </row>
    <row r="167" spans="1:14" x14ac:dyDescent="0.25">
      <c r="A167" s="5" t="s">
        <v>236</v>
      </c>
      <c r="B167" s="5" t="s">
        <v>24</v>
      </c>
      <c r="C167" s="23"/>
      <c r="D167" s="23">
        <f>'Total and digestible IAA'!AI167/$D$2</f>
        <v>0.8575112830431979</v>
      </c>
      <c r="E167" s="23">
        <f>'Total and digestible IAA'!AJ167/$E$2</f>
        <v>0.66170212765957448</v>
      </c>
      <c r="F167" s="23">
        <f>'Total and digestible IAA'!AK167/$F$2</f>
        <v>0.67531028368794332</v>
      </c>
      <c r="G167" s="23">
        <f>'Total and digestible IAA'!AL167/$G$2</f>
        <v>0.91921060746222627</v>
      </c>
      <c r="H167" s="23"/>
      <c r="I167" s="23">
        <f>'Total and digestible IAA'!AN167/$I$2</f>
        <v>0.61616618882349983</v>
      </c>
      <c r="J167" s="23">
        <f>'Total and digestible IAA'!AO167/$J$2</f>
        <v>0.70135396518375226</v>
      </c>
      <c r="K167" s="23">
        <f>'Total and digestible IAA'!AP167/$K$2</f>
        <v>1.6161206799504673</v>
      </c>
      <c r="L167" s="24">
        <f t="shared" si="2"/>
        <v>61.616618882349982</v>
      </c>
      <c r="M167" s="15" t="s">
        <v>356</v>
      </c>
      <c r="N167" s="5" t="s">
        <v>530</v>
      </c>
    </row>
    <row r="168" spans="1:14" x14ac:dyDescent="0.25">
      <c r="A168" s="5" t="s">
        <v>190</v>
      </c>
      <c r="B168" s="5" t="s">
        <v>24</v>
      </c>
      <c r="C168" s="23">
        <f>'Total and digestible IAA'!AH168/$C$2</f>
        <v>0.64820203699854506</v>
      </c>
      <c r="D168" s="23">
        <f>'Total and digestible IAA'!AI168/$D$2</f>
        <v>0.75457757789913271</v>
      </c>
      <c r="E168" s="23">
        <f>'Total and digestible IAA'!AJ168/$E$2</f>
        <v>0.70831994860263414</v>
      </c>
      <c r="F168" s="23">
        <f>'Total and digestible IAA'!AK168/$F$2</f>
        <v>0.65483289163722036</v>
      </c>
      <c r="G168" s="23">
        <f>'Total and digestible IAA'!AL168/$G$2</f>
        <v>0.71101551697649423</v>
      </c>
      <c r="H168" s="23">
        <f>'Total and digestible IAA'!AM168/$H$2</f>
        <v>0.57763143805546646</v>
      </c>
      <c r="I168" s="23">
        <f>'Total and digestible IAA'!AN168/$I$2</f>
        <v>0.9314337267874595</v>
      </c>
      <c r="J168" s="23">
        <f>'Total and digestible IAA'!AO168/$J$2</f>
        <v>0.96678445229681997</v>
      </c>
      <c r="K168" s="23">
        <f>'Total and digestible IAA'!AP168/$K$2</f>
        <v>1.8869257950530032</v>
      </c>
      <c r="L168" s="24">
        <f t="shared" si="2"/>
        <v>57.763143805546648</v>
      </c>
      <c r="M168" s="15" t="s">
        <v>355</v>
      </c>
    </row>
    <row r="169" spans="1:14" x14ac:dyDescent="0.25">
      <c r="A169" s="5" t="s">
        <v>191</v>
      </c>
      <c r="B169" s="5" t="s">
        <v>24</v>
      </c>
      <c r="C169" s="23">
        <f>'Total and digestible IAA'!AH169/$C$2</f>
        <v>0.67554028910834418</v>
      </c>
      <c r="D169" s="23">
        <f>'Total and digestible IAA'!AI169/$D$2</f>
        <v>0.76493032514930337</v>
      </c>
      <c r="E169" s="23">
        <f>'Total and digestible IAA'!AJ169/$E$2</f>
        <v>0.66197743861977432</v>
      </c>
      <c r="F169" s="23">
        <f>'Total and digestible IAA'!AK169/$F$2</f>
        <v>0.63283150851581504</v>
      </c>
      <c r="G169" s="23">
        <f>'Total and digestible IAA'!AL169/$G$2</f>
        <v>0.73013858034486412</v>
      </c>
      <c r="H169" s="23">
        <f>'Total and digestible IAA'!AM169/$H$2</f>
        <v>0.65590208655902094</v>
      </c>
      <c r="I169" s="23">
        <f>'Total and digestible IAA'!AN169/$I$2</f>
        <v>0.91724905523632028</v>
      </c>
      <c r="J169" s="23">
        <f>'Total and digestible IAA'!AO169/$J$2</f>
        <v>0.90325149303251495</v>
      </c>
      <c r="K169" s="23">
        <f>'Total and digestible IAA'!AP169/$K$2</f>
        <v>1.2012513034410848</v>
      </c>
      <c r="L169" s="24">
        <f t="shared" si="2"/>
        <v>63.283150851581503</v>
      </c>
      <c r="M169" s="15" t="s">
        <v>526</v>
      </c>
    </row>
    <row r="170" spans="1:14" x14ac:dyDescent="0.25">
      <c r="A170" s="5" t="s">
        <v>262</v>
      </c>
      <c r="B170" s="5" t="s">
        <v>24</v>
      </c>
      <c r="C170" s="23"/>
      <c r="D170" s="23">
        <f>'Total and digestible IAA'!AI170/$D$2</f>
        <v>0.67327568023623718</v>
      </c>
      <c r="E170" s="23">
        <f>'Total and digestible IAA'!AJ170/$E$2</f>
        <v>0.69964142585952338</v>
      </c>
      <c r="F170" s="23">
        <f>'Total and digestible IAA'!AK170/$F$2</f>
        <v>0.56380510440835274</v>
      </c>
      <c r="G170" s="23">
        <f>'Total and digestible IAA'!AL170/$G$2</f>
        <v>0.66277951511483235</v>
      </c>
      <c r="H170" s="23">
        <f>'Total and digestible IAA'!AM170/$H$2</f>
        <v>0.60423961189622444</v>
      </c>
      <c r="I170" s="23">
        <f>'Total and digestible IAA'!AN170/$I$2</f>
        <v>0.83604926692007697</v>
      </c>
      <c r="J170" s="23">
        <f>'Total and digestible IAA'!AO170/$J$2</f>
        <v>0.83954439991562968</v>
      </c>
      <c r="K170" s="23">
        <f>'Total and digestible IAA'!AP170/$K$2</f>
        <v>1.083062645011601</v>
      </c>
      <c r="L170" s="24">
        <f t="shared" si="2"/>
        <v>56.380510440835273</v>
      </c>
      <c r="M170" s="15" t="s">
        <v>526</v>
      </c>
      <c r="N170" s="5" t="s">
        <v>529</v>
      </c>
    </row>
    <row r="171" spans="1:14" x14ac:dyDescent="0.25">
      <c r="A171" s="5" t="s">
        <v>214</v>
      </c>
      <c r="B171" s="5" t="s">
        <v>24</v>
      </c>
      <c r="C171" s="23">
        <f>'Total and digestible IAA'!AH171/$C$2</f>
        <v>0.31633986928104574</v>
      </c>
      <c r="D171" s="23">
        <f>'Total and digestible IAA'!AI171/$D$2</f>
        <v>0.68888888888888888</v>
      </c>
      <c r="E171" s="23">
        <f>'Total and digestible IAA'!AJ171/$E$2</f>
        <v>0.52727272727272723</v>
      </c>
      <c r="F171" s="23">
        <f>'Total and digestible IAA'!AK171/$F$2</f>
        <v>0.58564814814814814</v>
      </c>
      <c r="G171" s="23">
        <f>'Total and digestible IAA'!AL171/$G$2</f>
        <v>0.99645732689210953</v>
      </c>
      <c r="H171" s="23">
        <f>'Total and digestible IAA'!AM171/$H$2</f>
        <v>0.65286195286195281</v>
      </c>
      <c r="I171" s="23">
        <f>'Total and digestible IAA'!AN171/$I$2</f>
        <v>0.27186761229314421</v>
      </c>
      <c r="J171" s="23">
        <f>'Total and digestible IAA'!AO171/$J$2</f>
        <v>0.64727272727272733</v>
      </c>
      <c r="K171" s="23">
        <f>'Total and digestible IAA'!AP171/$K$2</f>
        <v>1.3629629629629629</v>
      </c>
      <c r="L171" s="24">
        <f t="shared" si="2"/>
        <v>27.186761229314421</v>
      </c>
      <c r="M171" s="15" t="s">
        <v>356</v>
      </c>
    </row>
    <row r="172" spans="1:14" x14ac:dyDescent="0.25">
      <c r="A172" s="5" t="s">
        <v>215</v>
      </c>
      <c r="B172" s="5" t="s">
        <v>24</v>
      </c>
      <c r="C172" s="23">
        <f>'Total and digestible IAA'!AH172/$C$2</f>
        <v>9.7411764705882357E-3</v>
      </c>
      <c r="D172" s="23">
        <f>'Total and digestible IAA'!AI172/$D$2</f>
        <v>0.30659090909090908</v>
      </c>
      <c r="E172" s="23">
        <f>'Total and digestible IAA'!AJ172/$E$2</f>
        <v>0.27509090909090911</v>
      </c>
      <c r="F172" s="23">
        <f>'Total and digestible IAA'!AK172/$F$2</f>
        <v>0.27156249999999998</v>
      </c>
      <c r="G172" s="23">
        <f>'Total and digestible IAA'!AL172/$G$2</f>
        <v>0.49855072463768113</v>
      </c>
      <c r="H172" s="23">
        <f>'Total and digestible IAA'!AM172/$H$2</f>
        <v>0.2181818181818182</v>
      </c>
      <c r="I172" s="23">
        <f>'Total and digestible IAA'!AN172/$I$2</f>
        <v>0.22755319148936171</v>
      </c>
      <c r="J172" s="23">
        <f>'Total and digestible IAA'!AO172/$J$2</f>
        <v>0.37818181818181817</v>
      </c>
      <c r="K172" s="23">
        <f>'Total and digestible IAA'!AP172/$K$2</f>
        <v>0.27809523809523806</v>
      </c>
      <c r="L172" s="24">
        <f t="shared" si="2"/>
        <v>0.97411764705882353</v>
      </c>
      <c r="M172" s="15" t="s">
        <v>6</v>
      </c>
    </row>
    <row r="173" spans="1:14" x14ac:dyDescent="0.25">
      <c r="A173" s="5" t="s">
        <v>211</v>
      </c>
      <c r="B173" s="5" t="s">
        <v>24</v>
      </c>
      <c r="C173" s="23"/>
      <c r="D173" s="23"/>
      <c r="E173" s="23"/>
      <c r="F173" s="23"/>
      <c r="G173" s="23"/>
      <c r="H173" s="23"/>
      <c r="I173" s="23"/>
      <c r="J173" s="23"/>
      <c r="K173" s="23"/>
      <c r="L173" s="24"/>
      <c r="M173" s="15"/>
    </row>
    <row r="174" spans="1:14" x14ac:dyDescent="0.25">
      <c r="A174" s="5" t="s">
        <v>210</v>
      </c>
      <c r="B174" s="5" t="s">
        <v>24</v>
      </c>
      <c r="C174" s="23"/>
      <c r="D174" s="23"/>
      <c r="E174" s="23"/>
      <c r="F174" s="23"/>
      <c r="G174" s="23"/>
      <c r="H174" s="23"/>
      <c r="I174" s="23"/>
      <c r="J174" s="23"/>
      <c r="K174" s="23"/>
      <c r="L174" s="24"/>
      <c r="M174" s="15"/>
    </row>
    <row r="175" spans="1:14" x14ac:dyDescent="0.25">
      <c r="A175" s="5" t="s">
        <v>237</v>
      </c>
      <c r="B175" s="5" t="s">
        <v>24</v>
      </c>
      <c r="C175" s="23"/>
      <c r="D175" s="23"/>
      <c r="E175" s="23"/>
      <c r="F175" s="23"/>
      <c r="G175" s="23"/>
      <c r="H175" s="23"/>
      <c r="I175" s="23"/>
      <c r="J175" s="23"/>
      <c r="K175" s="23"/>
      <c r="L175" s="24"/>
      <c r="M175" s="15"/>
    </row>
    <row r="176" spans="1:14" x14ac:dyDescent="0.25">
      <c r="A176" s="5" t="s">
        <v>261</v>
      </c>
      <c r="B176" s="5" t="s">
        <v>24</v>
      </c>
      <c r="C176" s="23"/>
      <c r="D176" s="23">
        <f>'Total and digestible IAA'!AI176/$D$2</f>
        <v>0.91599931259666623</v>
      </c>
      <c r="E176" s="23">
        <f>'Total and digestible IAA'!AJ176/$E$2</f>
        <v>0.79063756659219786</v>
      </c>
      <c r="F176" s="23">
        <f>'Total and digestible IAA'!AK176/$F$2</f>
        <v>0.6381025519848772</v>
      </c>
      <c r="G176" s="23">
        <f>'Total and digestible IAA'!AL176/$G$2</f>
        <v>0.96324484260705179</v>
      </c>
      <c r="H176" s="23">
        <f>'Total and digestible IAA'!AM176/$H$2</f>
        <v>1.009348685341124</v>
      </c>
      <c r="I176" s="23">
        <f>'Total and digestible IAA'!AN176/$I$2</f>
        <v>1.289064071109681</v>
      </c>
      <c r="J176" s="23">
        <f>'Total and digestible IAA'!AO176/$J$2</f>
        <v>0.84760268087300228</v>
      </c>
      <c r="K176" s="23">
        <f>'Total and digestible IAA'!AP176/$K$2</f>
        <v>1.2985507246376813</v>
      </c>
      <c r="L176" s="24">
        <f t="shared" si="2"/>
        <v>63.810255198487717</v>
      </c>
      <c r="M176" s="15" t="s">
        <v>524</v>
      </c>
      <c r="N176" s="5" t="s">
        <v>531</v>
      </c>
    </row>
    <row r="177" spans="1:14" x14ac:dyDescent="0.25">
      <c r="A177" s="5" t="s">
        <v>26</v>
      </c>
      <c r="B177" s="5" t="s">
        <v>24</v>
      </c>
      <c r="C177" s="23">
        <f>'Total and digestible IAA'!AH177/$C$2</f>
        <v>0.84278711484593827</v>
      </c>
      <c r="D177" s="23">
        <f>'Total and digestible IAA'!AI177/$D$2</f>
        <v>1.0551948051948052</v>
      </c>
      <c r="E177" s="23">
        <f>'Total and digestible IAA'!AJ177/$E$2</f>
        <v>0.97402597402597402</v>
      </c>
      <c r="F177" s="23">
        <f>'Total and digestible IAA'!AK177/$F$2</f>
        <v>1.0323660714285714</v>
      </c>
      <c r="G177" s="23">
        <f>'Total and digestible IAA'!AL177/$G$2</f>
        <v>0.83850931677018625</v>
      </c>
      <c r="H177" s="23">
        <f>'Total and digestible IAA'!AM177/$H$2</f>
        <v>2.4404761904761907</v>
      </c>
      <c r="I177" s="23">
        <f>'Total and digestible IAA'!AN177/$I$2</f>
        <v>1.0182370820668694</v>
      </c>
      <c r="J177" s="23">
        <f>'Total and digestible IAA'!AO177/$J$2</f>
        <v>1.4350649350649352</v>
      </c>
      <c r="K177" s="23">
        <f>'Total and digestible IAA'!AP177/$K$2</f>
        <v>1.3775510204081631</v>
      </c>
      <c r="L177" s="24">
        <f t="shared" si="2"/>
        <v>83.850931677018622</v>
      </c>
      <c r="M177" s="15" t="s">
        <v>6</v>
      </c>
    </row>
    <row r="178" spans="1:14" x14ac:dyDescent="0.25">
      <c r="A178" s="5" t="s">
        <v>276</v>
      </c>
      <c r="B178" s="5" t="s">
        <v>24</v>
      </c>
      <c r="C178" s="23"/>
      <c r="D178" s="23">
        <f>'Total and digestible IAA'!AI178/$D$2</f>
        <v>0.77527272727272711</v>
      </c>
      <c r="E178" s="23">
        <f>'Total and digestible IAA'!AJ178/$E$2</f>
        <v>0.49785999999999997</v>
      </c>
      <c r="F178" s="23">
        <f>'Total and digestible IAA'!AK178/$F$2</f>
        <v>0.59653125000000007</v>
      </c>
      <c r="G178" s="23">
        <f>'Total and digestible IAA'!AL178/$G$2</f>
        <v>0.70430434782608697</v>
      </c>
      <c r="H178" s="23">
        <f>'Total and digestible IAA'!AM178/$H$2</f>
        <v>0.7383409090909091</v>
      </c>
      <c r="I178" s="23">
        <f>'Total and digestible IAA'!AN178/$I$2</f>
        <v>0.60505851063829796</v>
      </c>
      <c r="J178" s="23">
        <f>'Total and digestible IAA'!AO178/$J$2</f>
        <v>0.70048727272727274</v>
      </c>
      <c r="K178" s="23">
        <f>'Total and digestible IAA'!AP178/$K$2</f>
        <v>0.57329523809523819</v>
      </c>
      <c r="L178" s="24">
        <f t="shared" si="2"/>
        <v>49.785999999999994</v>
      </c>
      <c r="M178" s="15" t="s">
        <v>7</v>
      </c>
      <c r="N178" s="5" t="s">
        <v>531</v>
      </c>
    </row>
    <row r="179" spans="1:14" x14ac:dyDescent="0.25">
      <c r="A179" s="5" t="s">
        <v>277</v>
      </c>
      <c r="B179" s="5" t="s">
        <v>24</v>
      </c>
      <c r="C179" s="23"/>
      <c r="D179" s="23">
        <f>'Total and digestible IAA'!AI179/$D$2</f>
        <v>0.60754999999999992</v>
      </c>
      <c r="E179" s="23">
        <f>'Total and digestible IAA'!AJ179/$E$2</f>
        <v>0.26803636363636357</v>
      </c>
      <c r="F179" s="23">
        <f>'Total and digestible IAA'!AK179/$F$2</f>
        <v>0.32241354166666664</v>
      </c>
      <c r="G179" s="23">
        <f>'Total and digestible IAA'!AL179/$G$2</f>
        <v>1.256713043478261</v>
      </c>
      <c r="H179" s="23">
        <f>'Total and digestible IAA'!AM179/$H$2</f>
        <v>0.95480606060606077</v>
      </c>
      <c r="I179" s="23">
        <f>'Total and digestible IAA'!AN179/$I$2</f>
        <v>0.28025744680851061</v>
      </c>
      <c r="J179" s="23">
        <f>'Total and digestible IAA'!AO179/$J$2</f>
        <v>0.45080363636363635</v>
      </c>
      <c r="K179" s="23">
        <f>'Total and digestible IAA'!AP179/$K$2</f>
        <v>0.36186666666666667</v>
      </c>
      <c r="L179" s="24">
        <f t="shared" si="2"/>
        <v>26.803636363636357</v>
      </c>
      <c r="M179" s="15" t="s">
        <v>7</v>
      </c>
      <c r="N179" s="5" t="s">
        <v>531</v>
      </c>
    </row>
    <row r="180" spans="1:14" x14ac:dyDescent="0.25">
      <c r="A180" s="5" t="s">
        <v>278</v>
      </c>
      <c r="B180" s="5" t="s">
        <v>24</v>
      </c>
      <c r="C180" s="23"/>
      <c r="D180" s="23">
        <f>'Total and digestible IAA'!AI180/$D$2</f>
        <v>0.65863636363636358</v>
      </c>
      <c r="E180" s="23">
        <f>'Total and digestible IAA'!AJ180/$E$2</f>
        <v>0.44561454545454543</v>
      </c>
      <c r="F180" s="23">
        <f>'Total and digestible IAA'!AK180/$F$2</f>
        <v>0.524628125</v>
      </c>
      <c r="G180" s="23">
        <f>'Total and digestible IAA'!AL180/$G$2</f>
        <v>0.37394782608695648</v>
      </c>
      <c r="H180" s="23">
        <f>'Total and digestible IAA'!AM180/$H$2</f>
        <v>0.6607945454545453</v>
      </c>
      <c r="I180" s="23">
        <f>'Total and digestible IAA'!AN180/$I$2</f>
        <v>0.55824680851063813</v>
      </c>
      <c r="J180" s="23">
        <f>'Total and digestible IAA'!AO180/$J$2</f>
        <v>0.58491454545454535</v>
      </c>
      <c r="K180" s="23">
        <f>'Total and digestible IAA'!AP180/$K$2</f>
        <v>1.1381095238095238</v>
      </c>
      <c r="L180" s="24">
        <f t="shared" si="2"/>
        <v>37.39478260869565</v>
      </c>
      <c r="M180" s="15" t="s">
        <v>8</v>
      </c>
      <c r="N180" s="5" t="s">
        <v>531</v>
      </c>
    </row>
    <row r="181" spans="1:14" x14ac:dyDescent="0.25">
      <c r="A181" s="5" t="s">
        <v>200</v>
      </c>
      <c r="B181" s="5" t="s">
        <v>24</v>
      </c>
      <c r="C181" s="23">
        <f>'Total and digestible IAA'!AH181/$C$2</f>
        <v>0.29892174655706205</v>
      </c>
      <c r="D181" s="23">
        <f>'Total and digestible IAA'!AI181/$D$2</f>
        <v>0.62233954792938451</v>
      </c>
      <c r="E181" s="23">
        <f>'Total and digestible IAA'!AJ181/$E$2</f>
        <v>0.44626299290546118</v>
      </c>
      <c r="F181" s="23">
        <f>'Total and digestible IAA'!AK181/$F$2</f>
        <v>0.53671355111917718</v>
      </c>
      <c r="G181" s="23">
        <f>'Total and digestible IAA'!AL181/$G$2</f>
        <v>0.61642862779136742</v>
      </c>
      <c r="H181" s="23">
        <f>'Total and digestible IAA'!AM181/$H$2</f>
        <v>0.56057856239344439</v>
      </c>
      <c r="I181" s="23">
        <f>'Total and digestible IAA'!AN181/$I$2</f>
        <v>0.50648723790400429</v>
      </c>
      <c r="J181" s="23">
        <f>'Total and digestible IAA'!AO181/$J$2</f>
        <v>0.67375020623659454</v>
      </c>
      <c r="K181" s="23">
        <f>'Total and digestible IAA'!AP181/$K$2</f>
        <v>0.75101546970875477</v>
      </c>
      <c r="L181" s="24">
        <f t="shared" si="2"/>
        <v>29.892174655706206</v>
      </c>
      <c r="M181" s="15" t="s">
        <v>6</v>
      </c>
    </row>
    <row r="182" spans="1:14" x14ac:dyDescent="0.25">
      <c r="A182" s="5" t="s">
        <v>202</v>
      </c>
      <c r="B182" s="5" t="s">
        <v>24</v>
      </c>
      <c r="C182" s="23">
        <f>'Total and digestible IAA'!AH182/$C$2</f>
        <v>0.37851662404092079</v>
      </c>
      <c r="D182" s="23">
        <f>'Total and digestible IAA'!AI182/$D$2</f>
        <v>0.70000000000000007</v>
      </c>
      <c r="E182" s="23">
        <f>'Total and digestible IAA'!AJ182/$E$2</f>
        <v>0.59165217391304348</v>
      </c>
      <c r="F182" s="23">
        <f>'Total and digestible IAA'!AK182/$F$2</f>
        <v>0.58115942028985512</v>
      </c>
      <c r="G182" s="23">
        <f>'Total and digestible IAA'!AL182/$G$2</f>
        <v>0.52567107750472586</v>
      </c>
      <c r="H182" s="23">
        <f>'Total and digestible IAA'!AM182/$H$2</f>
        <v>0.89486166007905121</v>
      </c>
      <c r="I182" s="23">
        <f>'Total and digestible IAA'!AN182/$I$2</f>
        <v>0.54542090656799269</v>
      </c>
      <c r="J182" s="23">
        <f>'Total and digestible IAA'!AO182/$J$2</f>
        <v>0.74940711462450593</v>
      </c>
      <c r="K182" s="23">
        <f>'Total and digestible IAA'!AP182/$K$2</f>
        <v>0.63975155279503115</v>
      </c>
      <c r="L182" s="24">
        <f t="shared" si="2"/>
        <v>37.851662404092082</v>
      </c>
      <c r="M182" s="15" t="s">
        <v>6</v>
      </c>
    </row>
    <row r="183" spans="1:14" x14ac:dyDescent="0.25">
      <c r="A183" s="5" t="s">
        <v>204</v>
      </c>
      <c r="B183" s="5" t="s">
        <v>24</v>
      </c>
      <c r="C183" s="23">
        <f>'Total and digestible IAA'!AH183/$C$2</f>
        <v>0.29281045751633988</v>
      </c>
      <c r="D183" s="23">
        <f>'Total and digestible IAA'!AI183/$D$2</f>
        <v>0.70259259259259266</v>
      </c>
      <c r="E183" s="23">
        <f>'Total and digestible IAA'!AJ183/$E$2</f>
        <v>0.60140067340067338</v>
      </c>
      <c r="F183" s="23">
        <f>'Total and digestible IAA'!AK183/$F$2</f>
        <v>0.60487654320987649</v>
      </c>
      <c r="G183" s="23">
        <f>'Total and digestible IAA'!AL183/$G$2</f>
        <v>0.56167471819645753</v>
      </c>
      <c r="H183" s="23">
        <f>'Total and digestible IAA'!AM183/$H$2</f>
        <v>0.70442199775533099</v>
      </c>
      <c r="I183" s="23">
        <f>'Total and digestible IAA'!AN183/$I$2</f>
        <v>0.59096926713947995</v>
      </c>
      <c r="J183" s="23">
        <f>'Total and digestible IAA'!AO183/$J$2</f>
        <v>0.75205387205387197</v>
      </c>
      <c r="K183" s="23">
        <f>'Total and digestible IAA'!AP183/$K$2</f>
        <v>0.60444444444444445</v>
      </c>
      <c r="L183" s="24">
        <f t="shared" si="2"/>
        <v>29.281045751633989</v>
      </c>
      <c r="M183" s="15" t="s">
        <v>6</v>
      </c>
    </row>
    <row r="184" spans="1:14" x14ac:dyDescent="0.25">
      <c r="A184" s="5" t="s">
        <v>206</v>
      </c>
      <c r="B184" s="5" t="s">
        <v>24</v>
      </c>
      <c r="C184" s="23">
        <f>'Total and digestible IAA'!AH184/$C$2</f>
        <v>0.29554887648490052</v>
      </c>
      <c r="D184" s="23">
        <f>'Total and digestible IAA'!AI184/$D$2</f>
        <v>0.70894160583941601</v>
      </c>
      <c r="E184" s="23">
        <f>'Total and digestible IAA'!AJ184/$E$2</f>
        <v>0.59666003096660025</v>
      </c>
      <c r="F184" s="23">
        <f>'Total and digestible IAA'!AK184/$F$2</f>
        <v>0.6141271289537712</v>
      </c>
      <c r="G184" s="23">
        <f>'Total and digestible IAA'!AL184/$G$2</f>
        <v>0.59381501463380226</v>
      </c>
      <c r="H184" s="23">
        <f>'Total and digestible IAA'!AM184/$H$2</f>
        <v>0.92472166924721666</v>
      </c>
      <c r="I184" s="23">
        <f>'Total and digestible IAA'!AN184/$I$2</f>
        <v>0.60815602836879434</v>
      </c>
      <c r="J184" s="23">
        <f>'Total and digestible IAA'!AO184/$J$2</f>
        <v>0.70603848706038497</v>
      </c>
      <c r="K184" s="23">
        <f>'Total and digestible IAA'!AP184/$K$2</f>
        <v>0.63422546634225485</v>
      </c>
      <c r="L184" s="24">
        <f t="shared" si="2"/>
        <v>29.554887648490052</v>
      </c>
      <c r="M184" s="15" t="s">
        <v>6</v>
      </c>
    </row>
    <row r="185" spans="1:14" x14ac:dyDescent="0.25">
      <c r="A185" s="5" t="s">
        <v>213</v>
      </c>
      <c r="B185" s="5" t="s">
        <v>24</v>
      </c>
      <c r="C185" s="23">
        <f>'Total and digestible IAA'!AH185/$C$2</f>
        <v>0.85071301247771836</v>
      </c>
      <c r="D185" s="23">
        <f>'Total and digestible IAA'!AI185/$D$2</f>
        <v>0.76859504132231404</v>
      </c>
      <c r="E185" s="23">
        <f>'Total and digestible IAA'!AJ185/$E$2</f>
        <v>0.6016528925619834</v>
      </c>
      <c r="F185" s="23">
        <f>'Total and digestible IAA'!AK185/$F$2</f>
        <v>0.79150883838383834</v>
      </c>
      <c r="G185" s="23">
        <f>'Total and digestible IAA'!AL185/$G$2</f>
        <v>1.1385595081247255</v>
      </c>
      <c r="H185" s="23">
        <f>'Total and digestible IAA'!AM185/$H$2</f>
        <v>0.7089072543617998</v>
      </c>
      <c r="I185" s="23">
        <f>'Total and digestible IAA'!AN185/$I$2</f>
        <v>0.53900709219858156</v>
      </c>
      <c r="J185" s="23">
        <f>'Total and digestible IAA'!AO185/$J$2</f>
        <v>1.0746556473829201</v>
      </c>
      <c r="K185" s="23">
        <f>'Total and digestible IAA'!AP185/$K$2</f>
        <v>1.3015873015873016</v>
      </c>
      <c r="L185" s="24">
        <f t="shared" si="2"/>
        <v>53.900709219858157</v>
      </c>
      <c r="M185" s="15" t="s">
        <v>356</v>
      </c>
    </row>
    <row r="186" spans="1:14" x14ac:dyDescent="0.25">
      <c r="A186" s="5" t="s">
        <v>216</v>
      </c>
      <c r="B186" s="5" t="s">
        <v>24</v>
      </c>
      <c r="C186" s="23">
        <f>'Total and digestible IAA'!AH186/$C$2</f>
        <v>0.38009049773755654</v>
      </c>
      <c r="D186" s="23">
        <f>'Total and digestible IAA'!AI186/$D$2</f>
        <v>0.60460372960372954</v>
      </c>
      <c r="E186" s="23">
        <f>'Total and digestible IAA'!AJ186/$E$2</f>
        <v>0.4771561771561772</v>
      </c>
      <c r="F186" s="23">
        <f>'Total and digestible IAA'!AK186/$F$2</f>
        <v>0.63888888888888895</v>
      </c>
      <c r="G186" s="23">
        <f>'Total and digestible IAA'!AL186/$G$2</f>
        <v>0.95912300260126326</v>
      </c>
      <c r="H186" s="23">
        <f>'Total and digestible IAA'!AM186/$H$2</f>
        <v>0.66355866355866355</v>
      </c>
      <c r="I186" s="23">
        <f>'Total and digestible IAA'!AN186/$I$2</f>
        <v>0.28546099290780147</v>
      </c>
      <c r="J186" s="23">
        <f>'Total and digestible IAA'!AO186/$J$2</f>
        <v>0.71794871794871795</v>
      </c>
      <c r="K186" s="23">
        <f>'Total and digestible IAA'!AP186/$K$2</f>
        <v>0.73504273504273498</v>
      </c>
      <c r="L186" s="24">
        <f t="shared" si="2"/>
        <v>28.546099290780148</v>
      </c>
      <c r="M186" s="15" t="s">
        <v>356</v>
      </c>
    </row>
    <row r="187" spans="1:14" x14ac:dyDescent="0.25">
      <c r="A187" s="5" t="s">
        <v>217</v>
      </c>
      <c r="B187" s="5" t="s">
        <v>24</v>
      </c>
      <c r="C187" s="23">
        <f>'Total and digestible IAA'!AH187/$C$2</f>
        <v>0.21047188106011636</v>
      </c>
      <c r="D187" s="23">
        <f>'Total and digestible IAA'!AI187/$D$2</f>
        <v>0.56818181818181823</v>
      </c>
      <c r="E187" s="23">
        <f>'Total and digestible IAA'!AJ187/$E$2</f>
        <v>0.43156843156843161</v>
      </c>
      <c r="F187" s="23">
        <f>'Total and digestible IAA'!AK187/$F$2</f>
        <v>0.51098901098901106</v>
      </c>
      <c r="G187" s="23">
        <f>'Total and digestible IAA'!AL187/$G$2</f>
        <v>0.90348781653129495</v>
      </c>
      <c r="H187" s="23">
        <f>'Total and digestible IAA'!AM187/$H$2</f>
        <v>0.59107559107559116</v>
      </c>
      <c r="I187" s="23">
        <f>'Total and digestible IAA'!AN187/$I$2</f>
        <v>0.23661444938040682</v>
      </c>
      <c r="J187" s="23">
        <f>'Total and digestible IAA'!AO187/$J$2</f>
        <v>0.57542457542457548</v>
      </c>
      <c r="K187" s="23">
        <f>'Total and digestible IAA'!AP187/$K$2</f>
        <v>1.1166928309785451</v>
      </c>
      <c r="L187" s="24">
        <f t="shared" si="2"/>
        <v>21.047188106011635</v>
      </c>
      <c r="M187" s="15" t="s">
        <v>6</v>
      </c>
    </row>
    <row r="188" spans="1:14" s="6" customFormat="1" x14ac:dyDescent="0.25">
      <c r="C188" s="36"/>
      <c r="D188" s="36"/>
      <c r="E188" s="36"/>
      <c r="F188" s="36"/>
      <c r="G188" s="36"/>
      <c r="H188" s="36"/>
      <c r="I188" s="36"/>
      <c r="J188" s="36"/>
      <c r="K188" s="36"/>
      <c r="L188" s="37"/>
      <c r="M188" s="16"/>
    </row>
    <row r="189" spans="1:14" s="4" customFormat="1" x14ac:dyDescent="0.25">
      <c r="A189" s="4" t="s">
        <v>281</v>
      </c>
      <c r="B189" s="5" t="s">
        <v>28</v>
      </c>
      <c r="C189" s="23">
        <f>'Total and digestible IAA'!AH189/$C$2</f>
        <v>0.73940906637884507</v>
      </c>
      <c r="D189" s="23">
        <f>'Total and digestible IAA'!AI189/$D$2</f>
        <v>0.8991868223519599</v>
      </c>
      <c r="E189" s="23">
        <f>'Total and digestible IAA'!AJ189/$E$2</f>
        <v>0.90675562969140944</v>
      </c>
      <c r="F189" s="23">
        <f>'Total and digestible IAA'!AK189/$F$2</f>
        <v>0.98028956422018354</v>
      </c>
      <c r="G189" s="23">
        <f>'Total and digestible IAA'!AL189/$G$2</f>
        <v>1.1252825422151309</v>
      </c>
      <c r="H189" s="23">
        <f>'Total and digestible IAA'!AM189/$H$2</f>
        <v>0.99263274951348324</v>
      </c>
      <c r="I189" s="23">
        <f>'Total and digestible IAA'!AN189/$I$2</f>
        <v>1.1250487995315244</v>
      </c>
      <c r="J189" s="23">
        <f>'Total and digestible IAA'!AO189/$J$2</f>
        <v>1.1567973311092579</v>
      </c>
      <c r="K189" s="23">
        <f>'Total and digestible IAA'!AP189/$K$2</f>
        <v>1.4302096985583224</v>
      </c>
      <c r="L189" s="24">
        <f t="shared" si="2"/>
        <v>73.94090663788451</v>
      </c>
      <c r="M189" s="14" t="s">
        <v>6</v>
      </c>
    </row>
    <row r="190" spans="1:14" x14ac:dyDescent="0.25">
      <c r="A190" s="5" t="s">
        <v>30</v>
      </c>
      <c r="B190" s="5" t="s">
        <v>28</v>
      </c>
      <c r="C190" s="23"/>
      <c r="D190" s="23"/>
      <c r="E190" s="23"/>
      <c r="F190" s="23"/>
      <c r="G190" s="23"/>
      <c r="H190" s="23"/>
      <c r="I190" s="23"/>
      <c r="J190" s="23"/>
      <c r="K190" s="23"/>
      <c r="L190" s="24"/>
      <c r="M190" s="15"/>
    </row>
    <row r="191" spans="1:14" x14ac:dyDescent="0.25">
      <c r="A191" s="5" t="s">
        <v>282</v>
      </c>
      <c r="B191" s="5" t="s">
        <v>28</v>
      </c>
      <c r="C191" s="23">
        <f>'Total and digestible IAA'!AH191/$C$2</f>
        <v>0.69176470588235295</v>
      </c>
      <c r="D191" s="23">
        <f>'Total and digestible IAA'!AI191/$D$2</f>
        <v>1.1200000000000001</v>
      </c>
      <c r="E191" s="23">
        <f>'Total and digestible IAA'!AJ191/$E$2</f>
        <v>0.85418181818181826</v>
      </c>
      <c r="F191" s="23">
        <f>'Total and digestible IAA'!AK191/$F$2</f>
        <v>0.80666666666666664</v>
      </c>
      <c r="G191" s="23">
        <f>'Total and digestible IAA'!AL191/$G$2</f>
        <v>0.83478260869565235</v>
      </c>
      <c r="H191" s="23">
        <f>'Total and digestible IAA'!AM191/$H$2</f>
        <v>0.95292929292929307</v>
      </c>
      <c r="I191" s="23">
        <f>'Total and digestible IAA'!AN191/$I$2</f>
        <v>0.49489361702127665</v>
      </c>
      <c r="J191" s="23">
        <f>'Total and digestible IAA'!AO191/$J$2</f>
        <v>0.82133333333333336</v>
      </c>
      <c r="K191" s="23">
        <f>'Total and digestible IAA'!AP191/$K$2</f>
        <v>0.68571428571428583</v>
      </c>
      <c r="L191" s="24">
        <f t="shared" si="2"/>
        <v>49.489361702127667</v>
      </c>
      <c r="M191" s="15" t="s">
        <v>356</v>
      </c>
    </row>
    <row r="192" spans="1:14" x14ac:dyDescent="0.25">
      <c r="A192" s="5" t="s">
        <v>29</v>
      </c>
      <c r="B192" s="5" t="s">
        <v>28</v>
      </c>
      <c r="C192" s="23">
        <f>'Total and digestible IAA'!AH192/$C$2</f>
        <v>0.69377990430622005</v>
      </c>
      <c r="D192" s="23">
        <f>'Total and digestible IAA'!AI192/$D$2</f>
        <v>1.1196172248803828</v>
      </c>
      <c r="E192" s="23">
        <f>'Total and digestible IAA'!AJ192/$E$2</f>
        <v>0.86507177033492832</v>
      </c>
      <c r="F192" s="23">
        <f>'Total and digestible IAA'!AK192/$F$2</f>
        <v>0.80701754385964908</v>
      </c>
      <c r="G192" s="23">
        <f>'Total and digestible IAA'!AL192/$G$2</f>
        <v>0.83628042438111083</v>
      </c>
      <c r="H192" s="23">
        <f>'Total and digestible IAA'!AM192/$H$2</f>
        <v>0.95461794983326087</v>
      </c>
      <c r="I192" s="23">
        <f>'Total and digestible IAA'!AN192/$I$2</f>
        <v>0.48778377277817364</v>
      </c>
      <c r="J192" s="23">
        <f>'Total and digestible IAA'!AO192/$J$2</f>
        <v>0.81913875598086117</v>
      </c>
      <c r="K192" s="23">
        <f>'Total and digestible IAA'!AP192/$K$2</f>
        <v>0.66917293233082698</v>
      </c>
      <c r="L192" s="24">
        <f t="shared" si="2"/>
        <v>48.778377277817363</v>
      </c>
      <c r="M192" s="15" t="s">
        <v>356</v>
      </c>
    </row>
    <row r="193" spans="1:13" x14ac:dyDescent="0.25">
      <c r="A193" s="5" t="s">
        <v>284</v>
      </c>
      <c r="B193" s="5" t="s">
        <v>28</v>
      </c>
      <c r="C193" s="23">
        <f>'Total and digestible IAA'!AH193/$C$2</f>
        <v>0.70149253731343286</v>
      </c>
      <c r="D193" s="23">
        <f>'Total and digestible IAA'!AI193/$D$2</f>
        <v>1.1223880597014926</v>
      </c>
      <c r="E193" s="23">
        <f>'Total and digestible IAA'!AJ193/$E$2</f>
        <v>0.8644776119402986</v>
      </c>
      <c r="F193" s="23">
        <f>'Total and digestible IAA'!AK193/$F$2</f>
        <v>0.80721393034825872</v>
      </c>
      <c r="G193" s="23">
        <f>'Total and digestible IAA'!AL193/$G$2</f>
        <v>0.84248323599394337</v>
      </c>
      <c r="H193" s="23">
        <f>'Total and digestible IAA'!AM193/$H$2</f>
        <v>0.95459068294889193</v>
      </c>
      <c r="I193" s="23">
        <f>'Total and digestible IAA'!AN193/$I$2</f>
        <v>0.48624960304858689</v>
      </c>
      <c r="J193" s="23">
        <f>'Total and digestible IAA'!AO193/$J$2</f>
        <v>0.82599728629579372</v>
      </c>
      <c r="K193" s="23">
        <f>'Total and digestible IAA'!AP193/$K$2</f>
        <v>0.66780383795309173</v>
      </c>
      <c r="L193" s="24">
        <f t="shared" si="2"/>
        <v>48.624960304858689</v>
      </c>
      <c r="M193" s="15" t="s">
        <v>356</v>
      </c>
    </row>
    <row r="194" spans="1:13" s="4" customFormat="1" x14ac:dyDescent="0.25">
      <c r="A194" s="4" t="s">
        <v>116</v>
      </c>
      <c r="B194" s="5" t="s">
        <v>28</v>
      </c>
      <c r="C194" s="23">
        <f>'Total and digestible IAA'!AH194/$C$2</f>
        <v>0.74493464052287583</v>
      </c>
      <c r="D194" s="23">
        <f>'Total and digestible IAA'!AI194/$D$2</f>
        <v>0.90195707070707065</v>
      </c>
      <c r="E194" s="23">
        <f>'Total and digestible IAA'!AJ194/$E$2</f>
        <v>0.87111111111111117</v>
      </c>
      <c r="F194" s="23">
        <f>'Total and digestible IAA'!AK194/$F$2</f>
        <v>0.93611111111111123</v>
      </c>
      <c r="G194" s="23">
        <f>'Total and digestible IAA'!AL194/$G$2</f>
        <v>1.1051127214170693</v>
      </c>
      <c r="H194" s="23">
        <f>'Total and digestible IAA'!AM194/$H$2</f>
        <v>1.0308080808080806</v>
      </c>
      <c r="I194" s="23">
        <f>'Total and digestible IAA'!AN194/$I$2</f>
        <v>0.93956855791962191</v>
      </c>
      <c r="J194" s="23">
        <f>'Total and digestible IAA'!AO194/$J$2</f>
        <v>0.99787878787878792</v>
      </c>
      <c r="K194" s="23">
        <f>'Total and digestible IAA'!AP194/$K$2</f>
        <v>1.2440476190476191</v>
      </c>
      <c r="L194" s="24">
        <f t="shared" si="2"/>
        <v>74.493464052287578</v>
      </c>
      <c r="M194" s="14" t="s">
        <v>6</v>
      </c>
    </row>
    <row r="195" spans="1:13" x14ac:dyDescent="0.25">
      <c r="A195" s="5" t="s">
        <v>27</v>
      </c>
      <c r="B195" s="5" t="s">
        <v>28</v>
      </c>
      <c r="C195" s="23">
        <f>'Total and digestible IAA'!AH195/$C$2</f>
        <v>0.67647058823529405</v>
      </c>
      <c r="D195" s="23">
        <f>'Total and digestible IAA'!AI195/$D$2</f>
        <v>0.90206843718079666</v>
      </c>
      <c r="E195" s="23">
        <f>'Total and digestible IAA'!AJ195/$E$2</f>
        <v>0.82201225740551587</v>
      </c>
      <c r="F195" s="23">
        <f>'Total and digestible IAA'!AK195/$F$2</f>
        <v>0.9590063202247191</v>
      </c>
      <c r="G195" s="23">
        <f>'Total and digestible IAA'!AL195/$G$2</f>
        <v>1.0864680019540789</v>
      </c>
      <c r="H195" s="23">
        <f>'Total and digestible IAA'!AM195/$H$2</f>
        <v>0.98706162751106585</v>
      </c>
      <c r="I195" s="23">
        <f>'Total and digestible IAA'!AN195/$I$2</f>
        <v>0.94988644513507048</v>
      </c>
      <c r="J195" s="23">
        <f>'Total and digestible IAA'!AO195/$J$2</f>
        <v>1.0067415730337079</v>
      </c>
      <c r="K195" s="23">
        <f>'Total and digestible IAA'!AP195/$K$2</f>
        <v>1.2573568753344031</v>
      </c>
      <c r="L195" s="24">
        <f t="shared" si="2"/>
        <v>67.647058823529406</v>
      </c>
      <c r="M195" s="14" t="s">
        <v>6</v>
      </c>
    </row>
    <row r="196" spans="1:13" x14ac:dyDescent="0.25">
      <c r="A196" s="5" t="s">
        <v>287</v>
      </c>
      <c r="B196" s="5" t="s">
        <v>28</v>
      </c>
      <c r="C196" s="23"/>
      <c r="D196" s="23"/>
      <c r="E196" s="23"/>
      <c r="F196" s="23"/>
      <c r="G196" s="23"/>
      <c r="H196" s="23"/>
      <c r="I196" s="23"/>
      <c r="J196" s="23"/>
      <c r="K196" s="23"/>
      <c r="L196" s="24"/>
      <c r="M196" s="15"/>
    </row>
    <row r="197" spans="1:13" s="4" customFormat="1" x14ac:dyDescent="0.25">
      <c r="A197" s="4" t="s">
        <v>117</v>
      </c>
      <c r="B197" s="5" t="s">
        <v>28</v>
      </c>
      <c r="C197" s="23">
        <f>'Total and digestible IAA'!AH197/$C$2</f>
        <v>0.76377952755905509</v>
      </c>
      <c r="D197" s="23">
        <f>'Total and digestible IAA'!AI197/$D$2</f>
        <v>0.958840372226199</v>
      </c>
      <c r="E197" s="23">
        <f>'Total and digestible IAA'!AJ197/$E$2</f>
        <v>0.87916964924838936</v>
      </c>
      <c r="F197" s="23">
        <f>'Total and digestible IAA'!AK197/$F$2</f>
        <v>0.92290026246719148</v>
      </c>
      <c r="G197" s="23">
        <f>'Total and digestible IAA'!AL197/$G$2</f>
        <v>1.0003994065959148</v>
      </c>
      <c r="H197" s="23">
        <f>'Total and digestible IAA'!AM197/$H$2</f>
        <v>0.89083750894774516</v>
      </c>
      <c r="I197" s="23">
        <f>'Total and digestible IAA'!AN197/$I$2</f>
        <v>0.86605796615848563</v>
      </c>
      <c r="J197" s="23">
        <f>'Total and digestible IAA'!AO197/$J$2</f>
        <v>0.98124552612741589</v>
      </c>
      <c r="K197" s="23">
        <f>'Total and digestible IAA'!AP197/$K$2</f>
        <v>1.272965879265092</v>
      </c>
      <c r="L197" s="24">
        <f t="shared" ref="L197:L214" si="3">MIN(C197:K197)*100</f>
        <v>76.377952755905511</v>
      </c>
      <c r="M197" s="14" t="s">
        <v>6</v>
      </c>
    </row>
    <row r="198" spans="1:13" s="4" customFormat="1" x14ac:dyDescent="0.25">
      <c r="A198" s="4" t="s">
        <v>111</v>
      </c>
      <c r="B198" s="5" t="s">
        <v>28</v>
      </c>
      <c r="C198" s="23">
        <f>'Total and digestible IAA'!AH198/$C$2</f>
        <v>0.70588235294117652</v>
      </c>
      <c r="D198" s="23">
        <f>'Total and digestible IAA'!AI198/$D$2</f>
        <v>0.96590909090909072</v>
      </c>
      <c r="E198" s="23">
        <f>'Total and digestible IAA'!AJ198/$E$2</f>
        <v>0.74482758620689671</v>
      </c>
      <c r="F198" s="23">
        <f>'Total and digestible IAA'!AK198/$F$2</f>
        <v>0.63739224137931039</v>
      </c>
      <c r="G198" s="23">
        <f>'Total and digestible IAA'!AL198/$G$2</f>
        <v>0.95627186406796594</v>
      </c>
      <c r="H198" s="23">
        <f>'Total and digestible IAA'!AM198/$H$2</f>
        <v>0.79623824451410663</v>
      </c>
      <c r="I198" s="23">
        <f>'Total and digestible IAA'!AN198/$I$2</f>
        <v>0.28063096111518715</v>
      </c>
      <c r="J198" s="23">
        <f>'Total and digestible IAA'!AO198/$J$2</f>
        <v>0.68181818181818177</v>
      </c>
      <c r="K198" s="23">
        <f>'Total and digestible IAA'!AP198/$K$2</f>
        <v>0.82183908045977017</v>
      </c>
      <c r="L198" s="24">
        <f t="shared" si="3"/>
        <v>28.063096111518714</v>
      </c>
      <c r="M198" s="14" t="s">
        <v>356</v>
      </c>
    </row>
    <row r="199" spans="1:13" s="4" customFormat="1" x14ac:dyDescent="0.25">
      <c r="A199" s="4" t="s">
        <v>112</v>
      </c>
      <c r="B199" s="5" t="s">
        <v>28</v>
      </c>
      <c r="C199" s="23">
        <f>'Total and digestible IAA'!AH199/$C$2</f>
        <v>0.71537001897533203</v>
      </c>
      <c r="D199" s="23">
        <f>'Total and digestible IAA'!AI199/$D$2</f>
        <v>1.0386119257087001</v>
      </c>
      <c r="E199" s="23">
        <f>'Total and digestible IAA'!AJ199/$E$2</f>
        <v>0.82580645161290323</v>
      </c>
      <c r="F199" s="23">
        <f>'Total and digestible IAA'!AK199/$F$2</f>
        <v>0.74406362007168447</v>
      </c>
      <c r="G199" s="23">
        <f>'Total and digestible IAA'!AL199/$G$2</f>
        <v>0.956989247311828</v>
      </c>
      <c r="H199" s="23">
        <f>'Total and digestible IAA'!AM199/$H$2</f>
        <v>0.87715868361029659</v>
      </c>
      <c r="I199" s="23">
        <f>'Total and digestible IAA'!AN199/$I$2</f>
        <v>0.38091969800960879</v>
      </c>
      <c r="J199" s="23">
        <f>'Total and digestible IAA'!AO199/$J$2</f>
        <v>0.76539589442815259</v>
      </c>
      <c r="K199" s="23">
        <f>'Total and digestible IAA'!AP199/$K$2</f>
        <v>0.83870967741935487</v>
      </c>
      <c r="L199" s="24">
        <f t="shared" si="3"/>
        <v>38.091969800960882</v>
      </c>
      <c r="M199" s="14" t="s">
        <v>356</v>
      </c>
    </row>
    <row r="200" spans="1:13" s="4" customFormat="1" x14ac:dyDescent="0.25">
      <c r="A200" s="4" t="s">
        <v>113</v>
      </c>
      <c r="B200" s="5" t="s">
        <v>28</v>
      </c>
      <c r="C200" s="23">
        <f>'Total and digestible IAA'!AH200/$C$2</f>
        <v>0.72462259239979188</v>
      </c>
      <c r="D200" s="23">
        <f>'Total and digestible IAA'!AI200/$D$2</f>
        <v>1.0599356395816573</v>
      </c>
      <c r="E200" s="23">
        <f>'Total and digestible IAA'!AJ200/$E$2</f>
        <v>0.83539823008849556</v>
      </c>
      <c r="F200" s="23">
        <f>'Total and digestible IAA'!AK200/$F$2</f>
        <v>0.77175516224188778</v>
      </c>
      <c r="G200" s="23">
        <f>'Total and digestible IAA'!AL200/$G$2</f>
        <v>0.95883031935359764</v>
      </c>
      <c r="H200" s="23">
        <f>'Total and digestible IAA'!AM200/$H$2</f>
        <v>0.89139179404666125</v>
      </c>
      <c r="I200" s="23">
        <f>'Total and digestible IAA'!AN200/$I$2</f>
        <v>0.4067030691018641</v>
      </c>
      <c r="J200" s="23">
        <f>'Total and digestible IAA'!AO200/$J$2</f>
        <v>0.7839098954143201</v>
      </c>
      <c r="K200" s="23">
        <f>'Total and digestible IAA'!AP200/$K$2</f>
        <v>0.84365781710914467</v>
      </c>
      <c r="L200" s="24">
        <f t="shared" si="3"/>
        <v>40.670306910186412</v>
      </c>
      <c r="M200" s="14" t="s">
        <v>356</v>
      </c>
    </row>
    <row r="201" spans="1:13" s="4" customFormat="1" x14ac:dyDescent="0.25">
      <c r="A201" s="4" t="s">
        <v>114</v>
      </c>
      <c r="B201" s="5" t="s">
        <v>28</v>
      </c>
      <c r="C201" s="23">
        <f>'Total and digestible IAA'!AH201/$C$2</f>
        <v>0.71647058823529408</v>
      </c>
      <c r="D201" s="23">
        <f>'Total and digestible IAA'!AI201/$D$2</f>
        <v>1.1075757575757574</v>
      </c>
      <c r="E201" s="23">
        <f>'Total and digestible IAA'!AJ201/$E$2</f>
        <v>0.8640000000000001</v>
      </c>
      <c r="F201" s="23">
        <f>'Total and digestible IAA'!AK201/$F$2</f>
        <v>0.80888888888888888</v>
      </c>
      <c r="G201" s="23">
        <f>'Total and digestible IAA'!AL201/$G$2</f>
        <v>0.96309178743961354</v>
      </c>
      <c r="H201" s="23">
        <f>'Total and digestible IAA'!AM201/$H$2</f>
        <v>0.90747474747474766</v>
      </c>
      <c r="I201" s="23">
        <f>'Total and digestible IAA'!AN201/$I$2</f>
        <v>0.44680851063829785</v>
      </c>
      <c r="J201" s="23">
        <f>'Total and digestible IAA'!AO201/$J$2</f>
        <v>0.81199999999999994</v>
      </c>
      <c r="K201" s="23">
        <f>'Total and digestible IAA'!AP201/$K$2</f>
        <v>0.83777777777777784</v>
      </c>
      <c r="L201" s="24">
        <f t="shared" si="3"/>
        <v>44.680851063829785</v>
      </c>
      <c r="M201" s="14" t="s">
        <v>356</v>
      </c>
    </row>
    <row r="202" spans="1:13" s="4" customFormat="1" x14ac:dyDescent="0.25">
      <c r="A202" s="4" t="s">
        <v>115</v>
      </c>
      <c r="B202" s="5" t="s">
        <v>28</v>
      </c>
      <c r="C202" s="23">
        <f>'Total and digestible IAA'!AH202/$C$2</f>
        <v>0.70460358056265981</v>
      </c>
      <c r="D202" s="23">
        <f>'Total and digestible IAA'!AI202/$D$2</f>
        <v>1.0918972332015811</v>
      </c>
      <c r="E202" s="23">
        <f>'Total and digestible IAA'!AJ202/$E$2</f>
        <v>0.8579710144927537</v>
      </c>
      <c r="F202" s="23">
        <f>'Total and digestible IAA'!AK202/$F$2</f>
        <v>0.7967995169082126</v>
      </c>
      <c r="G202" s="23">
        <f>'Total and digestible IAA'!AL202/$G$2</f>
        <v>0.96271791640411686</v>
      </c>
      <c r="H202" s="23">
        <f>'Total and digestible IAA'!AM202/$H$2</f>
        <v>0.90733421168203787</v>
      </c>
      <c r="I202" s="23">
        <f>'Total and digestible IAA'!AN202/$I$2</f>
        <v>0.437095282146161</v>
      </c>
      <c r="J202" s="23">
        <f>'Total and digestible IAA'!AO202/$J$2</f>
        <v>0.80237154150197632</v>
      </c>
      <c r="K202" s="23">
        <f>'Total and digestible IAA'!AP202/$K$2</f>
        <v>0.84782608695652173</v>
      </c>
      <c r="L202" s="24">
        <f t="shared" si="3"/>
        <v>43.7095282146161</v>
      </c>
      <c r="M202" s="14" t="s">
        <v>356</v>
      </c>
    </row>
    <row r="203" spans="1:13" s="4" customFormat="1" x14ac:dyDescent="0.25">
      <c r="A203" s="4" t="s">
        <v>258</v>
      </c>
      <c r="B203" s="5" t="s">
        <v>28</v>
      </c>
      <c r="C203" s="23">
        <f>'Total and digestible IAA'!AH203/$C$2</f>
        <v>0.75896470588235299</v>
      </c>
      <c r="D203" s="23">
        <f>'Total and digestible IAA'!AI203/$D$2</f>
        <v>1.6308045454545452</v>
      </c>
      <c r="E203" s="23">
        <f>'Total and digestible IAA'!AJ203/$E$2</f>
        <v>1.434949090909091</v>
      </c>
      <c r="F203" s="23">
        <f>'Total and digestible IAA'!AK203/$F$2</f>
        <v>1.1556104166666668</v>
      </c>
      <c r="G203" s="23">
        <f>'Total and digestible IAA'!AL203/$G$2</f>
        <v>1.4141217391304348</v>
      </c>
      <c r="H203" s="23">
        <f>'Total and digestible IAA'!AM203/$H$2</f>
        <v>1.4495181818181815</v>
      </c>
      <c r="I203" s="23">
        <f>'Total and digestible IAA'!AN203/$I$2</f>
        <v>0.61724361702127661</v>
      </c>
      <c r="J203" s="23">
        <f>'Total and digestible IAA'!AO203/$J$2</f>
        <v>1.1385909090909092</v>
      </c>
      <c r="K203" s="23">
        <f>'Total and digestible IAA'!AP203/$K$2</f>
        <v>0.78673809523809535</v>
      </c>
      <c r="L203" s="24">
        <f t="shared" si="3"/>
        <v>61.724361702127659</v>
      </c>
      <c r="M203" s="14" t="s">
        <v>356</v>
      </c>
    </row>
    <row r="204" spans="1:13" s="6" customFormat="1" x14ac:dyDescent="0.25">
      <c r="C204" s="36"/>
      <c r="D204" s="36"/>
      <c r="E204" s="36"/>
      <c r="F204" s="36"/>
      <c r="G204" s="36"/>
      <c r="H204" s="36"/>
      <c r="I204" s="36"/>
      <c r="J204" s="36"/>
      <c r="K204" s="36"/>
      <c r="L204" s="37"/>
      <c r="M204" s="16"/>
    </row>
    <row r="205" spans="1:13" x14ac:dyDescent="0.25">
      <c r="A205" s="5" t="s">
        <v>159</v>
      </c>
      <c r="B205" s="5" t="s">
        <v>297</v>
      </c>
      <c r="C205" s="23">
        <f>'Total and digestible IAA'!AH205/$C$2</f>
        <v>0.36470588235294121</v>
      </c>
      <c r="D205" s="23">
        <f>'Total and digestible IAA'!AI205/$D$2</f>
        <v>0.44318181818181818</v>
      </c>
      <c r="E205" s="23">
        <f>'Total and digestible IAA'!AJ205/$E$2</f>
        <v>0.47727272727272718</v>
      </c>
      <c r="F205" s="23">
        <f>'Total and digestible IAA'!AK205/$F$2</f>
        <v>0.45299479166666662</v>
      </c>
      <c r="G205" s="23">
        <f>'Total and digestible IAA'!AL205/$G$2</f>
        <v>0.35724637681159416</v>
      </c>
      <c r="H205" s="23">
        <f>'Total and digestible IAA'!AM205/$H$2</f>
        <v>0.50303030303030305</v>
      </c>
      <c r="I205" s="23">
        <f>'Total and digestible IAA'!AN205/$I$2</f>
        <v>0.49069148936170204</v>
      </c>
      <c r="J205" s="23">
        <f>'Total and digestible IAA'!AO205/$J$2</f>
        <v>0.49499999999999994</v>
      </c>
      <c r="K205" s="23">
        <f>'Total and digestible IAA'!AP205/$K$2</f>
        <v>0.73928571428571432</v>
      </c>
      <c r="L205" s="24">
        <f t="shared" si="3"/>
        <v>35.724637681159415</v>
      </c>
      <c r="M205" s="15" t="s">
        <v>6</v>
      </c>
    </row>
    <row r="206" spans="1:13" x14ac:dyDescent="0.25">
      <c r="A206" s="5" t="s">
        <v>161</v>
      </c>
      <c r="B206" s="5" t="s">
        <v>297</v>
      </c>
      <c r="C206" s="23">
        <f>'Total and digestible IAA'!AH206/$C$2</f>
        <v>0.52565707133917405</v>
      </c>
      <c r="D206" s="23">
        <f>'Total and digestible IAA'!AI206/$D$2</f>
        <v>0.48162475822050282</v>
      </c>
      <c r="E206" s="23">
        <f>'Total and digestible IAA'!AJ206/$E$2</f>
        <v>0.26305609284332687</v>
      </c>
      <c r="F206" s="23">
        <f>'Total and digestible IAA'!AK206/$F$2</f>
        <v>0.42420212765957449</v>
      </c>
      <c r="G206" s="23">
        <f>'Total and digestible IAA'!AL206/$G$2</f>
        <v>0.44557508479802649</v>
      </c>
      <c r="H206" s="23">
        <f>'Total and digestible IAA'!AM206/$H$2</f>
        <v>0.33075435203094777</v>
      </c>
      <c r="I206" s="23">
        <f>'Total and digestible IAA'!AN206/$I$2</f>
        <v>0.29764599366229061</v>
      </c>
      <c r="J206" s="23">
        <f>'Total and digestible IAA'!AO206/$J$2</f>
        <v>0.42746615087040618</v>
      </c>
      <c r="K206" s="23">
        <f>'Total and digestible IAA'!AP206/$K$2</f>
        <v>2.7325227963525838</v>
      </c>
      <c r="L206" s="24">
        <f t="shared" si="3"/>
        <v>26.305609284332686</v>
      </c>
      <c r="M206" s="15" t="s">
        <v>7</v>
      </c>
    </row>
    <row r="207" spans="1:13" x14ac:dyDescent="0.25">
      <c r="A207" s="5" t="s">
        <v>163</v>
      </c>
      <c r="B207" s="5" t="s">
        <v>297</v>
      </c>
      <c r="C207" s="23">
        <f>'Total and digestible IAA'!AH207/$C$2</f>
        <v>0.39327731092436968</v>
      </c>
      <c r="D207" s="23">
        <f>'Total and digestible IAA'!AI207/$D$2</f>
        <v>0.55000000000000004</v>
      </c>
      <c r="E207" s="23">
        <f>'Total and digestible IAA'!AJ207/$E$2</f>
        <v>0.48389610389610388</v>
      </c>
      <c r="F207" s="23">
        <f>'Total and digestible IAA'!AK207/$F$2</f>
        <v>0.46934523809523809</v>
      </c>
      <c r="G207" s="23">
        <f>'Total and digestible IAA'!AL207/$G$2</f>
        <v>0.38757763975155274</v>
      </c>
      <c r="H207" s="23">
        <f>'Total and digestible IAA'!AM207/$H$2</f>
        <v>0.52121212121212124</v>
      </c>
      <c r="I207" s="23">
        <f>'Total and digestible IAA'!AN207/$I$2</f>
        <v>0.60972644376899687</v>
      </c>
      <c r="J207" s="23">
        <f>'Total and digestible IAA'!AO207/$J$2</f>
        <v>0.62337662337662336</v>
      </c>
      <c r="K207" s="23">
        <f>'Total and digestible IAA'!AP207/$K$2</f>
        <v>0.78095238095238084</v>
      </c>
      <c r="L207" s="24">
        <f t="shared" si="3"/>
        <v>38.757763975155271</v>
      </c>
      <c r="M207" s="15" t="s">
        <v>6</v>
      </c>
    </row>
    <row r="208" spans="1:13" x14ac:dyDescent="0.25">
      <c r="A208" s="5" t="s">
        <v>165</v>
      </c>
      <c r="B208" s="5" t="s">
        <v>297</v>
      </c>
      <c r="C208" s="23">
        <f>'Total and digestible IAA'!AH208/$C$2</f>
        <v>0.42245989304812842</v>
      </c>
      <c r="D208" s="23">
        <f>'Total and digestible IAA'!AI208/$D$2</f>
        <v>0.64462809917355379</v>
      </c>
      <c r="E208" s="23">
        <f>'Total and digestible IAA'!AJ208/$E$2</f>
        <v>0.54214876033057857</v>
      </c>
      <c r="F208" s="23">
        <f>'Total and digestible IAA'!AK208/$F$2</f>
        <v>0.47727272727272729</v>
      </c>
      <c r="G208" s="23">
        <f>'Total and digestible IAA'!AL208/$G$2</f>
        <v>0.41633728590250341</v>
      </c>
      <c r="H208" s="23">
        <f>'Total and digestible IAA'!AM208/$H$2</f>
        <v>0.44628099173553726</v>
      </c>
      <c r="I208" s="23">
        <f>'Total and digestible IAA'!AN208/$I$2</f>
        <v>0.6518375241779496</v>
      </c>
      <c r="J208" s="23">
        <f>'Total and digestible IAA'!AO208/$J$2</f>
        <v>0.66942148760330578</v>
      </c>
      <c r="K208" s="23">
        <f>'Total and digestible IAA'!AP208/$K$2</f>
        <v>0.71861471861471871</v>
      </c>
      <c r="L208" s="24">
        <f t="shared" si="3"/>
        <v>41.633728590250342</v>
      </c>
      <c r="M208" s="15" t="s">
        <v>6</v>
      </c>
    </row>
    <row r="209" spans="1:14" x14ac:dyDescent="0.25">
      <c r="A209" s="5" t="s">
        <v>167</v>
      </c>
      <c r="B209" s="5" t="s">
        <v>297</v>
      </c>
      <c r="C209" s="23">
        <f>'Total and digestible IAA'!AH209/$C$2</f>
        <v>0.33174740484429072</v>
      </c>
      <c r="D209" s="23">
        <f>'Total and digestible IAA'!AI209/$D$2</f>
        <v>0.44769385026737968</v>
      </c>
      <c r="E209" s="23">
        <f>'Total and digestible IAA'!AJ209/$E$2</f>
        <v>0.44545454545454544</v>
      </c>
      <c r="F209" s="23">
        <f>'Total and digestible IAA'!AK209/$F$2</f>
        <v>0.47035845588235287</v>
      </c>
      <c r="G209" s="23">
        <f>'Total and digestible IAA'!AL209/$G$2</f>
        <v>0.31649616368286454</v>
      </c>
      <c r="H209" s="23">
        <f>'Total and digestible IAA'!AM209/$H$2</f>
        <v>0.40641711229946526</v>
      </c>
      <c r="I209" s="23">
        <f>'Total and digestible IAA'!AN209/$I$2</f>
        <v>0.40801001251564445</v>
      </c>
      <c r="J209" s="23">
        <f>'Total and digestible IAA'!AO209/$J$2</f>
        <v>0.44491978609625671</v>
      </c>
      <c r="K209" s="23">
        <f>'Total and digestible IAA'!AP209/$K$2</f>
        <v>0.64705882352941169</v>
      </c>
      <c r="L209" s="24">
        <f t="shared" si="3"/>
        <v>31.649616368286456</v>
      </c>
      <c r="M209" s="15" t="s">
        <v>8</v>
      </c>
    </row>
    <row r="210" spans="1:14" x14ac:dyDescent="0.25">
      <c r="A210" s="5" t="s">
        <v>169</v>
      </c>
      <c r="B210" s="5" t="s">
        <v>297</v>
      </c>
      <c r="C210" s="23">
        <f>'Total and digestible IAA'!AH210/$C$2</f>
        <v>0.35952589991220368</v>
      </c>
      <c r="D210" s="23">
        <f>'Total and digestible IAA'!AI210/$D$2</f>
        <v>0.49423337856173682</v>
      </c>
      <c r="E210" s="23">
        <f>'Total and digestible IAA'!AJ210/$E$2</f>
        <v>0.48168249660786971</v>
      </c>
      <c r="F210" s="23">
        <f>'Total and digestible IAA'!AK210/$F$2</f>
        <v>0.49370335820895517</v>
      </c>
      <c r="G210" s="23">
        <f>'Total and digestible IAA'!AL210/$G$2</f>
        <v>0.34393251135626213</v>
      </c>
      <c r="H210" s="23">
        <f>'Total and digestible IAA'!AM210/$H$2</f>
        <v>0.44369063772048845</v>
      </c>
      <c r="I210" s="23">
        <f>'Total and digestible IAA'!AN210/$I$2</f>
        <v>0.42823118450301684</v>
      </c>
      <c r="J210" s="23">
        <f>'Total and digestible IAA'!AO210/$J$2</f>
        <v>0.47978290366350074</v>
      </c>
      <c r="K210" s="23">
        <f>'Total and digestible IAA'!AP210/$K$2</f>
        <v>0.67164179104477617</v>
      </c>
      <c r="L210" s="24">
        <f t="shared" si="3"/>
        <v>34.393251135626215</v>
      </c>
      <c r="M210" s="15" t="s">
        <v>8</v>
      </c>
    </row>
    <row r="211" spans="1:14" x14ac:dyDescent="0.25">
      <c r="A211" s="5" t="s">
        <v>171</v>
      </c>
      <c r="B211" s="5" t="s">
        <v>297</v>
      </c>
      <c r="C211" s="23">
        <f>'Total and digestible IAA'!AH211/$C$2</f>
        <v>0.31764705882352945</v>
      </c>
      <c r="D211" s="23">
        <f>'Total and digestible IAA'!AI211/$D$2</f>
        <v>0.42159090909090913</v>
      </c>
      <c r="E211" s="23">
        <f>'Total and digestible IAA'!AJ211/$E$2</f>
        <v>0.42545454545454559</v>
      </c>
      <c r="F211" s="23">
        <f>'Total and digestible IAA'!AK211/$F$2</f>
        <v>0.44687499999999997</v>
      </c>
      <c r="G211" s="23">
        <f>'Total and digestible IAA'!AL211/$G$2</f>
        <v>0.27695652173913049</v>
      </c>
      <c r="H211" s="23">
        <f>'Total and digestible IAA'!AM211/$H$2</f>
        <v>0.39696969696969703</v>
      </c>
      <c r="I211" s="23">
        <f>'Total and digestible IAA'!AN211/$I$2</f>
        <v>0.39148936170212761</v>
      </c>
      <c r="J211" s="23">
        <f>'Total and digestible IAA'!AO211/$J$2</f>
        <v>0.41454545454545449</v>
      </c>
      <c r="K211" s="23">
        <f>'Total and digestible IAA'!AP211/$K$2</f>
        <v>0.59047619047619049</v>
      </c>
      <c r="L211" s="24">
        <f t="shared" si="3"/>
        <v>27.69565217391305</v>
      </c>
      <c r="M211" s="15" t="s">
        <v>8</v>
      </c>
    </row>
    <row r="212" spans="1:14" x14ac:dyDescent="0.25">
      <c r="A212" s="5" t="s">
        <v>173</v>
      </c>
      <c r="B212" s="5" t="s">
        <v>297</v>
      </c>
      <c r="C212" s="23">
        <f>'Total and digestible IAA'!AH212/$C$2</f>
        <v>0.36757532281205169</v>
      </c>
      <c r="D212" s="23">
        <f>'Total and digestible IAA'!AI212/$D$2</f>
        <v>0.45898004434589795</v>
      </c>
      <c r="E212" s="23">
        <f>'Total and digestible IAA'!AJ212/$E$2</f>
        <v>0.48425720620842572</v>
      </c>
      <c r="F212" s="23">
        <f>'Total and digestible IAA'!AK212/$F$2</f>
        <v>0.47982723577235764</v>
      </c>
      <c r="G212" s="23">
        <f>'Total and digestible IAA'!AL212/$G$2</f>
        <v>0.43054082714740188</v>
      </c>
      <c r="H212" s="23">
        <f>'Total and digestible IAA'!AM212/$H$2</f>
        <v>0.70598669623059862</v>
      </c>
      <c r="I212" s="23">
        <f>'Total and digestible IAA'!AN212/$I$2</f>
        <v>0.80238713025428121</v>
      </c>
      <c r="J212" s="23">
        <f>'Total and digestible IAA'!AO212/$J$2</f>
        <v>0.50926829268292684</v>
      </c>
      <c r="K212" s="23">
        <f>'Total and digestible IAA'!AP212/$K$2</f>
        <v>0.94773519163763065</v>
      </c>
      <c r="L212" s="24">
        <f t="shared" si="3"/>
        <v>36.757532281205165</v>
      </c>
      <c r="M212" s="15" t="s">
        <v>6</v>
      </c>
    </row>
    <row r="213" spans="1:14" s="6" customFormat="1" x14ac:dyDescent="0.25">
      <c r="C213" s="36"/>
      <c r="D213" s="36"/>
      <c r="E213" s="36"/>
      <c r="F213" s="36"/>
      <c r="G213" s="36"/>
      <c r="H213" s="36"/>
      <c r="I213" s="36"/>
      <c r="J213" s="36"/>
      <c r="K213" s="36"/>
      <c r="L213" s="37"/>
      <c r="M213" s="16"/>
    </row>
    <row r="214" spans="1:14" x14ac:dyDescent="0.25">
      <c r="A214" s="5" t="str">
        <f>'IAA digestibility'!A214</f>
        <v>Brewers yeast</v>
      </c>
      <c r="B214" s="5" t="str">
        <f>'IAA digestibility'!B214</f>
        <v>Others</v>
      </c>
      <c r="C214" s="23">
        <f>'Total and digestible IAA'!AH214/$C$2</f>
        <v>0.54992585269401884</v>
      </c>
      <c r="D214" s="23">
        <f>'Total and digestible IAA'!AI214/$D$2</f>
        <v>0.81636745607333838</v>
      </c>
      <c r="E214" s="23">
        <f>'Total and digestible IAA'!AJ214/$E$2</f>
        <v>0.65454545454545454</v>
      </c>
      <c r="F214" s="23">
        <f>'Total and digestible IAA'!AK214/$F$2</f>
        <v>0.52641369047619047</v>
      </c>
      <c r="G214" s="23">
        <f>'Total and digestible IAA'!AL214/$G$2</f>
        <v>0.77968578735842164</v>
      </c>
      <c r="H214" s="23">
        <f>'Total and digestible IAA'!AM214/$H$2</f>
        <v>0.50241914947797295</v>
      </c>
      <c r="I214" s="23">
        <f>'Total and digestible IAA'!AN214/$I$2</f>
        <v>0.56975236903271942</v>
      </c>
      <c r="J214" s="23">
        <f>'Total and digestible IAA'!AO214/$J$2</f>
        <v>0.73051948051948057</v>
      </c>
      <c r="K214" s="23">
        <f>'Total and digestible IAA'!AP214/$K$2</f>
        <v>0.84033613445378152</v>
      </c>
      <c r="L214" s="24">
        <f t="shared" si="3"/>
        <v>50.241914947797298</v>
      </c>
      <c r="M214" s="15" t="s">
        <v>355</v>
      </c>
    </row>
    <row r="215" spans="1:14" x14ac:dyDescent="0.25">
      <c r="A215" s="5" t="str">
        <f>'IAA digestibility'!A215</f>
        <v>Mustard bran</v>
      </c>
      <c r="B215" s="5" t="str">
        <f>'IAA digestibility'!B215</f>
        <v>Others</v>
      </c>
      <c r="C215" s="23">
        <f>'Total and digestible IAA'!AH215/$C$2</f>
        <v>0.46218487394957986</v>
      </c>
      <c r="D215" s="23">
        <f>'Total and digestible IAA'!AI215/$D$2</f>
        <v>0.57542457542457548</v>
      </c>
      <c r="E215" s="23">
        <f>'Total and digestible IAA'!AJ215/$E$2</f>
        <v>0.42437562437562437</v>
      </c>
      <c r="F215" s="23">
        <f>'Total and digestible IAA'!AK215/$F$2</f>
        <v>0.39812271062271071</v>
      </c>
      <c r="G215" s="23">
        <f>'Total and digestible IAA'!AL215/$G$2</f>
        <v>0.4264214046822743</v>
      </c>
      <c r="H215" s="23">
        <f>'Total and digestible IAA'!AM215/$H$2</f>
        <v>0.62604062604062605</v>
      </c>
      <c r="I215" s="23">
        <f>'Total and digestible IAA'!AN215/$I$2</f>
        <v>0.46229833995791436</v>
      </c>
      <c r="J215" s="23">
        <f>'Total and digestible IAA'!AO215/$J$2</f>
        <v>0.53846153846153844</v>
      </c>
      <c r="K215" s="23">
        <f>'Total and digestible IAA'!AP215/$K$2</f>
        <v>0.71585557299843006</v>
      </c>
      <c r="L215" s="24">
        <f t="shared" ref="L215:L250" si="4">MIN(C215:K215)*100</f>
        <v>39.812271062271073</v>
      </c>
      <c r="M215" s="15" t="s">
        <v>526</v>
      </c>
    </row>
    <row r="216" spans="1:14" x14ac:dyDescent="0.25">
      <c r="A216" s="5" t="str">
        <f>'IAA digestibility'!A216</f>
        <v>Single cell protein (from Corynebacterium)</v>
      </c>
      <c r="B216" s="5" t="str">
        <f>'IAA digestibility'!B216</f>
        <v>Others</v>
      </c>
      <c r="C216" s="23">
        <f>'Total and digestible IAA'!AH216/$C$2</f>
        <v>1.2585342333654774</v>
      </c>
      <c r="D216" s="23">
        <f>'Total and digestible IAA'!AI216/$D$2</f>
        <v>1.0082973174366616</v>
      </c>
      <c r="E216" s="23">
        <f>'Total and digestible IAA'!AJ216/$E$2</f>
        <v>0.75286438152011925</v>
      </c>
      <c r="F216" s="23">
        <f>'Total and digestible IAA'!AK216/$F$2</f>
        <v>0.67721994535519137</v>
      </c>
      <c r="G216" s="23">
        <f>'Total and digestible IAA'!AL216/$G$2</f>
        <v>0.49902589688762178</v>
      </c>
      <c r="H216" s="23">
        <f>'Total and digestible IAA'!AM216/$H$2</f>
        <v>1.1366020864381519</v>
      </c>
      <c r="I216" s="23">
        <f>'Total and digestible IAA'!AN216/$I$2</f>
        <v>0.59028775723753057</v>
      </c>
      <c r="J216" s="23">
        <f>'Total and digestible IAA'!AO216/$J$2</f>
        <v>1.007839046199702</v>
      </c>
      <c r="K216" s="23">
        <f>'Total and digestible IAA'!AP216/$K$2</f>
        <v>0.56213895394223257</v>
      </c>
      <c r="L216" s="24">
        <f t="shared" si="4"/>
        <v>49.902589688762177</v>
      </c>
      <c r="M216" s="15" t="s">
        <v>8</v>
      </c>
    </row>
    <row r="217" spans="1:14" x14ac:dyDescent="0.25">
      <c r="A217" s="5" t="str">
        <f>'IAA digestibility'!A217</f>
        <v xml:space="preserve">Soy bean meal </v>
      </c>
      <c r="B217" s="5" t="str">
        <f>'IAA digestibility'!B217</f>
        <v>Legumes &amp; oilseeds</v>
      </c>
      <c r="C217" s="23">
        <f>'Total and digestible IAA'!AH217/$C$2</f>
        <v>0.81681415929203549</v>
      </c>
      <c r="D217" s="23">
        <f>'Total and digestible IAA'!AI217/$D$2</f>
        <v>0.72502011263073207</v>
      </c>
      <c r="E217" s="23">
        <f>'Total and digestible IAA'!AJ217/$E$2</f>
        <v>0.68027353177795646</v>
      </c>
      <c r="F217" s="23">
        <f>'Total and digestible IAA'!AK217/$F$2</f>
        <v>0.70919524336283191</v>
      </c>
      <c r="G217" s="23">
        <f>'Total and digestible IAA'!AL217/$G$2</f>
        <v>0.83520905476465312</v>
      </c>
      <c r="H217" s="23">
        <f>'Total and digestible IAA'!AM217/$H$2</f>
        <v>0.69667471171895956</v>
      </c>
      <c r="I217" s="23">
        <f>'Total and digestible IAA'!AN217/$I$2</f>
        <v>0.76281538316701192</v>
      </c>
      <c r="J217" s="23">
        <f>'Total and digestible IAA'!AO217/$J$2</f>
        <v>0.70443282381335481</v>
      </c>
      <c r="K217" s="23">
        <f>'Total and digestible IAA'!AP217/$K$2</f>
        <v>0.97282975136957428</v>
      </c>
      <c r="L217" s="24">
        <f t="shared" si="4"/>
        <v>68.027353177795646</v>
      </c>
      <c r="M217" s="5" t="s">
        <v>7</v>
      </c>
    </row>
    <row r="218" spans="1:14" x14ac:dyDescent="0.25">
      <c r="A218" s="5" t="str">
        <f>'IAA digestibility'!A218</f>
        <v xml:space="preserve">Soybean meal (conventionally processed) </v>
      </c>
      <c r="B218" s="5" t="str">
        <f>'IAA digestibility'!B218</f>
        <v>Legumes &amp; oilseeds</v>
      </c>
      <c r="C218" s="23">
        <f>'Total and digestible IAA'!AH218/$C$2</f>
        <v>0.69524352742783457</v>
      </c>
      <c r="D218" s="23">
        <f>'Total and digestible IAA'!AI218/$D$2</f>
        <v>0.75022995554192851</v>
      </c>
      <c r="E218" s="23">
        <f>'Total and digestible IAA'!AJ218/$E$2</f>
        <v>0.73068373447800106</v>
      </c>
      <c r="F218" s="23">
        <f>'Total and digestible IAA'!AK218/$F$2</f>
        <v>0.71880269814502551</v>
      </c>
      <c r="G218" s="23">
        <f>'Total and digestible IAA'!AL218/$G$2</f>
        <v>0.83003397121001055</v>
      </c>
      <c r="H218" s="23">
        <f>'Total and digestible IAA'!AM218/$H$2</f>
        <v>0.73260003066073898</v>
      </c>
      <c r="I218" s="23"/>
      <c r="J218" s="23">
        <f>'Total and digestible IAA'!AO218/$J$2</f>
        <v>0.74984669630538103</v>
      </c>
      <c r="K218" s="23">
        <f>'Total and digestible IAA'!AP218/$K$2</f>
        <v>1.1322572874006265</v>
      </c>
      <c r="L218" s="24">
        <f t="shared" si="4"/>
        <v>69.524352742783464</v>
      </c>
      <c r="M218" s="5" t="s">
        <v>6</v>
      </c>
      <c r="N218" s="5" t="s">
        <v>539</v>
      </c>
    </row>
    <row r="219" spans="1:14" x14ac:dyDescent="0.25">
      <c r="A219" s="5" t="str">
        <f>'IAA digestibility'!A219</f>
        <v>Soybean meal (autoclaved, 110oC, 15 min)</v>
      </c>
      <c r="B219" s="5" t="str">
        <f>'IAA digestibility'!B219</f>
        <v>Legumes &amp; oilseeds</v>
      </c>
      <c r="C219" s="23">
        <f>'Total and digestible IAA'!AH219/$C$2</f>
        <v>0.70627747320590706</v>
      </c>
      <c r="D219" s="23">
        <f>'Total and digestible IAA'!AI219/$D$2</f>
        <v>0.76425463705060703</v>
      </c>
      <c r="E219" s="23">
        <f>'Total and digestible IAA'!AJ219/$E$2</f>
        <v>0.73826425463705059</v>
      </c>
      <c r="F219" s="23">
        <f>'Total and digestible IAA'!AK219/$F$2</f>
        <v>0.7340863769941226</v>
      </c>
      <c r="G219" s="23">
        <f>'Total and digestible IAA'!AL219/$G$2</f>
        <v>0.8264276761703111</v>
      </c>
      <c r="H219" s="23">
        <f>'Total and digestible IAA'!AM219/$H$2</f>
        <v>0.72310001781034539</v>
      </c>
      <c r="I219" s="23"/>
      <c r="J219" s="23">
        <f>'Total and digestible IAA'!AO219/$J$2</f>
        <v>0.76059079459583234</v>
      </c>
      <c r="K219" s="23">
        <f>'Total and digestible IAA'!AP219/$K$2</f>
        <v>1.1341009955619528</v>
      </c>
      <c r="L219" s="24">
        <f t="shared" si="4"/>
        <v>70.6277473205907</v>
      </c>
      <c r="M219" s="5" t="s">
        <v>6</v>
      </c>
      <c r="N219" s="5" t="s">
        <v>539</v>
      </c>
    </row>
    <row r="220" spans="1:14" x14ac:dyDescent="0.25">
      <c r="A220" s="5" t="str">
        <f>'IAA digestibility'!A220</f>
        <v>Soybean meal (autoclaved, 110oC, 30 min)</v>
      </c>
      <c r="B220" s="5" t="str">
        <f>'IAA digestibility'!B220</f>
        <v>Legumes &amp; oilseeds</v>
      </c>
      <c r="C220" s="23">
        <f>'Total and digestible IAA'!AH220/$C$2</f>
        <v>0.70617659318833836</v>
      </c>
      <c r="D220" s="23">
        <f>'Total and digestible IAA'!AI220/$D$2</f>
        <v>0.75883891015195737</v>
      </c>
      <c r="E220" s="23">
        <f>'Total and digestible IAA'!AJ220/$E$2</f>
        <v>0.72950850733260064</v>
      </c>
      <c r="F220" s="23">
        <f>'Total and digestible IAA'!AK220/$F$2</f>
        <v>0.72686536056690298</v>
      </c>
      <c r="G220" s="23">
        <f>'Total and digestible IAA'!AL220/$G$2</f>
        <v>0.80060532468238588</v>
      </c>
      <c r="H220" s="23">
        <f>'Total and digestible IAA'!AM220/$H$2</f>
        <v>0.7113443732868493</v>
      </c>
      <c r="I220" s="23"/>
      <c r="J220" s="23">
        <f>'Total and digestible IAA'!AO220/$J$2</f>
        <v>0.75175262419947697</v>
      </c>
      <c r="K220" s="23">
        <f>'Total and digestible IAA'!AP220/$K$2</f>
        <v>1.1288433672760474</v>
      </c>
      <c r="L220" s="24">
        <f t="shared" si="4"/>
        <v>70.61765931883383</v>
      </c>
      <c r="M220" s="5" t="s">
        <v>6</v>
      </c>
      <c r="N220" s="5" t="s">
        <v>539</v>
      </c>
    </row>
    <row r="221" spans="1:14" x14ac:dyDescent="0.25">
      <c r="A221" s="5" t="str">
        <f>'IAA digestibility'!A221</f>
        <v>Soybean meal (autoclaved, 150oC, 3 min)</v>
      </c>
      <c r="B221" s="5" t="str">
        <f>'IAA digestibility'!B221</f>
        <v>Legumes &amp; oilseeds</v>
      </c>
      <c r="C221" s="23">
        <f>'Total and digestible IAA'!AH221/$C$2</f>
        <v>0.66144173628455771</v>
      </c>
      <c r="D221" s="23">
        <f>'Total and digestible IAA'!AI221/$D$2</f>
        <v>0.69836093628187335</v>
      </c>
      <c r="E221" s="23">
        <f>'Total and digestible IAA'!AJ221/$E$2</f>
        <v>0.69810423836778157</v>
      </c>
      <c r="F221" s="23">
        <f>'Total and digestible IAA'!AK221/$F$2</f>
        <v>0.68238862162727454</v>
      </c>
      <c r="G221" s="23">
        <f>'Total and digestible IAA'!AL221/$G$2</f>
        <v>0.66204086829206188</v>
      </c>
      <c r="H221" s="23">
        <f>'Total and digestible IAA'!AM221/$H$2</f>
        <v>0.58451065771709998</v>
      </c>
      <c r="I221" s="23"/>
      <c r="J221" s="23">
        <f>'Total and digestible IAA'!AO221/$J$2</f>
        <v>0.7046833108326519</v>
      </c>
      <c r="K221" s="23">
        <f>'Total and digestible IAA'!AP221/$K$2</f>
        <v>1.0224997758986465</v>
      </c>
      <c r="L221" s="24">
        <f t="shared" si="4"/>
        <v>58.451065771709999</v>
      </c>
      <c r="M221" s="5" t="s">
        <v>355</v>
      </c>
      <c r="N221" s="5" t="s">
        <v>539</v>
      </c>
    </row>
    <row r="222" spans="1:14" x14ac:dyDescent="0.25">
      <c r="A222" s="5" t="str">
        <f>'IAA digestibility'!A222</f>
        <v>Soybean meal (autoclaved, 150oC, 6 min)</v>
      </c>
      <c r="B222" s="5" t="str">
        <f>'IAA digestibility'!B222</f>
        <v>Legumes &amp; oilseeds</v>
      </c>
      <c r="C222" s="23">
        <f>'Total and digestible IAA'!AH222/$C$2</f>
        <v>0.6379470650220046</v>
      </c>
      <c r="D222" s="23">
        <f>'Total and digestible IAA'!AI222/$D$2</f>
        <v>0.70696426860810424</v>
      </c>
      <c r="E222" s="23">
        <f>'Total and digestible IAA'!AJ222/$E$2</f>
        <v>0.70673436152888203</v>
      </c>
      <c r="F222" s="23">
        <f>'Total and digestible IAA'!AK222/$F$2</f>
        <v>0.69546891464699689</v>
      </c>
      <c r="G222" s="23">
        <f>'Total and digestible IAA'!AL222/$G$2</f>
        <v>0.59623402208274157</v>
      </c>
      <c r="H222" s="23">
        <f>'Total and digestible IAA'!AM222/$H$2</f>
        <v>0.54283615927451545</v>
      </c>
      <c r="I222" s="23"/>
      <c r="J222" s="23">
        <f>'Total and digestible IAA'!AO222/$J$2</f>
        <v>0.71654373024236029</v>
      </c>
      <c r="K222" s="23">
        <f>'Total and digestible IAA'!AP222/$K$2</f>
        <v>1.0788298459531336</v>
      </c>
      <c r="L222" s="24">
        <f t="shared" si="4"/>
        <v>54.283615927451542</v>
      </c>
      <c r="M222" s="5" t="s">
        <v>355</v>
      </c>
      <c r="N222" s="5" t="s">
        <v>539</v>
      </c>
    </row>
    <row r="223" spans="1:14" x14ac:dyDescent="0.25">
      <c r="A223" s="5" t="str">
        <f>'IAA digestibility'!A223</f>
        <v>Soybean meal (autoclaved, 150oC, 9 min)</v>
      </c>
      <c r="B223" s="5" t="str">
        <f>'IAA digestibility'!B223</f>
        <v>Legumes &amp; oilseeds</v>
      </c>
      <c r="C223" s="23">
        <f>'Total and digestible IAA'!AH223/$C$2</f>
        <v>0.64538026708795126</v>
      </c>
      <c r="D223" s="23">
        <f>'Total and digestible IAA'!AI223/$D$2</f>
        <v>0.72826460153359018</v>
      </c>
      <c r="E223" s="23">
        <f>'Total and digestible IAA'!AJ223/$E$2</f>
        <v>0.70865601037653081</v>
      </c>
      <c r="F223" s="23">
        <f>'Total and digestible IAA'!AK223/$F$2</f>
        <v>0.70202126171492507</v>
      </c>
      <c r="G223" s="23">
        <f>'Total and digestible IAA'!AL223/$G$2</f>
        <v>0.55222074233550444</v>
      </c>
      <c r="H223" s="23">
        <f>'Total and digestible IAA'!AM223/$H$2</f>
        <v>0.52995333104439268</v>
      </c>
      <c r="I223" s="23"/>
      <c r="J223" s="23">
        <f>'Total and digestible IAA'!AO223/$J$2</f>
        <v>0.72506008469080219</v>
      </c>
      <c r="K223" s="23">
        <f>'Total and digestible IAA'!AP223/$K$2</f>
        <v>1.0912615150970164</v>
      </c>
      <c r="L223" s="24">
        <f t="shared" si="4"/>
        <v>52.995333104439268</v>
      </c>
      <c r="M223" s="5" t="s">
        <v>355</v>
      </c>
      <c r="N223" s="5" t="s">
        <v>539</v>
      </c>
    </row>
    <row r="224" spans="1:14" x14ac:dyDescent="0.25">
      <c r="A224" s="5" t="str">
        <f>'IAA digestibility'!A224</f>
        <v>Soybean meal (autoclaved, 150oC, 12 min)</v>
      </c>
      <c r="B224" s="5" t="str">
        <f>'IAA digestibility'!B224</f>
        <v>Legumes &amp; oilseeds</v>
      </c>
      <c r="C224" s="23">
        <f>'Total and digestible IAA'!AH224/$C$2</f>
        <v>0.63189682290028315</v>
      </c>
      <c r="D224" s="23">
        <f>'Total and digestible IAA'!AI224/$D$2</f>
        <v>0.72061254253767626</v>
      </c>
      <c r="E224" s="23">
        <f>'Total and digestible IAA'!AJ224/$E$2</f>
        <v>0.70743801652892557</v>
      </c>
      <c r="F224" s="23">
        <f>'Total and digestible IAA'!AK224/$F$2</f>
        <v>0.70755347593582885</v>
      </c>
      <c r="G224" s="23">
        <f>'Total and digestible IAA'!AL224/$G$2</f>
        <v>0.51361698829729519</v>
      </c>
      <c r="H224" s="23">
        <f>'Total and digestible IAA'!AM224/$H$2</f>
        <v>0.51304488737643805</v>
      </c>
      <c r="I224" s="23"/>
      <c r="J224" s="23">
        <f>'Total and digestible IAA'!AO224/$J$2</f>
        <v>0.72198347107438021</v>
      </c>
      <c r="K224" s="23">
        <f>'Total and digestible IAA'!AP224/$K$2</f>
        <v>1.1082251082251082</v>
      </c>
      <c r="L224" s="24">
        <f t="shared" si="4"/>
        <v>51.304488737643808</v>
      </c>
      <c r="M224" s="5" t="s">
        <v>355</v>
      </c>
      <c r="N224" s="5" t="s">
        <v>539</v>
      </c>
    </row>
    <row r="225" spans="1:14" x14ac:dyDescent="0.25">
      <c r="A225" s="5" t="str">
        <f>'IAA digestibility'!A225</f>
        <v>Soybean meal (autoclaved, 150oC, 15 min)</v>
      </c>
      <c r="B225" s="5" t="str">
        <f>'IAA digestibility'!B225</f>
        <v>Legumes &amp; oilseeds</v>
      </c>
      <c r="C225" s="23">
        <f>'Total and digestible IAA'!AH225/$C$2</f>
        <v>0.62368889161504015</v>
      </c>
      <c r="D225" s="23">
        <f>'Total and digestible IAA'!AI225/$D$2</f>
        <v>0.71125225139823678</v>
      </c>
      <c r="E225" s="23">
        <f>'Total and digestible IAA'!AJ225/$E$2</f>
        <v>0.7043700824722724</v>
      </c>
      <c r="F225" s="23">
        <f>'Total and digestible IAA'!AK225/$F$2</f>
        <v>0.70159888773027468</v>
      </c>
      <c r="G225" s="23">
        <f>'Total and digestible IAA'!AL225/$G$2</f>
        <v>0.45563766604705991</v>
      </c>
      <c r="H225" s="23">
        <f>'Total and digestible IAA'!AM225/$H$2</f>
        <v>0.48118305052611626</v>
      </c>
      <c r="I225" s="23"/>
      <c r="J225" s="23">
        <f>'Total and digestible IAA'!AO225/$J$2</f>
        <v>0.72196416721964152</v>
      </c>
      <c r="K225" s="23">
        <f>'Total and digestible IAA'!AP225/$K$2</f>
        <v>1.0804905903967428</v>
      </c>
      <c r="L225" s="24">
        <f t="shared" si="4"/>
        <v>45.563766604705989</v>
      </c>
      <c r="M225" s="5" t="s">
        <v>8</v>
      </c>
      <c r="N225" s="5" t="s">
        <v>539</v>
      </c>
    </row>
    <row r="226" spans="1:14" x14ac:dyDescent="0.25">
      <c r="A226" s="5" t="str">
        <f>'IAA digestibility'!A226</f>
        <v>Soybean meal (autoclaved, 150oC, 18 min)</v>
      </c>
      <c r="B226" s="5" t="str">
        <f>'IAA digestibility'!B226</f>
        <v>Legumes &amp; oilseeds</v>
      </c>
      <c r="C226" s="23">
        <f>'Total and digestible IAA'!AH226/$C$2</f>
        <v>0.57393875705662412</v>
      </c>
      <c r="D226" s="23">
        <f>'Total and digestible IAA'!AI226/$D$2</f>
        <v>0.63380481172338254</v>
      </c>
      <c r="E226" s="23">
        <f>'Total and digestible IAA'!AJ226/$E$2</f>
        <v>0.6385164482380935</v>
      </c>
      <c r="F226" s="23">
        <f>'Total and digestible IAA'!AK226/$F$2</f>
        <v>0.64231062179753506</v>
      </c>
      <c r="G226" s="23">
        <f>'Total and digestible IAA'!AL226/$G$2</f>
        <v>0.36225862972128398</v>
      </c>
      <c r="H226" s="23">
        <f>'Total and digestible IAA'!AM226/$H$2</f>
        <v>0.40273948458410447</v>
      </c>
      <c r="I226" s="23"/>
      <c r="J226" s="23">
        <f>'Total and digestible IAA'!AO226/$J$2</f>
        <v>0.65641877856252606</v>
      </c>
      <c r="K226" s="23">
        <f>'Total and digestible IAA'!AP226/$K$2</f>
        <v>0.98462816784378915</v>
      </c>
      <c r="L226" s="24">
        <f t="shared" si="4"/>
        <v>36.225862972128397</v>
      </c>
      <c r="M226" s="5" t="s">
        <v>8</v>
      </c>
      <c r="N226" s="5" t="s">
        <v>539</v>
      </c>
    </row>
    <row r="227" spans="1:14" x14ac:dyDescent="0.25">
      <c r="A227" s="5" t="str">
        <f>'IAA digestibility'!A227</f>
        <v>whey protein isolate (WPI)</v>
      </c>
      <c r="B227" s="5" t="str">
        <f>'IAA digestibility'!B227</f>
        <v>Milk products</v>
      </c>
      <c r="C227" s="23">
        <f>'Total and digestible IAA'!AH227/$C$2</f>
        <v>1.2630184069403898</v>
      </c>
      <c r="D227" s="23">
        <f>'Total and digestible IAA'!AI227/$D$2</f>
        <v>1.649333887982251</v>
      </c>
      <c r="E227" s="23">
        <f>'Total and digestible IAA'!AJ227/$E$2</f>
        <v>1.2439068616470939</v>
      </c>
      <c r="F227" s="23">
        <f>'Total and digestible IAA'!AK227/$F$2</f>
        <v>1.1990716297078492</v>
      </c>
      <c r="G227" s="23">
        <f>'Total and digestible IAA'!AL227/$G$2</f>
        <v>1.4397869702952115</v>
      </c>
      <c r="H227" s="23">
        <f>'Total and digestible IAA'!AM227/$H$2</f>
        <v>1.421607841882393</v>
      </c>
      <c r="I227" s="23">
        <f>'Total and digestible IAA'!AN227/$I$2</f>
        <v>0.66990196739236263</v>
      </c>
      <c r="J227" s="23">
        <f>'Total and digestible IAA'!AO227/$J$2</f>
        <v>1.0946423047795804</v>
      </c>
      <c r="K227" s="23">
        <f>'Total and digestible IAA'!AP227/$K$2</f>
        <v>0.95539799869261344</v>
      </c>
      <c r="L227" s="24">
        <f t="shared" si="4"/>
        <v>66.990196739236268</v>
      </c>
      <c r="M227" s="5" t="s">
        <v>356</v>
      </c>
    </row>
    <row r="228" spans="1:14" x14ac:dyDescent="0.25">
      <c r="A228" s="5" t="str">
        <f>'IAA digestibility'!A228</f>
        <v>whey protein concentrate (WPC)</v>
      </c>
      <c r="B228" s="5" t="str">
        <f>'IAA digestibility'!B228</f>
        <v>Milk products</v>
      </c>
      <c r="C228" s="23">
        <f>'Total and digestible IAA'!AH228/$C$2</f>
        <v>1.1601830836167311</v>
      </c>
      <c r="D228" s="23">
        <f>'Total and digestible IAA'!AI228/$D$2</f>
        <v>1.4289834636585055</v>
      </c>
      <c r="E228" s="23">
        <f>'Total and digestible IAA'!AJ228/$E$2</f>
        <v>1.116826514083276</v>
      </c>
      <c r="F228" s="23">
        <f>'Total and digestible IAA'!AK228/$F$2</f>
        <v>1.2130656326112037</v>
      </c>
      <c r="G228" s="23">
        <f>'Total and digestible IAA'!AL228/$G$2</f>
        <v>1.3964764829481169</v>
      </c>
      <c r="H228" s="23">
        <f>'Total and digestible IAA'!AM228/$H$2</f>
        <v>1.3717744034370107</v>
      </c>
      <c r="I228" s="23">
        <f>'Total and digestible IAA'!AN228/$I$2</f>
        <v>0.70956533123140231</v>
      </c>
      <c r="J228" s="23">
        <f>'Total and digestible IAA'!AO228/$J$2</f>
        <v>1.0694433114635651</v>
      </c>
      <c r="K228" s="23">
        <f>'Total and digestible IAA'!AP228/$K$2</f>
        <v>1.0184286507834768</v>
      </c>
      <c r="L228" s="24">
        <f t="shared" si="4"/>
        <v>70.956533123140233</v>
      </c>
      <c r="M228" s="5" t="s">
        <v>356</v>
      </c>
    </row>
    <row r="229" spans="1:14" x14ac:dyDescent="0.25">
      <c r="A229" s="5" t="str">
        <f>'IAA digestibility'!A229</f>
        <v>milk protein concentrate (MPC)</v>
      </c>
      <c r="B229" s="5" t="str">
        <f>'IAA digestibility'!B229</f>
        <v>Milk products</v>
      </c>
      <c r="C229" s="23">
        <f>'Total and digestible IAA'!AH229/$C$2</f>
        <v>0.84836466604896044</v>
      </c>
      <c r="D229" s="23">
        <f>'Total and digestible IAA'!AI229/$D$2</f>
        <v>0.93967051644072119</v>
      </c>
      <c r="E229" s="23">
        <f>'Total and digestible IAA'!AJ229/$E$2</f>
        <v>0.8985988249936433</v>
      </c>
      <c r="F229" s="23">
        <f>'Total and digestible IAA'!AK229/$F$2</f>
        <v>1.0384157711369546</v>
      </c>
      <c r="G229" s="23">
        <f>'Total and digestible IAA'!AL229/$G$2</f>
        <v>1.1264793041430117</v>
      </c>
      <c r="H229" s="23">
        <f>'Total and digestible IAA'!AM229/$H$2</f>
        <v>0.96627990489318327</v>
      </c>
      <c r="I229" s="23">
        <f>'Total and digestible IAA'!AN229/$I$2</f>
        <v>1.0444105477791594</v>
      </c>
      <c r="J229" s="23">
        <f>'Total and digestible IAA'!AO229/$J$2</f>
        <v>1.1145698111692517</v>
      </c>
      <c r="K229" s="23">
        <f>'Total and digestible IAA'!AP229/$K$2</f>
        <v>1.4157430968854494</v>
      </c>
      <c r="L229" s="24">
        <f t="shared" si="4"/>
        <v>84.836466604896046</v>
      </c>
      <c r="M229" s="5" t="s">
        <v>6</v>
      </c>
    </row>
    <row r="230" spans="1:14" x14ac:dyDescent="0.25">
      <c r="A230" s="5" t="str">
        <f>'IAA digestibility'!A230</f>
        <v>skimmed milk powder (SMP)</v>
      </c>
      <c r="B230" s="5" t="str">
        <f>'IAA digestibility'!B230</f>
        <v>Milk products</v>
      </c>
      <c r="C230" s="23">
        <f>'Total and digestible IAA'!AH230/$C$2</f>
        <v>0.8342245989304814</v>
      </c>
      <c r="D230" s="23">
        <f>'Total and digestible IAA'!AI230/$D$2</f>
        <v>0.80676898858717039</v>
      </c>
      <c r="E230" s="23">
        <f>'Total and digestible IAA'!AJ230/$E$2</f>
        <v>0.84061393152302244</v>
      </c>
      <c r="F230" s="23">
        <f>'Total and digestible IAA'!AK230/$F$2</f>
        <v>0.98057960557960566</v>
      </c>
      <c r="G230" s="23">
        <f>'Total and digestible IAA'!AL230/$G$2</f>
        <v>1.1523098479620217</v>
      </c>
      <c r="H230" s="23">
        <f>'Total and digestible IAA'!AM230/$H$2</f>
        <v>0.8628274082819537</v>
      </c>
      <c r="I230" s="23">
        <f>'Total and digestible IAA'!AN230/$I$2</f>
        <v>0.96021000276319424</v>
      </c>
      <c r="J230" s="23">
        <f>'Total and digestible IAA'!AO230/$J$2</f>
        <v>1.0720188902007084</v>
      </c>
      <c r="K230" s="23">
        <f>'Total and digestible IAA'!AP230/$K$2</f>
        <v>1.3822579536865249</v>
      </c>
      <c r="L230" s="24">
        <f t="shared" si="4"/>
        <v>80.676898858717038</v>
      </c>
      <c r="M230" s="5" t="s">
        <v>527</v>
      </c>
    </row>
    <row r="231" spans="1:14" x14ac:dyDescent="0.25">
      <c r="A231" s="5" t="str">
        <f>'IAA digestibility'!A231</f>
        <v>pea protein concentrate (PPC)</v>
      </c>
      <c r="B231" s="5" t="str">
        <f>'IAA digestibility'!B231</f>
        <v>Legumes &amp; oilseeds</v>
      </c>
      <c r="C231" s="23">
        <f>'Total and digestible IAA'!AH231/$C$2</f>
        <v>0.4510596012183794</v>
      </c>
      <c r="D231" s="23">
        <f>'Total and digestible IAA'!AI231/$D$2</f>
        <v>0.71612192434814537</v>
      </c>
      <c r="E231" s="23">
        <f>'Total and digestible IAA'!AJ231/$E$2</f>
        <v>0.70179948586118246</v>
      </c>
      <c r="F231" s="23">
        <f>'Total and digestible IAA'!AK231/$F$2</f>
        <v>0.71091932917125711</v>
      </c>
      <c r="G231" s="23">
        <f>'Total and digestible IAA'!AL231/$G$2</f>
        <v>1.0499928148301905</v>
      </c>
      <c r="H231" s="23">
        <f>'Total and digestible IAA'!AM231/$H$2</f>
        <v>0.50829633091843884</v>
      </c>
      <c r="I231" s="23">
        <f>'Total and digestible IAA'!AN231/$I$2</f>
        <v>0.81041326446894446</v>
      </c>
      <c r="J231" s="23">
        <f>'Total and digestible IAA'!AO231/$J$2</f>
        <v>0.77551497345841836</v>
      </c>
      <c r="K231" s="23">
        <f>'Total and digestible IAA'!AP231/$K$2</f>
        <v>1.1878530332441462</v>
      </c>
      <c r="L231" s="24">
        <f t="shared" si="4"/>
        <v>45.105960121837938</v>
      </c>
      <c r="M231" s="5" t="s">
        <v>6</v>
      </c>
    </row>
    <row r="232" spans="1:14" x14ac:dyDescent="0.25">
      <c r="A232" s="5" t="str">
        <f>'IAA digestibility'!A232</f>
        <v>soy protein isolate (SPI)</v>
      </c>
      <c r="B232" s="5" t="str">
        <f>'IAA digestibility'!B232</f>
        <v>Legumes &amp; oilseeds</v>
      </c>
      <c r="C232" s="23">
        <f>'Total and digestible IAA'!AH232/$C$2</f>
        <v>0.79227028605528127</v>
      </c>
      <c r="D232" s="23">
        <f>'Total and digestible IAA'!AI232/$D$2</f>
        <v>0.7559405843455056</v>
      </c>
      <c r="E232" s="23">
        <f>'Total and digestible IAA'!AJ232/$E$2</f>
        <v>0.81647469732943501</v>
      </c>
      <c r="F232" s="23">
        <f>'Total and digestible IAA'!AK232/$F$2</f>
        <v>0.7881637168141592</v>
      </c>
      <c r="G232" s="23">
        <f>'Total and digestible IAA'!AL232/$G$2</f>
        <v>0.8632619800611242</v>
      </c>
      <c r="H232" s="23">
        <f>'Total and digestible IAA'!AM232/$H$2</f>
        <v>0.68592246662611434</v>
      </c>
      <c r="I232" s="23">
        <f>'Total and digestible IAA'!AN232/$I$2</f>
        <v>0.90047806898705407</v>
      </c>
      <c r="J232" s="23">
        <f>'Total and digestible IAA'!AO232/$J$2</f>
        <v>0.81525812844612755</v>
      </c>
      <c r="K232" s="23">
        <f>'Total and digestible IAA'!AP232/$K$2</f>
        <v>1.2013711161131839</v>
      </c>
      <c r="L232" s="24">
        <f t="shared" si="4"/>
        <v>68.59224666261143</v>
      </c>
      <c r="M232" s="5" t="s">
        <v>355</v>
      </c>
    </row>
    <row r="233" spans="1:14" x14ac:dyDescent="0.25">
      <c r="A233" s="5" t="str">
        <f>'IAA digestibility'!A233</f>
        <v>soya flour</v>
      </c>
      <c r="B233" s="5" t="str">
        <f>'IAA digestibility'!B233</f>
        <v>Legumes &amp; oilseeds</v>
      </c>
      <c r="C233" s="23">
        <f>'Total and digestible IAA'!AH233/$C$2</f>
        <v>0.81761218543642367</v>
      </c>
      <c r="D233" s="23">
        <f>'Total and digestible IAA'!AI233/$D$2</f>
        <v>0.75627184060919006</v>
      </c>
      <c r="E233" s="23">
        <f>'Total and digestible IAA'!AJ233/$E$2</f>
        <v>0.75175159512508904</v>
      </c>
      <c r="F233" s="23">
        <f>'Total and digestible IAA'!AK233/$F$2</f>
        <v>0.72512271307452025</v>
      </c>
      <c r="G233" s="23">
        <f>'Total and digestible IAA'!AL233/$G$2</f>
        <v>0.8506073985382524</v>
      </c>
      <c r="H233" s="23">
        <f>'Total and digestible IAA'!AM233/$H$2</f>
        <v>0.7314104904466352</v>
      </c>
      <c r="I233" s="23">
        <f>'Total and digestible IAA'!AN233/$I$2</f>
        <v>0.83100385330582716</v>
      </c>
      <c r="J233" s="23">
        <f>'Total and digestible IAA'!AO233/$J$2</f>
        <v>0.80053547523427049</v>
      </c>
      <c r="K233" s="23">
        <f>'Total and digestible IAA'!AP233/$K$2</f>
        <v>1.1980803030716973</v>
      </c>
      <c r="L233" s="24">
        <f t="shared" si="4"/>
        <v>72.512271307452025</v>
      </c>
      <c r="M233" s="5" t="s">
        <v>355</v>
      </c>
    </row>
    <row r="234" spans="1:14" x14ac:dyDescent="0.25">
      <c r="A234" s="5" t="str">
        <f>'IAA digestibility'!A234</f>
        <v>wheat</v>
      </c>
      <c r="B234" s="5" t="str">
        <f>'IAA digestibility'!B234</f>
        <v xml:space="preserve">Cereals &amp; cereal products </v>
      </c>
      <c r="C234" s="23">
        <f>'Total and digestible IAA'!AH234/$C$2</f>
        <v>0.44760320580674434</v>
      </c>
      <c r="D234" s="23">
        <f>'Total and digestible IAA'!AI234/$D$2</f>
        <v>0.52971878164680219</v>
      </c>
      <c r="E234" s="23">
        <f>'Total and digestible IAA'!AJ234/$E$2</f>
        <v>0.51647581210563209</v>
      </c>
      <c r="F234" s="23">
        <f>'Total and digestible IAA'!AK234/$F$2</f>
        <v>0.59875749785775489</v>
      </c>
      <c r="G234" s="23">
        <f>'Total and digestible IAA'!AL234/$G$2</f>
        <v>0.37293692485376845</v>
      </c>
      <c r="H234" s="23">
        <f>'Total and digestible IAA'!AM234/$H$2</f>
        <v>1.0381449455999585</v>
      </c>
      <c r="I234" s="23">
        <f>'Total and digestible IAA'!AN234/$I$2</f>
        <v>0.60930919433353392</v>
      </c>
      <c r="J234" s="23">
        <f>'Total and digestible IAA'!AO234/$J$2</f>
        <v>0.67243125340811705</v>
      </c>
      <c r="K234" s="23">
        <f>'Total and digestible IAA'!AP234/$K$2</f>
        <v>1.0405190353776472</v>
      </c>
      <c r="L234" s="24">
        <f t="shared" si="4"/>
        <v>37.293692485376845</v>
      </c>
      <c r="M234" s="5" t="s">
        <v>8</v>
      </c>
    </row>
    <row r="235" spans="1:14" x14ac:dyDescent="0.25">
      <c r="A235" s="5" t="str">
        <f>'IAA digestibility'!A235</f>
        <v>Faba beans (cultivar - Alfred), high tannin</v>
      </c>
      <c r="B235" s="5" t="str">
        <f>'IAA digestibility'!B235</f>
        <v>Legumes &amp; oilseeds</v>
      </c>
      <c r="C235" s="23">
        <f>'Total and digestible IAA'!AH235/$C$2</f>
        <v>0.1203879474227364</v>
      </c>
      <c r="D235" s="23">
        <f>'Total and digestible IAA'!AI235/$D$2</f>
        <v>0.22169242634097203</v>
      </c>
      <c r="E235" s="23">
        <f>'Total and digestible IAA'!AJ235/$E$2</f>
        <v>0.22152858222110297</v>
      </c>
      <c r="F235" s="23">
        <f>'Total and digestible IAA'!AK235/$F$2</f>
        <v>0.22226670706371188</v>
      </c>
      <c r="G235" s="23">
        <f>'Total and digestible IAA'!AL235/$G$2</f>
        <v>0.27141996868601714</v>
      </c>
      <c r="H235" s="23">
        <f>'Total and digestible IAA'!AM235/$H$2</f>
        <v>0.13890602702929575</v>
      </c>
      <c r="I235" s="23">
        <f>'Total and digestible IAA'!AN235/$I$2</f>
        <v>0.20924478399245591</v>
      </c>
      <c r="J235" s="23">
        <f>'Total and digestible IAA'!AO235/$J$2</f>
        <v>0.22620687484260887</v>
      </c>
      <c r="K235" s="23">
        <f>'Total and digestible IAA'!AP235/$K$2</f>
        <v>0.39279118849755967</v>
      </c>
      <c r="L235" s="24">
        <f t="shared" si="4"/>
        <v>12.038794742273639</v>
      </c>
      <c r="M235" s="5" t="s">
        <v>6</v>
      </c>
      <c r="N235" s="5" t="s">
        <v>405</v>
      </c>
    </row>
    <row r="236" spans="1:14" x14ac:dyDescent="0.25">
      <c r="A236" s="5" t="str">
        <f>'IAA digestibility'!A236</f>
        <v xml:space="preserve">Faba beans (cultivar - Alfred), high tannin, dehulled, </v>
      </c>
      <c r="B236" s="5" t="str">
        <f>'IAA digestibility'!B236</f>
        <v>Legumes &amp; oilseeds</v>
      </c>
      <c r="C236" s="23">
        <f>'Total and digestible IAA'!AH236/$C$2</f>
        <v>0.13032167115212098</v>
      </c>
      <c r="D236" s="23">
        <f>'Total and digestible IAA'!AI236/$D$2</f>
        <v>0.17778626602156014</v>
      </c>
      <c r="E236" s="23">
        <f>'Total and digestible IAA'!AJ236/$E$2</f>
        <v>0.21431796961208724</v>
      </c>
      <c r="F236" s="23">
        <f>'Total and digestible IAA'!AK236/$F$2</f>
        <v>0.2164351851851852</v>
      </c>
      <c r="G236" s="23">
        <f>'Total and digestible IAA'!AL236/$G$2</f>
        <v>0.24161265150182457</v>
      </c>
      <c r="H236" s="23">
        <f>'Total and digestible IAA'!AM236/$H$2</f>
        <v>0.13689179375453883</v>
      </c>
      <c r="I236" s="23">
        <f>'Total and digestible IAA'!AN236/$I$2</f>
        <v>0.18856937574084004</v>
      </c>
      <c r="J236" s="23">
        <f>'Total and digestible IAA'!AO236/$J$2</f>
        <v>0.22988710635769458</v>
      </c>
      <c r="K236" s="23">
        <f>'Total and digestible IAA'!AP236/$K$2</f>
        <v>0.38494657122108106</v>
      </c>
      <c r="L236" s="24">
        <f t="shared" si="4"/>
        <v>13.032167115212099</v>
      </c>
      <c r="M236" s="5" t="s">
        <v>6</v>
      </c>
      <c r="N236" s="5" t="s">
        <v>405</v>
      </c>
    </row>
    <row r="237" spans="1:14" x14ac:dyDescent="0.25">
      <c r="A237" s="5" t="str">
        <f>'IAA digestibility'!A237</f>
        <v>Faba beans (cultivar - Blandine )</v>
      </c>
      <c r="B237" s="5" t="str">
        <f>'IAA digestibility'!B237</f>
        <v>Legumes &amp; oilseeds</v>
      </c>
      <c r="C237" s="23">
        <f>'Total and digestible IAA'!AH237/$C$2</f>
        <v>0.12513017168589927</v>
      </c>
      <c r="D237" s="23">
        <f>'Total and digestible IAA'!AI237/$D$2</f>
        <v>0.20885439321444108</v>
      </c>
      <c r="E237" s="23">
        <f>'Total and digestible IAA'!AJ237/$E$2</f>
        <v>0.2019976076555024</v>
      </c>
      <c r="F237" s="23">
        <f>'Total and digestible IAA'!AK237/$F$2</f>
        <v>0.20629485645933018</v>
      </c>
      <c r="G237" s="23">
        <f>'Total and digestible IAA'!AL237/$G$2</f>
        <v>0.25285001040149785</v>
      </c>
      <c r="H237" s="23">
        <f>'Total and digestible IAA'!AM237/$H$2</f>
        <v>0.12395244309119911</v>
      </c>
      <c r="I237" s="23">
        <f>'Total and digestible IAA'!AN237/$I$2</f>
        <v>0.19759874783670978</v>
      </c>
      <c r="J237" s="23">
        <f>'Total and digestible IAA'!AO237/$J$2</f>
        <v>0.21429643323183994</v>
      </c>
      <c r="K237" s="23">
        <f>'Total and digestible IAA'!AP237/$K$2</f>
        <v>0.31431704260651633</v>
      </c>
      <c r="L237" s="24">
        <f t="shared" si="4"/>
        <v>12.395244309119912</v>
      </c>
      <c r="M237" s="5" t="s">
        <v>6</v>
      </c>
      <c r="N237" s="5" t="s">
        <v>405</v>
      </c>
    </row>
    <row r="238" spans="1:14" x14ac:dyDescent="0.25">
      <c r="A238" s="5" t="str">
        <f>'IAA digestibility'!A238</f>
        <v>Lupins (cultivar - Lublanc )</v>
      </c>
      <c r="B238" s="5" t="str">
        <f>'IAA digestibility'!B238</f>
        <v>Legumes &amp; oilseeds</v>
      </c>
      <c r="C238" s="23">
        <f>'Total and digestible IAA'!AH238/$C$2</f>
        <v>8.8749905123339648E-2</v>
      </c>
      <c r="D238" s="23">
        <f>'Total and digestible IAA'!AI238/$D$2</f>
        <v>0.17227214076246333</v>
      </c>
      <c r="E238" s="23">
        <f>'Total and digestible IAA'!AJ238/$E$2</f>
        <v>0.19445724340175952</v>
      </c>
      <c r="F238" s="23">
        <f>'Total and digestible IAA'!AK238/$F$2</f>
        <v>0.17190456989247313</v>
      </c>
      <c r="G238" s="23">
        <f>'Total and digestible IAA'!AL238/$G$2</f>
        <v>0.14278298270219728</v>
      </c>
      <c r="H238" s="23">
        <f>'Total and digestible IAA'!AM238/$H$2</f>
        <v>0.10973685239491691</v>
      </c>
      <c r="I238" s="23">
        <f>'Total and digestible IAA'!AN238/$I$2</f>
        <v>0.19376170212765956</v>
      </c>
      <c r="J238" s="23">
        <f>'Total and digestible IAA'!AO238/$J$2</f>
        <v>0.14941653958944279</v>
      </c>
      <c r="K238" s="23">
        <f>'Total and digestible IAA'!AP238/$K$2</f>
        <v>0.23260215053763444</v>
      </c>
      <c r="L238" s="24">
        <f t="shared" si="4"/>
        <v>8.8749905123339641</v>
      </c>
      <c r="M238" s="5" t="s">
        <v>6</v>
      </c>
      <c r="N238" s="5" t="s">
        <v>405</v>
      </c>
    </row>
    <row r="239" spans="1:14" x14ac:dyDescent="0.25">
      <c r="A239" s="5" t="str">
        <f>'IAA digestibility'!A239</f>
        <v>Lupins (cultivar - Australian)</v>
      </c>
      <c r="B239" s="5" t="str">
        <f>'IAA digestibility'!B239</f>
        <v>Legumes &amp; oilseeds</v>
      </c>
      <c r="C239" s="23">
        <f>'Total and digestible IAA'!AH239/$C$2</f>
        <v>0.12082395799849997</v>
      </c>
      <c r="D239" s="23">
        <f>'Total and digestible IAA'!AI239/$D$2</f>
        <v>0.2164320803665066</v>
      </c>
      <c r="E239" s="23">
        <f>'Total and digestible IAA'!AJ239/$E$2</f>
        <v>0.240274327979246</v>
      </c>
      <c r="F239" s="23">
        <f>'Total and digestible IAA'!AK239/$F$2</f>
        <v>0.21099157559198545</v>
      </c>
      <c r="G239" s="23">
        <f>'Total and digestible IAA'!AL239/$G$2</f>
        <v>0.18396733630755965</v>
      </c>
      <c r="H239" s="23">
        <f>'Total and digestible IAA'!AM239/$H$2</f>
        <v>0.17092049824290262</v>
      </c>
      <c r="I239" s="23">
        <f>'Total and digestible IAA'!AN239/$I$2</f>
        <v>0.19325401439109149</v>
      </c>
      <c r="J239" s="23">
        <f>'Total and digestible IAA'!AO239/$J$2</f>
        <v>0.1983904619970194</v>
      </c>
      <c r="K239" s="23">
        <f>'Total and digestible IAA'!AP239/$K$2</f>
        <v>0.37525081678087141</v>
      </c>
      <c r="L239" s="24">
        <f t="shared" si="4"/>
        <v>12.082395799849998</v>
      </c>
      <c r="M239" s="5" t="s">
        <v>6</v>
      </c>
      <c r="N239" s="5" t="s">
        <v>405</v>
      </c>
    </row>
    <row r="240" spans="1:14" x14ac:dyDescent="0.25">
      <c r="A240" s="5" t="str">
        <f>'IAA digestibility'!A240</f>
        <v>Peas (Cultivar - Amino)</v>
      </c>
      <c r="B240" s="5" t="str">
        <f>'IAA digestibility'!B240</f>
        <v>Legumes &amp; oilseeds</v>
      </c>
      <c r="C240" s="23">
        <f>'Total and digestible IAA'!AH240/$C$2</f>
        <v>0.14657807610322468</v>
      </c>
      <c r="D240" s="23">
        <f>'Total and digestible IAA'!AI240/$D$2</f>
        <v>0.251133735193103</v>
      </c>
      <c r="E240" s="23">
        <f>'Total and digestible IAA'!AJ240/$E$2</f>
        <v>0.23830097427630198</v>
      </c>
      <c r="F240" s="23">
        <f>'Total and digestible IAA'!AK240/$F$2</f>
        <v>0.24145303263942433</v>
      </c>
      <c r="G240" s="23">
        <f>'Total and digestible IAA'!AL240/$G$2</f>
        <v>0.36805113249080934</v>
      </c>
      <c r="H240" s="23">
        <f>'Total and digestible IAA'!AM240/$H$2</f>
        <v>0.17121562580313546</v>
      </c>
      <c r="I240" s="23">
        <f>'Total and digestible IAA'!AN240/$I$2</f>
        <v>0.24918223724142458</v>
      </c>
      <c r="J240" s="23">
        <f>'Total and digestible IAA'!AO240/$J$2</f>
        <v>0.25616948202144812</v>
      </c>
      <c r="K240" s="23">
        <f>'Total and digestible IAA'!AP240/$K$2</f>
        <v>0.35995153651283179</v>
      </c>
      <c r="L240" s="24">
        <f t="shared" si="4"/>
        <v>14.657807610322468</v>
      </c>
      <c r="M240" s="5" t="s">
        <v>6</v>
      </c>
      <c r="N240" s="5" t="s">
        <v>405</v>
      </c>
    </row>
    <row r="241" spans="1:14" x14ac:dyDescent="0.25">
      <c r="A241" s="5" t="str">
        <f>'IAA digestibility'!A241</f>
        <v>Peas (Cultivar - Australian)</v>
      </c>
      <c r="B241" s="5" t="str">
        <f>'IAA digestibility'!B241</f>
        <v>Legumes &amp; oilseeds</v>
      </c>
      <c r="C241" s="23">
        <f>'Total and digestible IAA'!AH241/$C$2</f>
        <v>0.12402155517317077</v>
      </c>
      <c r="D241" s="23">
        <f>'Total and digestible IAA'!AI241/$D$2</f>
        <v>0.20478430020683544</v>
      </c>
      <c r="E241" s="23">
        <f>'Total and digestible IAA'!AJ241/$E$2</f>
        <v>0.22205128205128208</v>
      </c>
      <c r="F241" s="23">
        <f>'Total and digestible IAA'!AK241/$F$2</f>
        <v>0.20169548272541235</v>
      </c>
      <c r="G241" s="23">
        <f>'Total and digestible IAA'!AL241/$G$2</f>
        <v>0.31173028509219564</v>
      </c>
      <c r="H241" s="23">
        <f>'Total and digestible IAA'!AM241/$H$2</f>
        <v>0.14676122000065664</v>
      </c>
      <c r="I241" s="23">
        <f>'Total and digestible IAA'!AN241/$I$2</f>
        <v>0.20339741668779732</v>
      </c>
      <c r="J241" s="23">
        <f>'Total and digestible IAA'!AO241/$J$2</f>
        <v>0.22357529794149517</v>
      </c>
      <c r="K241" s="23">
        <f>'Total and digestible IAA'!AP241/$K$2</f>
        <v>0.32376137164869567</v>
      </c>
      <c r="L241" s="24">
        <f t="shared" si="4"/>
        <v>12.402155517317077</v>
      </c>
      <c r="M241" s="5" t="s">
        <v>6</v>
      </c>
      <c r="N241" s="5" t="s">
        <v>405</v>
      </c>
    </row>
    <row r="242" spans="1:14" x14ac:dyDescent="0.25">
      <c r="A242" s="5" t="str">
        <f>'IAA digestibility'!A242</f>
        <v>Peas (Cultivar - Finale)</v>
      </c>
      <c r="B242" s="5" t="str">
        <f>'IAA digestibility'!B242</f>
        <v>Legumes &amp; oilseeds</v>
      </c>
      <c r="C242" s="23">
        <f>'Total and digestible IAA'!AH242/$C$2</f>
        <v>0.16889973866641625</v>
      </c>
      <c r="D242" s="23">
        <f>'Total and digestible IAA'!AI242/$D$2</f>
        <v>0.2768355945730247</v>
      </c>
      <c r="E242" s="23">
        <f>'Total and digestible IAA'!AJ242/$E$2</f>
        <v>0.28337081912500911</v>
      </c>
      <c r="F242" s="23">
        <f>'Total and digestible IAA'!AK242/$F$2</f>
        <v>0.24896498403830805</v>
      </c>
      <c r="G242" s="23">
        <f>'Total and digestible IAA'!AL242/$G$2</f>
        <v>0.37737487999814939</v>
      </c>
      <c r="H242" s="23">
        <f>'Total and digestible IAA'!AM242/$H$2</f>
        <v>0.23129217151563525</v>
      </c>
      <c r="I242" s="23">
        <f>'Total and digestible IAA'!AN242/$I$2</f>
        <v>0.24533629926474332</v>
      </c>
      <c r="J242" s="23">
        <f>'Total and digestible IAA'!AO242/$J$2</f>
        <v>0.26520496263513021</v>
      </c>
      <c r="K242" s="23">
        <f>'Total and digestible IAA'!AP242/$K$2</f>
        <v>0.42963554136738502</v>
      </c>
      <c r="L242" s="24">
        <f t="shared" si="4"/>
        <v>16.889973866641625</v>
      </c>
      <c r="M242" s="5" t="s">
        <v>6</v>
      </c>
      <c r="N242" s="5" t="s">
        <v>405</v>
      </c>
    </row>
    <row r="243" spans="1:14" x14ac:dyDescent="0.25">
      <c r="A243" s="5" t="str">
        <f>'IAA digestibility'!A243</f>
        <v>Peas (Cultivar - Frilene), high in trypsin inhibitor</v>
      </c>
      <c r="B243" s="5" t="str">
        <f>'IAA digestibility'!B243</f>
        <v>Legumes &amp; oilseeds</v>
      </c>
      <c r="C243" s="23">
        <f>'Total and digestible IAA'!AH243/$C$2</f>
        <v>0.14319749630837725</v>
      </c>
      <c r="D243" s="23">
        <f>'Total and digestible IAA'!AI243/$D$2</f>
        <v>0.24422834565209992</v>
      </c>
      <c r="E243" s="23">
        <f>'Total and digestible IAA'!AJ243/$E$2</f>
        <v>0.23172928233250453</v>
      </c>
      <c r="F243" s="23">
        <f>'Total and digestible IAA'!AK243/$F$2</f>
        <v>0.21257961783439494</v>
      </c>
      <c r="G243" s="23">
        <f>'Total and digestible IAA'!AL243/$G$2</f>
        <v>0.29473667063058956</v>
      </c>
      <c r="H243" s="23">
        <f>'Total and digestible IAA'!AM243/$H$2</f>
        <v>0.16097732665735665</v>
      </c>
      <c r="I243" s="23">
        <f>'Total and digestible IAA'!AN243/$I$2</f>
        <v>0.19950415726664705</v>
      </c>
      <c r="J243" s="23">
        <f>'Total and digestible IAA'!AO243/$J$2</f>
        <v>0.23184440886951194</v>
      </c>
      <c r="K243" s="23">
        <f>'Total and digestible IAA'!AP243/$K$2</f>
        <v>0.3530553622722975</v>
      </c>
      <c r="L243" s="24">
        <f t="shared" si="4"/>
        <v>14.319749630837725</v>
      </c>
      <c r="M243" s="5" t="s">
        <v>6</v>
      </c>
      <c r="N243" s="5" t="s">
        <v>405</v>
      </c>
    </row>
    <row r="244" spans="1:14" x14ac:dyDescent="0.25">
      <c r="A244" s="5" t="str">
        <f>'IAA digestibility'!A244</f>
        <v>Peas (Cultivar - Frilene), high in trypsin inhibitor, extruded</v>
      </c>
      <c r="B244" s="5" t="str">
        <f>'IAA digestibility'!B244</f>
        <v>Legumes &amp; oilseeds</v>
      </c>
      <c r="C244" s="23">
        <f>'Total and digestible IAA'!AH244/$C$2</f>
        <v>0.14699025824428985</v>
      </c>
      <c r="D244" s="23">
        <f>'Total and digestible IAA'!AI244/$D$2</f>
        <v>0.27583330507612486</v>
      </c>
      <c r="E244" s="23">
        <f>'Total and digestible IAA'!AJ244/$E$2</f>
        <v>0.23558170289240782</v>
      </c>
      <c r="F244" s="23">
        <f>'Total and digestible IAA'!AK244/$F$2</f>
        <v>0.23681462140992163</v>
      </c>
      <c r="G244" s="23">
        <f>'Total and digestible IAA'!AL244/$G$2</f>
        <v>0.33103589943185807</v>
      </c>
      <c r="H244" s="23">
        <f>'Total and digestible IAA'!AM244/$H$2</f>
        <v>0.21942513535202826</v>
      </c>
      <c r="I244" s="23">
        <f>'Total and digestible IAA'!AN244/$I$2</f>
        <v>0.26134421103589478</v>
      </c>
      <c r="J244" s="23">
        <f>'Total and digestible IAA'!AO244/$J$2</f>
        <v>0.26904479332677761</v>
      </c>
      <c r="K244" s="23">
        <f>'Total and digestible IAA'!AP244/$K$2</f>
        <v>0.38983321788245318</v>
      </c>
      <c r="L244" s="24">
        <f t="shared" si="4"/>
        <v>14.699025824428984</v>
      </c>
      <c r="M244" s="5" t="s">
        <v>6</v>
      </c>
      <c r="N244" s="5" t="s">
        <v>405</v>
      </c>
    </row>
    <row r="245" spans="1:14" x14ac:dyDescent="0.25">
      <c r="A245" s="5" t="str">
        <f>'IAA digestibility'!A245</f>
        <v xml:space="preserve">Pea protein isolate, yellow </v>
      </c>
      <c r="B245" s="5" t="str">
        <f>'IAA digestibility'!B245</f>
        <v>Legumes &amp; oilseeds</v>
      </c>
      <c r="C245" s="23"/>
      <c r="D245" s="23"/>
      <c r="E245" s="23"/>
      <c r="F245" s="23"/>
      <c r="G245" s="23"/>
      <c r="H245" s="23"/>
      <c r="I245" s="23"/>
      <c r="J245" s="23"/>
      <c r="K245" s="23"/>
      <c r="L245" s="24"/>
      <c r="N245" s="5" t="s">
        <v>532</v>
      </c>
    </row>
    <row r="246" spans="1:14" x14ac:dyDescent="0.25">
      <c r="A246" s="5" t="str">
        <f>'IAA digestibility'!A246</f>
        <v xml:space="preserve">Casein </v>
      </c>
      <c r="B246" s="5" t="str">
        <f>'IAA digestibility'!B246</f>
        <v>Milk products</v>
      </c>
      <c r="C246" s="23"/>
      <c r="D246" s="23"/>
      <c r="E246" s="23"/>
      <c r="F246" s="23"/>
      <c r="G246" s="23"/>
      <c r="H246" s="23"/>
      <c r="I246" s="23"/>
      <c r="J246" s="23"/>
      <c r="K246" s="23"/>
      <c r="L246" s="24"/>
      <c r="N246" s="5" t="s">
        <v>532</v>
      </c>
    </row>
    <row r="247" spans="1:14" x14ac:dyDescent="0.25">
      <c r="A247" s="5" t="str">
        <f>'IAA digestibility'!A247</f>
        <v>Beef, lean (80%)</v>
      </c>
      <c r="B247" s="5" t="str">
        <f>'IAA digestibility'!B247</f>
        <v>Animal products</v>
      </c>
      <c r="C247" s="23">
        <f>'Total and digestible IAA'!AH247/$C$2</f>
        <v>0.5805275521190173</v>
      </c>
      <c r="D247" s="23">
        <f>'Total and digestible IAA'!AI247/$D$2</f>
        <v>0.77321887762819519</v>
      </c>
      <c r="E247" s="23">
        <f>'Total and digestible IAA'!AJ247/$E$2</f>
        <v>0.72361216154893349</v>
      </c>
      <c r="F247" s="23">
        <f>'Total and digestible IAA'!AK247/$F$2</f>
        <v>0.70614080698835291</v>
      </c>
      <c r="G247" s="23">
        <f>'Total and digestible IAA'!AL247/$G$2</f>
        <v>1.0391919264993126</v>
      </c>
      <c r="H247" s="23">
        <f>'Total and digestible IAA'!AM247/$H$2</f>
        <v>0.83445520092774672</v>
      </c>
      <c r="I247" s="23">
        <f>'Total and digestible IAA'!AN247/$I$2</f>
        <v>0.70826547951994889</v>
      </c>
      <c r="J247" s="23">
        <f>'Total and digestible IAA'!AO247/$J$2</f>
        <v>0.80105127817274246</v>
      </c>
      <c r="K247" s="23">
        <f>'Total and digestible IAA'!AP247/$K$2</f>
        <v>1.1986966167498614</v>
      </c>
      <c r="L247" s="24">
        <f t="shared" si="4"/>
        <v>58.052755211901733</v>
      </c>
      <c r="M247" s="5" t="s">
        <v>6</v>
      </c>
    </row>
    <row r="248" spans="1:14" x14ac:dyDescent="0.25">
      <c r="A248" s="5" t="str">
        <f>'IAA digestibility'!A248</f>
        <v>Beef, lean (93%)</v>
      </c>
      <c r="B248" s="5" t="str">
        <f>'IAA digestibility'!B248</f>
        <v>Animal products</v>
      </c>
      <c r="C248" s="23">
        <f>'Total and digestible IAA'!AH248/$C$2</f>
        <v>0.70307007265057408</v>
      </c>
      <c r="D248" s="23">
        <f>'Total and digestible IAA'!AI248/$D$2</f>
        <v>0.91490237397517371</v>
      </c>
      <c r="E248" s="23">
        <f>'Total and digestible IAA'!AJ248/$E$2</f>
        <v>0.84447663889894964</v>
      </c>
      <c r="F248" s="23">
        <f>'Total and digestible IAA'!AK248/$F$2</f>
        <v>0.79847277556440888</v>
      </c>
      <c r="G248" s="23">
        <f>'Total and digestible IAA'!AL248/$G$2</f>
        <v>1.1897810602123784</v>
      </c>
      <c r="H248" s="23">
        <f>'Total and digestible IAA'!AM248/$H$2</f>
        <v>1.0010975382217684</v>
      </c>
      <c r="I248" s="23">
        <f>'Total and digestible IAA'!AN248/$I$2</f>
        <v>0.67184646327648789</v>
      </c>
      <c r="J248" s="23">
        <f>'Total and digestible IAA'!AO248/$J$2</f>
        <v>0.86514108853840832</v>
      </c>
      <c r="K248" s="23">
        <f>'Total and digestible IAA'!AP248/$K$2</f>
        <v>1.4073575826563873</v>
      </c>
      <c r="L248" s="24">
        <f t="shared" si="4"/>
        <v>67.184646327648792</v>
      </c>
      <c r="M248" s="5" t="s">
        <v>356</v>
      </c>
    </row>
    <row r="249" spans="1:14" x14ac:dyDescent="0.25">
      <c r="A249" s="5" t="str">
        <f>'IAA digestibility'!A249</f>
        <v>Pork</v>
      </c>
      <c r="B249" s="5" t="str">
        <f>'IAA digestibility'!B249</f>
        <v>Animal products</v>
      </c>
      <c r="C249" s="23">
        <f>'Total and digestible IAA'!AH249/$C$2</f>
        <v>0.68957246507165548</v>
      </c>
      <c r="D249" s="23">
        <f>'Total and digestible IAA'!AI249/$D$2</f>
        <v>0.91433833750347515</v>
      </c>
      <c r="E249" s="23">
        <f>'Total and digestible IAA'!AJ249/$E$2</f>
        <v>0.80316930775646389</v>
      </c>
      <c r="F249" s="23">
        <f>'Total and digestible IAA'!AK249/$F$2</f>
        <v>0.76061841658171936</v>
      </c>
      <c r="G249" s="23">
        <f>'Total and digestible IAA'!AL249/$G$2</f>
        <v>1.1289131173455065</v>
      </c>
      <c r="H249" s="23">
        <f>'Total and digestible IAA'!AM249/$H$2</f>
        <v>0.96534148827726818</v>
      </c>
      <c r="I249" s="23">
        <f>'Total and digestible IAA'!AN249/$I$2</f>
        <v>0.77131455093586665</v>
      </c>
      <c r="J249" s="23">
        <f>'Total and digestible IAA'!AO249/$J$2</f>
        <v>0.86384023723473258</v>
      </c>
      <c r="K249" s="23">
        <f>'Total and digestible IAA'!AP249/$K$2</f>
        <v>1.470171350905296</v>
      </c>
      <c r="L249" s="24">
        <f t="shared" si="4"/>
        <v>68.95724650716555</v>
      </c>
      <c r="M249" s="5" t="s">
        <v>6</v>
      </c>
    </row>
    <row r="250" spans="1:14" x14ac:dyDescent="0.25">
      <c r="A250" s="5" t="str">
        <f>'IAA digestibility'!A250</f>
        <v xml:space="preserve">Impossible burger </v>
      </c>
      <c r="B250" s="5" t="str">
        <f>'IAA digestibility'!B250</f>
        <v xml:space="preserve">Plant based </v>
      </c>
      <c r="C250" s="23">
        <f>'Total and digestible IAA'!AH250/$C$2</f>
        <v>0.74000649983750399</v>
      </c>
      <c r="D250" s="23">
        <f>'Total and digestible IAA'!AI250/$D$2</f>
        <v>0.77016574585635378</v>
      </c>
      <c r="E250" s="23">
        <f>'Total and digestible IAA'!AJ250/$E$2</f>
        <v>0.82237066800602698</v>
      </c>
      <c r="F250" s="23">
        <f>'Total and digestible IAA'!AK250/$F$2</f>
        <v>0.72954074585635353</v>
      </c>
      <c r="G250" s="23">
        <f>'Total and digestible IAA'!AL250/$G$2</f>
        <v>0.78241652654335814</v>
      </c>
      <c r="H250" s="23">
        <f>'Total and digestible IAA'!AM250/$H$2</f>
        <v>0.75009208103130742</v>
      </c>
      <c r="I250" s="23">
        <f>'Total and digestible IAA'!AN250/$I$2</f>
        <v>0.89921829081932514</v>
      </c>
      <c r="J250" s="23">
        <f>'Total and digestible IAA'!AO250/$J$2</f>
        <v>0.88287292817679575</v>
      </c>
      <c r="K250" s="23">
        <f>'Total and digestible IAA'!AP250/$K$2</f>
        <v>1.0563535911602211</v>
      </c>
      <c r="L250" s="24">
        <f t="shared" si="4"/>
        <v>72.954074585635354</v>
      </c>
      <c r="M250" s="5" t="s">
        <v>526</v>
      </c>
    </row>
    <row r="251" spans="1:14" x14ac:dyDescent="0.25">
      <c r="A251" s="5" t="str">
        <f>'IAA digestibility'!A251</f>
        <v>Beyond burger</v>
      </c>
      <c r="B251" s="5" t="str">
        <f>'IAA digestibility'!B251</f>
        <v xml:space="preserve">Plant based </v>
      </c>
      <c r="C251" s="23">
        <f>'Total and digestible IAA'!AH251/$C$2</f>
        <v>0.5121312620003492</v>
      </c>
      <c r="D251" s="23">
        <f>'Total and digestible IAA'!AI251/$D$2</f>
        <v>0.72329376854599403</v>
      </c>
      <c r="E251" s="23">
        <f>'Total and digestible IAA'!AJ251/$E$2</f>
        <v>0.81017894074273911</v>
      </c>
      <c r="F251" s="23">
        <f>'Total and digestible IAA'!AK251/$F$2</f>
        <v>0.78356824925816027</v>
      </c>
      <c r="G251" s="23">
        <f>'Total and digestible IAA'!AL251/$G$2</f>
        <v>0.91824710790005581</v>
      </c>
      <c r="H251" s="23">
        <f>'Total and digestible IAA'!AM251/$H$2</f>
        <v>0.58588855918232774</v>
      </c>
      <c r="I251" s="23">
        <f>'Total and digestible IAA'!AN251/$I$2</f>
        <v>0.93575983332281099</v>
      </c>
      <c r="J251" s="23">
        <f>'Total and digestible IAA'!AO251/$J$2</f>
        <v>0.89531516949914569</v>
      </c>
      <c r="K251" s="23">
        <f>'Total and digestible IAA'!AP251/$K$2</f>
        <v>1.0574160425792474</v>
      </c>
      <c r="L251" s="24">
        <f t="shared" ref="L251:L270" si="5">MIN(C251:K251)*100</f>
        <v>51.213126200034921</v>
      </c>
      <c r="M251" s="5" t="s">
        <v>6</v>
      </c>
    </row>
    <row r="252" spans="1:14" x14ac:dyDescent="0.25">
      <c r="A252" s="5" t="str">
        <f>'IAA digestibility'!A252</f>
        <v xml:space="preserve">Burger bun </v>
      </c>
      <c r="B252" s="5" t="str">
        <f>'IAA digestibility'!B252</f>
        <v xml:space="preserve">Cereals &amp; cereal products </v>
      </c>
      <c r="C252" s="23">
        <f>'Total and digestible IAA'!AH252/$C$2</f>
        <v>0.59912493923189114</v>
      </c>
      <c r="D252" s="23">
        <f>'Total and digestible IAA'!AI252/$D$2</f>
        <v>0.53072877535687457</v>
      </c>
      <c r="E252" s="23">
        <f>'Total and digestible IAA'!AJ252/$E$2</f>
        <v>0.61735537190082657</v>
      </c>
      <c r="F252" s="23">
        <f>'Total and digestible IAA'!AK252/$F$2</f>
        <v>0.62582644628099182</v>
      </c>
      <c r="G252" s="23">
        <f>'Total and digestible IAA'!AL252/$G$2</f>
        <v>0.21430111390585699</v>
      </c>
      <c r="H252" s="23">
        <f>'Total and digestible IAA'!AM252/$H$2</f>
        <v>0.99273729025795154</v>
      </c>
      <c r="I252" s="23">
        <f>'Total and digestible IAA'!AN252/$I$2</f>
        <v>0.74837348338315468</v>
      </c>
      <c r="J252" s="23">
        <f>'Total and digestible IAA'!AO252/$J$2</f>
        <v>0.6776859504132231</v>
      </c>
      <c r="K252" s="23">
        <f>'Total and digestible IAA'!AP252/$K$2</f>
        <v>0.8727272727272728</v>
      </c>
      <c r="L252" s="24">
        <f t="shared" si="5"/>
        <v>21.430111390585697</v>
      </c>
      <c r="M252" s="5" t="s">
        <v>8</v>
      </c>
    </row>
    <row r="253" spans="1:14" x14ac:dyDescent="0.25">
      <c r="A253" s="5" t="str">
        <f>'IAA digestibility'!A253</f>
        <v>Beef, lean (80%) + burger bun</v>
      </c>
      <c r="B253" s="5" t="str">
        <f>'IAA digestibility'!B253</f>
        <v>Mixed food (animal + cereal product)</v>
      </c>
      <c r="C253" s="23"/>
      <c r="D253" s="23"/>
      <c r="E253" s="23"/>
      <c r="F253" s="23"/>
      <c r="G253" s="23"/>
      <c r="H253" s="23"/>
      <c r="I253" s="23"/>
      <c r="J253" s="23"/>
      <c r="K253" s="23"/>
      <c r="L253" s="24"/>
      <c r="N253" s="5" t="s">
        <v>433</v>
      </c>
    </row>
    <row r="254" spans="1:14" x14ac:dyDescent="0.25">
      <c r="A254" s="5" t="str">
        <f>'IAA digestibility'!A254</f>
        <v>Pork + burger bun</v>
      </c>
      <c r="B254" s="5" t="str">
        <f>'IAA digestibility'!B254</f>
        <v>Mixed food (animal + cereal product)</v>
      </c>
      <c r="C254" s="23"/>
      <c r="D254" s="23"/>
      <c r="E254" s="23"/>
      <c r="F254" s="23"/>
      <c r="G254" s="23"/>
      <c r="H254" s="23"/>
      <c r="I254" s="23"/>
      <c r="J254" s="23"/>
      <c r="K254" s="23"/>
      <c r="L254" s="24"/>
      <c r="N254" s="5" t="s">
        <v>433</v>
      </c>
    </row>
    <row r="255" spans="1:14" x14ac:dyDescent="0.25">
      <c r="A255" s="5" t="str">
        <f>'IAA digestibility'!A255</f>
        <v>Impossible burger + burger bun</v>
      </c>
      <c r="B255" s="5" t="str">
        <f>'IAA digestibility'!B255</f>
        <v>Mixed food (plant based)</v>
      </c>
      <c r="C255" s="23"/>
      <c r="D255" s="23"/>
      <c r="E255" s="23"/>
      <c r="F255" s="23"/>
      <c r="G255" s="23"/>
      <c r="H255" s="23"/>
      <c r="I255" s="23"/>
      <c r="J255" s="23"/>
      <c r="K255" s="23"/>
      <c r="L255" s="24"/>
      <c r="N255" s="5" t="s">
        <v>433</v>
      </c>
    </row>
    <row r="256" spans="1:14" x14ac:dyDescent="0.25">
      <c r="A256" s="5" t="str">
        <f>'IAA digestibility'!A256</f>
        <v>Millet</v>
      </c>
      <c r="B256" s="5" t="str">
        <f>'IAA digestibility'!B256</f>
        <v xml:space="preserve">Cereals &amp; cereal products </v>
      </c>
      <c r="C256" s="23"/>
      <c r="D256" s="23"/>
      <c r="E256" s="23"/>
      <c r="F256" s="23"/>
      <c r="G256" s="23"/>
      <c r="H256" s="23"/>
      <c r="I256" s="23"/>
      <c r="J256" s="23"/>
      <c r="K256" s="23"/>
      <c r="L256" s="24"/>
      <c r="N256" s="5" t="s">
        <v>433</v>
      </c>
    </row>
    <row r="257" spans="1:14" x14ac:dyDescent="0.25">
      <c r="A257" s="5" t="str">
        <f>'IAA digestibility'!A257</f>
        <v>Adlay (Chinese pearl barley)</v>
      </c>
      <c r="B257" s="5" t="str">
        <f>'IAA digestibility'!B257</f>
        <v xml:space="preserve">Cereals &amp; cereal products </v>
      </c>
      <c r="C257" s="23"/>
      <c r="D257" s="23"/>
      <c r="E257" s="23"/>
      <c r="F257" s="23"/>
      <c r="G257" s="23"/>
      <c r="H257" s="23"/>
      <c r="I257" s="23"/>
      <c r="J257" s="23"/>
      <c r="K257" s="23"/>
      <c r="L257" s="24"/>
      <c r="N257" s="5" t="s">
        <v>433</v>
      </c>
    </row>
    <row r="258" spans="1:14" x14ac:dyDescent="0.25">
      <c r="A258" s="5" t="str">
        <f>'IAA digestibility'!A258</f>
        <v>Mung bean (32%) + millet (68%)</v>
      </c>
      <c r="B258" s="5" t="str">
        <f>'IAA digestibility'!B258</f>
        <v>Mixed food (cereal + legume)</v>
      </c>
      <c r="C258" s="23"/>
      <c r="D258" s="23"/>
      <c r="E258" s="23"/>
      <c r="F258" s="23"/>
      <c r="G258" s="23"/>
      <c r="H258" s="23"/>
      <c r="I258" s="23"/>
      <c r="J258" s="23"/>
      <c r="K258" s="23"/>
      <c r="L258" s="24"/>
      <c r="N258" s="5" t="s">
        <v>433</v>
      </c>
    </row>
    <row r="259" spans="1:14" x14ac:dyDescent="0.25">
      <c r="A259" s="5" t="str">
        <f>'IAA digestibility'!A259</f>
        <v>Adzuki bean (40%)+ adlay (Chinese pearl barley) (60%)</v>
      </c>
      <c r="B259" s="5" t="str">
        <f>'IAA digestibility'!B259</f>
        <v>Mixed food (cereal + legume)</v>
      </c>
      <c r="C259" s="23"/>
      <c r="D259" s="23"/>
      <c r="E259" s="23"/>
      <c r="F259" s="23"/>
      <c r="G259" s="23"/>
      <c r="H259" s="23"/>
      <c r="I259" s="23"/>
      <c r="J259" s="23"/>
      <c r="K259" s="23"/>
      <c r="L259" s="24"/>
      <c r="N259" s="5" t="s">
        <v>433</v>
      </c>
    </row>
    <row r="260" spans="1:14" x14ac:dyDescent="0.25">
      <c r="A260" s="5" t="str">
        <f>'IAA digestibility'!A260</f>
        <v>Cornflakes (Kelloggs company)</v>
      </c>
      <c r="B260" s="5" t="str">
        <f>'IAA digestibility'!B260</f>
        <v xml:space="preserve">Cereals &amp; cereal products </v>
      </c>
      <c r="C260" s="23">
        <f>'Total and digestible IAA'!AH260/$C$2</f>
        <v>0.27571644042232279</v>
      </c>
      <c r="D260" s="23">
        <f>'Total and digestible IAA'!AI260/$D$2</f>
        <v>0.68721833721833714</v>
      </c>
      <c r="E260" s="23">
        <f>'Total and digestible IAA'!AJ260/$E$2</f>
        <v>0.68997668997668993</v>
      </c>
      <c r="F260" s="23">
        <f>'Total and digestible IAA'!AK260/$F$2</f>
        <v>1.5873931623931623</v>
      </c>
      <c r="G260" s="23">
        <f>'Total and digestible IAA'!AL260/$G$2</f>
        <v>0.13509228291836986</v>
      </c>
      <c r="H260" s="23">
        <f>'Total and digestible IAA'!AM260/$H$2</f>
        <v>1.0843304843304842</v>
      </c>
      <c r="I260" s="23">
        <f>'Total and digestible IAA'!AN260/$I$2</f>
        <v>1.0372067648663392</v>
      </c>
      <c r="J260" s="23">
        <f>'Total and digestible IAA'!AO260/$J$2</f>
        <v>0.82063714063714055</v>
      </c>
      <c r="K260" s="23">
        <f>'Total and digestible IAA'!AP260/$K$2</f>
        <v>1.2135938135938136</v>
      </c>
      <c r="L260" s="24">
        <f t="shared" si="5"/>
        <v>13.509228291836987</v>
      </c>
      <c r="M260" s="5" t="s">
        <v>8</v>
      </c>
    </row>
    <row r="261" spans="1:14" x14ac:dyDescent="0.25">
      <c r="A261" s="5" t="str">
        <f>'IAA digestibility'!A261</f>
        <v>Quick Oats</v>
      </c>
      <c r="B261" s="5" t="str">
        <f>'IAA digestibility'!B261</f>
        <v xml:space="preserve">Cereals &amp; cereal products </v>
      </c>
      <c r="C261" s="23">
        <f>'Total and digestible IAA'!AH261/$C$2</f>
        <v>0.54246400905521552</v>
      </c>
      <c r="D261" s="23">
        <f>'Total and digestible IAA'!AI261/$D$2</f>
        <v>0.59034876728803354</v>
      </c>
      <c r="E261" s="23">
        <f>'Total and digestible IAA'!AJ261/$E$2</f>
        <v>0.5971792488930191</v>
      </c>
      <c r="F261" s="23">
        <f>'Total and digestible IAA'!AK261/$F$2</f>
        <v>0.65668846462216879</v>
      </c>
      <c r="G261" s="23">
        <f>'Total and digestible IAA'!AL261/$G$2</f>
        <v>0.46846540650300222</v>
      </c>
      <c r="H261" s="23">
        <f>'Total and digestible IAA'!AM261/$H$2</f>
        <v>1.2370487800433683</v>
      </c>
      <c r="I261" s="23">
        <f>'Total and digestible IAA'!AN261/$I$2</f>
        <v>0.80193446859687034</v>
      </c>
      <c r="J261" s="23">
        <f>'Total and digestible IAA'!AO261/$J$2</f>
        <v>0.77950035532717432</v>
      </c>
      <c r="K261" s="23">
        <f>'Total and digestible IAA'!AP261/$K$2</f>
        <v>0.90198436560432937</v>
      </c>
      <c r="L261" s="24">
        <f t="shared" si="5"/>
        <v>46.84654065030022</v>
      </c>
      <c r="M261" s="5" t="s">
        <v>8</v>
      </c>
    </row>
    <row r="262" spans="1:14" x14ac:dyDescent="0.25">
      <c r="A262" s="5" t="str">
        <f>'IAA digestibility'!A262</f>
        <v>milk, dried, non fat</v>
      </c>
      <c r="B262" s="5" t="str">
        <f>'IAA digestibility'!B262</f>
        <v>Animal products</v>
      </c>
      <c r="C262" s="23">
        <f>'Total and digestible IAA'!AH262/$C$2</f>
        <v>0.83004630423598014</v>
      </c>
      <c r="D262" s="23">
        <f>'Total and digestible IAA'!AI262/$D$2</f>
        <v>0.91216538563477334</v>
      </c>
      <c r="E262" s="23">
        <f>'Total and digestible IAA'!AJ262/$E$2</f>
        <v>0.94059899284389081</v>
      </c>
      <c r="F262" s="23">
        <f>'Total and digestible IAA'!AK262/$F$2</f>
        <v>1.0121112730806607</v>
      </c>
      <c r="G262" s="23">
        <f>'Total and digestible IAA'!AL262/$G$2</f>
        <v>1.1433768538471289</v>
      </c>
      <c r="H262" s="23">
        <f>'Total and digestible IAA'!AM262/$H$2</f>
        <v>1.0022881880024737</v>
      </c>
      <c r="I262" s="23">
        <f>'Total and digestible IAA'!AN262/$I$2</f>
        <v>1.0363594069846782</v>
      </c>
      <c r="J262" s="23">
        <f>'Total and digestible IAA'!AO262/$J$2</f>
        <v>1.1265306122448979</v>
      </c>
      <c r="K262" s="23">
        <f>'Total and digestible IAA'!AP262/$K$2</f>
        <v>1.337234485630987</v>
      </c>
      <c r="L262" s="24">
        <f t="shared" si="5"/>
        <v>83.004630423598016</v>
      </c>
      <c r="M262" s="5" t="s">
        <v>6</v>
      </c>
    </row>
    <row r="263" spans="1:14" x14ac:dyDescent="0.25">
      <c r="A263" s="5" t="str">
        <f>'IAA digestibility'!A263</f>
        <v>Cornflakes + dry milk (ratio of mix 2.6:1)</v>
      </c>
      <c r="B263" s="5" t="str">
        <f>'IAA digestibility'!B263</f>
        <v>Mixed food (cereal + animal product)</v>
      </c>
      <c r="C263" s="23"/>
      <c r="D263" s="23"/>
      <c r="E263" s="23"/>
      <c r="F263" s="23"/>
      <c r="G263" s="23"/>
      <c r="H263" s="23"/>
      <c r="I263" s="23"/>
      <c r="J263" s="23"/>
      <c r="K263" s="23"/>
      <c r="L263" s="24"/>
      <c r="N263" s="5" t="s">
        <v>433</v>
      </c>
    </row>
    <row r="264" spans="1:14" x14ac:dyDescent="0.25">
      <c r="A264" s="5" t="str">
        <f>'IAA digestibility'!A264</f>
        <v>Quick oats + dry milk (ratio  of mix 2.4:1)</v>
      </c>
      <c r="B264" s="5" t="str">
        <f>'IAA digestibility'!B264</f>
        <v>Mixed food (cereal + animal product)</v>
      </c>
      <c r="C264" s="23"/>
      <c r="D264" s="23"/>
      <c r="E264" s="23"/>
      <c r="F264" s="23"/>
      <c r="G264" s="23"/>
      <c r="H264" s="23"/>
      <c r="I264" s="23"/>
      <c r="J264" s="23"/>
      <c r="K264" s="23"/>
      <c r="L264" s="24"/>
      <c r="N264" s="5" t="s">
        <v>433</v>
      </c>
    </row>
    <row r="265" spans="1:14" x14ac:dyDescent="0.25">
      <c r="A265" s="5" t="str">
        <f>'IAA digestibility'!A265</f>
        <v>Pinto bean (served with corn tortilla and guacamole)</v>
      </c>
      <c r="B265" s="5" t="str">
        <f>'IAA digestibility'!B265</f>
        <v>Legumes &amp; oilseeds</v>
      </c>
      <c r="C265" s="23"/>
      <c r="D265" s="23">
        <f>'Total and digestible IAA'!AI265/$D$2</f>
        <v>0.72727272727272729</v>
      </c>
      <c r="E265" s="23">
        <f>'Total and digestible IAA'!AJ265/$E$2</f>
        <v>0.60545454545454536</v>
      </c>
      <c r="F265" s="23">
        <f>'Total and digestible IAA'!AK265/$F$2</f>
        <v>0.7739583333333333</v>
      </c>
      <c r="G265" s="23">
        <f>'Total and digestible IAA'!AL265/$G$2</f>
        <v>0.76666666666666661</v>
      </c>
      <c r="H265" s="23">
        <f>'Total and digestible IAA'!AM265/$H$2</f>
        <v>0.57878787878787885</v>
      </c>
      <c r="I265" s="23">
        <f>'Total and digestible IAA'!AN265/$I$2</f>
        <v>0.58723404255319156</v>
      </c>
      <c r="J265" s="23">
        <f>'Total and digestible IAA'!AO265/$J$2</f>
        <v>0.70727272727272728</v>
      </c>
      <c r="K265" s="23"/>
      <c r="L265" s="24">
        <f t="shared" si="5"/>
        <v>57.878787878787882</v>
      </c>
      <c r="M265" s="5" t="s">
        <v>355</v>
      </c>
      <c r="N265" s="5" t="s">
        <v>444</v>
      </c>
    </row>
    <row r="266" spans="1:14" x14ac:dyDescent="0.25">
      <c r="A266" s="5" t="str">
        <f>'IAA digestibility'!A266</f>
        <v>Salami (fully coked, cured and fermented), includes pok and pork hearts</v>
      </c>
      <c r="B266" s="5" t="str">
        <f>'IAA digestibility'!B266</f>
        <v>Animal products</v>
      </c>
      <c r="C266" s="23">
        <f>'Total and digestible IAA'!AH266/$C$2</f>
        <v>0.66262570602011284</v>
      </c>
      <c r="D266" s="23">
        <f>'Total and digestible IAA'!AI266/$D$2</f>
        <v>0.8814136682989141</v>
      </c>
      <c r="E266" s="23">
        <f>'Total and digestible IAA'!AJ266/$E$2</f>
        <v>0.8039599744517778</v>
      </c>
      <c r="F266" s="23">
        <f>'Total and digestible IAA'!AK266/$F$2</f>
        <v>0.76270979703356756</v>
      </c>
      <c r="G266" s="23">
        <f>'Total and digestible IAA'!AL266/$G$2</f>
        <v>1.0949495978006312</v>
      </c>
      <c r="H266" s="23">
        <f>'Total and digestible IAA'!AM266/$H$2</f>
        <v>0.88554751259669295</v>
      </c>
      <c r="I266" s="23">
        <f>'Total and digestible IAA'!AN266/$I$2</f>
        <v>0.76844885146245445</v>
      </c>
      <c r="J266" s="23">
        <f>'Total and digestible IAA'!AO266/$J$2</f>
        <v>0.87611241217798597</v>
      </c>
      <c r="K266" s="23">
        <f>'Total and digestible IAA'!AP266/$K$2</f>
        <v>1.4879000780640124</v>
      </c>
      <c r="L266" s="24">
        <f t="shared" si="5"/>
        <v>66.26257060201128</v>
      </c>
      <c r="M266" s="5" t="s">
        <v>6</v>
      </c>
    </row>
    <row r="267" spans="1:14" x14ac:dyDescent="0.25">
      <c r="A267" s="5" t="str">
        <f>'IAA digestibility'!A267</f>
        <v>Bologna (fully cooked and cured), includes pork and beef</v>
      </c>
      <c r="B267" s="5" t="str">
        <f>'IAA digestibility'!B267</f>
        <v>Animal products</v>
      </c>
      <c r="C267" s="23">
        <f>'Total and digestible IAA'!AH267/$C$2</f>
        <v>0.86889206646615058</v>
      </c>
      <c r="D267" s="23">
        <f>'Total and digestible IAA'!AI267/$D$2</f>
        <v>0.97626304960755939</v>
      </c>
      <c r="E267" s="23">
        <f>'Total and digestible IAA'!AJ267/$E$2</f>
        <v>0.88242017831288588</v>
      </c>
      <c r="F267" s="23">
        <f>'Total and digestible IAA'!AK267/$F$2</f>
        <v>0.81900495948588981</v>
      </c>
      <c r="G267" s="23">
        <f>'Total and digestible IAA'!AL267/$G$2</f>
        <v>1.2112200396029982</v>
      </c>
      <c r="H267" s="23">
        <f>'Total and digestible IAA'!AM267/$H$2</f>
        <v>0.98221951281465114</v>
      </c>
      <c r="I267" s="23">
        <f>'Total and digestible IAA'!AN267/$I$2</f>
        <v>0.85651227907474459</v>
      </c>
      <c r="J267" s="23">
        <f>'Total and digestible IAA'!AO267/$J$2</f>
        <v>0.94803017602682316</v>
      </c>
      <c r="K267" s="23">
        <f>'Total and digestible IAA'!AP267/$K$2</f>
        <v>1.7791881211830918</v>
      </c>
      <c r="L267" s="24">
        <f t="shared" si="5"/>
        <v>81.900495948588983</v>
      </c>
      <c r="M267" s="5" t="s">
        <v>526</v>
      </c>
    </row>
    <row r="268" spans="1:14" x14ac:dyDescent="0.25">
      <c r="A268" s="5" t="str">
        <f>'IAA digestibility'!A268</f>
        <v xml:space="preserve">Beef jerky </v>
      </c>
      <c r="B268" s="5" t="str">
        <f>'IAA digestibility'!B268</f>
        <v>Animal products</v>
      </c>
      <c r="C268" s="23">
        <f>'Total and digestible IAA'!AH268/$C$2</f>
        <v>0.78162095783872287</v>
      </c>
      <c r="D268" s="23">
        <f>'Total and digestible IAA'!AI268/$D$2</f>
        <v>0.96207159602575065</v>
      </c>
      <c r="E268" s="23">
        <f>'Total and digestible IAA'!AJ268/$E$2</f>
        <v>0.91399546012726529</v>
      </c>
      <c r="F268" s="23">
        <f>'Total and digestible IAA'!AK268/$F$2</f>
        <v>0.83511563651248466</v>
      </c>
      <c r="G268" s="23">
        <f>'Total and digestible IAA'!AL268/$G$2</f>
        <v>1.2438377618395058</v>
      </c>
      <c r="H268" s="23">
        <f>'Total and digestible IAA'!AM268/$H$2</f>
        <v>0.83694290427814788</v>
      </c>
      <c r="I268" s="23">
        <f>'Total and digestible IAA'!AN268/$I$2</f>
        <v>0.86369218174375739</v>
      </c>
      <c r="J268" s="23">
        <f>'Total and digestible IAA'!AO268/$J$2</f>
        <v>0.91833438767536191</v>
      </c>
      <c r="K268" s="23">
        <f>'Total and digestible IAA'!AP268/$K$2</f>
        <v>1.8206537629378401</v>
      </c>
      <c r="L268" s="24">
        <f t="shared" si="5"/>
        <v>78.162095783872289</v>
      </c>
      <c r="M268" s="5" t="s">
        <v>6</v>
      </c>
    </row>
    <row r="269" spans="1:14" x14ac:dyDescent="0.25">
      <c r="A269" s="5" t="str">
        <f>'IAA digestibility'!A269</f>
        <v>Beef, ground, raw</v>
      </c>
      <c r="B269" s="5" t="str">
        <f>'IAA digestibility'!B269</f>
        <v>Animal products</v>
      </c>
      <c r="C269" s="23">
        <f>'Total and digestible IAA'!AH269/$C$2</f>
        <v>0.54224185532854774</v>
      </c>
      <c r="D269" s="23">
        <f>'Total and digestible IAA'!AI269/$D$2</f>
        <v>0.92898197881632461</v>
      </c>
      <c r="E269" s="23">
        <f>'Total and digestible IAA'!AJ269/$E$2</f>
        <v>0.82309121028060839</v>
      </c>
      <c r="F269" s="23">
        <f>'Total and digestible IAA'!AK269/$F$2</f>
        <v>0.77052273145591743</v>
      </c>
      <c r="G269" s="23">
        <f>'Total and digestible IAA'!AL269/$G$2</f>
        <v>1.1811874294768685</v>
      </c>
      <c r="H269" s="23">
        <f>'Total and digestible IAA'!AM269/$H$2</f>
        <v>1.0569248531700215</v>
      </c>
      <c r="I269" s="23">
        <f>'Total and digestible IAA'!AN269/$I$2</f>
        <v>0.80406969230588488</v>
      </c>
      <c r="J269" s="23">
        <f>'Total and digestible IAA'!AO269/$J$2</f>
        <v>0.88007630139049242</v>
      </c>
      <c r="K269" s="23">
        <f>'Total and digestible IAA'!AP269/$K$2</f>
        <v>1.4807919854855249</v>
      </c>
      <c r="L269" s="24">
        <f t="shared" si="5"/>
        <v>54.224185532854776</v>
      </c>
      <c r="M269" s="5" t="s">
        <v>6</v>
      </c>
    </row>
    <row r="270" spans="1:14" x14ac:dyDescent="0.25">
      <c r="A270" s="5" t="str">
        <f>'IAA digestibility'!A270</f>
        <v>Beef, ground, cooked</v>
      </c>
      <c r="B270" s="5" t="str">
        <f>'IAA digestibility'!B270</f>
        <v>Animal products</v>
      </c>
      <c r="C270" s="23">
        <f>'Total and digestible IAA'!AH270/$C$2</f>
        <v>0.58238373883584849</v>
      </c>
      <c r="D270" s="23">
        <f>'Total and digestible IAA'!AI270/$D$2</f>
        <v>0.73996013802950966</v>
      </c>
      <c r="E270" s="23">
        <f>'Total and digestible IAA'!AJ270/$E$2</f>
        <v>0.66461208948119943</v>
      </c>
      <c r="F270" s="23">
        <f>'Total and digestible IAA'!AK270/$F$2</f>
        <v>0.63151041666666663</v>
      </c>
      <c r="G270" s="23">
        <f>'Total and digestible IAA'!AL270/$G$2</f>
        <v>0.95805827452765746</v>
      </c>
      <c r="H270" s="23">
        <f>'Total and digestible IAA'!AM270/$H$2</f>
        <v>0.79362010153894957</v>
      </c>
      <c r="I270" s="23">
        <f>'Total and digestible IAA'!AN270/$I$2</f>
        <v>0.66678386431992853</v>
      </c>
      <c r="J270" s="23">
        <f>'Total and digestible IAA'!AO270/$J$2</f>
        <v>0.72914683484055209</v>
      </c>
      <c r="K270" s="23">
        <f>'Total and digestible IAA'!AP270/$K$2</f>
        <v>1.156631762652705</v>
      </c>
      <c r="L270" s="24">
        <f t="shared" si="5"/>
        <v>58.238373883584849</v>
      </c>
      <c r="M270" s="5" t="s">
        <v>6</v>
      </c>
    </row>
    <row r="271" spans="1:14" x14ac:dyDescent="0.25">
      <c r="A271" s="5" t="str">
        <f>'IAA digestibility'!A271</f>
        <v>ribeye roast, medium rare (cooked to 56oC)</v>
      </c>
      <c r="B271" s="5" t="str">
        <f>'IAA digestibility'!B271</f>
        <v>Animal products</v>
      </c>
      <c r="C271" s="23">
        <f>'Total and digestible IAA'!AH271/$C$2</f>
        <v>0.65544840887174538</v>
      </c>
      <c r="D271" s="23">
        <f>'Total and digestible IAA'!AI271/$D$2</f>
        <v>0.85567250372578241</v>
      </c>
      <c r="E271" s="23">
        <f>'Total and digestible IAA'!AJ271/$E$2</f>
        <v>0.78062593144560377</v>
      </c>
      <c r="F271" s="23">
        <f>'Total and digestible IAA'!AK271/$F$2</f>
        <v>0.72574282786885236</v>
      </c>
      <c r="G271" s="23">
        <f>'Total and digestible IAA'!AL271/$G$2</f>
        <v>1.1257899738655262</v>
      </c>
      <c r="H271" s="23">
        <f>'Total and digestible IAA'!AM271/$H$2</f>
        <v>0.93334575260804764</v>
      </c>
      <c r="I271" s="23">
        <f>'Total and digestible IAA'!AN271/$I$2</f>
        <v>0.77799093128705976</v>
      </c>
      <c r="J271" s="23">
        <f>'Total and digestible IAA'!AO271/$J$2</f>
        <v>0.80870342771982107</v>
      </c>
      <c r="K271" s="23">
        <f>'Total and digestible IAA'!AP271/$K$2</f>
        <v>1.4241803278688525</v>
      </c>
      <c r="L271" s="24">
        <f t="shared" ref="L271:L292" si="6">MIN(C271:K271)*100</f>
        <v>65.544840887174544</v>
      </c>
      <c r="M271" s="5" t="s">
        <v>6</v>
      </c>
    </row>
    <row r="272" spans="1:14" x14ac:dyDescent="0.25">
      <c r="A272" s="5" t="str">
        <f>'IAA digestibility'!A272</f>
        <v>ribeye roast, medium (cooked to 64oC)</v>
      </c>
      <c r="B272" s="5" t="str">
        <f>'IAA digestibility'!B272</f>
        <v>Animal products</v>
      </c>
      <c r="C272" s="23">
        <f>'Total and digestible IAA'!AH272/$C$2</f>
        <v>0.69653114841697461</v>
      </c>
      <c r="D272" s="23">
        <f>'Total and digestible IAA'!AI272/$D$2</f>
        <v>0.98756107631959256</v>
      </c>
      <c r="E272" s="23">
        <f>'Total and digestible IAA'!AJ272/$E$2</f>
        <v>0.93152570366802012</v>
      </c>
      <c r="F272" s="23">
        <f>'Total and digestible IAA'!AK272/$F$2</f>
        <v>0.84872571284380527</v>
      </c>
      <c r="G272" s="23">
        <f>'Total and digestible IAA'!AL272/$G$2</f>
        <v>1.3020823047976391</v>
      </c>
      <c r="H272" s="23">
        <f>'Total and digestible IAA'!AM272/$H$2</f>
        <v>1.1320854265593101</v>
      </c>
      <c r="I272" s="23">
        <f>'Total and digestible IAA'!AN272/$I$2</f>
        <v>0.88380417800827871</v>
      </c>
      <c r="J272" s="23">
        <f>'Total and digestible IAA'!AO272/$J$2</f>
        <v>0.94497969857545938</v>
      </c>
      <c r="K272" s="23">
        <f>'Total and digestible IAA'!AP272/$K$2</f>
        <v>1.6074943224829679</v>
      </c>
      <c r="L272" s="24">
        <f t="shared" si="6"/>
        <v>69.653114841697459</v>
      </c>
      <c r="M272" s="5" t="s">
        <v>6</v>
      </c>
    </row>
    <row r="273" spans="1:14" x14ac:dyDescent="0.25">
      <c r="A273" s="5" t="str">
        <f>'IAA digestibility'!A273</f>
        <v>ribeye roast, well-done (ccoked to 72oC)</v>
      </c>
      <c r="B273" s="5" t="str">
        <f>'IAA digestibility'!B273</f>
        <v>Animal products</v>
      </c>
      <c r="C273" s="23">
        <f>'Total and digestible IAA'!AH273/$C$2</f>
        <v>0.57054569067825078</v>
      </c>
      <c r="D273" s="23">
        <f>'Total and digestible IAA'!AI273/$D$2</f>
        <v>0.80146728034051973</v>
      </c>
      <c r="E273" s="23">
        <f>'Total and digestible IAA'!AJ273/$E$2</f>
        <v>0.74212548015364921</v>
      </c>
      <c r="F273" s="23">
        <f>'Total and digestible IAA'!AK273/$F$2</f>
        <v>0.67834031214312906</v>
      </c>
      <c r="G273" s="23">
        <f>'Total and digestible IAA'!AL273/$G$2</f>
        <v>1.0402840072160342</v>
      </c>
      <c r="H273" s="23">
        <f>'Total and digestible IAA'!AM273/$H$2</f>
        <v>0.88382877115271474</v>
      </c>
      <c r="I273" s="23">
        <f>'Total and digestible IAA'!AN273/$I$2</f>
        <v>0.72709749005823321</v>
      </c>
      <c r="J273" s="23">
        <f>'Total and digestible IAA'!AO273/$J$2</f>
        <v>0.77475170432916918</v>
      </c>
      <c r="K273" s="23">
        <f>'Total and digestible IAA'!AP273/$K$2</f>
        <v>1.2917505030181087</v>
      </c>
      <c r="L273" s="24">
        <f t="shared" si="6"/>
        <v>57.054569067825078</v>
      </c>
      <c r="M273" s="5" t="s">
        <v>6</v>
      </c>
    </row>
    <row r="274" spans="1:14" x14ac:dyDescent="0.25">
      <c r="A274" s="5" t="str">
        <f>'IAA digestibility'!A274</f>
        <v>pork belly, raw</v>
      </c>
      <c r="B274" s="5" t="str">
        <f>'IAA digestibility'!B274</f>
        <v>Animal products</v>
      </c>
      <c r="C274" s="23">
        <f>'Total and digestible IAA'!AH274/$C$2</f>
        <v>0.56607819312415131</v>
      </c>
      <c r="D274" s="23">
        <f>'Total and digestible IAA'!AI274/$D$2</f>
        <v>0.98577819507345621</v>
      </c>
      <c r="E274" s="23">
        <f>'Total and digestible IAA'!AJ274/$E$2</f>
        <v>0.8318347509113001</v>
      </c>
      <c r="F274" s="23">
        <f>'Total and digestible IAA'!AK274/$F$2</f>
        <v>0.77523795058728229</v>
      </c>
      <c r="G274" s="23">
        <f>'Total and digestible IAA'!AL274/$G$2</f>
        <v>1.222859105076866</v>
      </c>
      <c r="H274" s="23">
        <f>'Total and digestible IAA'!AM274/$H$2</f>
        <v>1.0816672189697707</v>
      </c>
      <c r="I274" s="23">
        <f>'Total and digestible IAA'!AN274/$I$2</f>
        <v>0.86603241901708838</v>
      </c>
      <c r="J274" s="23">
        <f>'Total and digestible IAA'!AO274/$J$2</f>
        <v>0.85717441732022526</v>
      </c>
      <c r="K274" s="23">
        <f>'Total and digestible IAA'!AP274/$K$2</f>
        <v>1.6812763987733612</v>
      </c>
      <c r="L274" s="24">
        <f t="shared" si="6"/>
        <v>56.607819312415131</v>
      </c>
      <c r="M274" s="5" t="s">
        <v>6</v>
      </c>
    </row>
    <row r="275" spans="1:14" x14ac:dyDescent="0.25">
      <c r="A275" s="5" t="str">
        <f>'IAA digestibility'!A275</f>
        <v>Bacon, smoked</v>
      </c>
      <c r="B275" s="5" t="str">
        <f>'IAA digestibility'!B275</f>
        <v>Animal products</v>
      </c>
      <c r="C275" s="23">
        <f>'Total and digestible IAA'!AH275/$C$2</f>
        <v>0.71657195515281824</v>
      </c>
      <c r="D275" s="23">
        <f>'Total and digestible IAA'!AI275/$D$2</f>
        <v>0.94367434132447192</v>
      </c>
      <c r="E275" s="23">
        <f>'Total and digestible IAA'!AJ275/$E$2</f>
        <v>0.80710182767624017</v>
      </c>
      <c r="F275" s="23">
        <f>'Total and digestible IAA'!AK275/$F$2</f>
        <v>0.76348999129677975</v>
      </c>
      <c r="G275" s="23">
        <f>'Total and digestible IAA'!AL275/$G$2</f>
        <v>1.1843342036553524</v>
      </c>
      <c r="H275" s="23">
        <f>'Total and digestible IAA'!AM275/$H$2</f>
        <v>0.8958461903631616</v>
      </c>
      <c r="I275" s="23">
        <f>'Total and digestible IAA'!AN275/$I$2</f>
        <v>0.85313038164546395</v>
      </c>
      <c r="J275" s="23">
        <f>'Total and digestible IAA'!AO275/$J$2</f>
        <v>0.85142178969855198</v>
      </c>
      <c r="K275" s="23">
        <f>'Total and digestible IAA'!AP275/$K$2</f>
        <v>1.8274773094616434</v>
      </c>
      <c r="L275" s="24">
        <f t="shared" si="6"/>
        <v>71.657195515281828</v>
      </c>
      <c r="M275" s="5" t="s">
        <v>6</v>
      </c>
    </row>
    <row r="276" spans="1:14" x14ac:dyDescent="0.25">
      <c r="A276" s="5" t="str">
        <f>'IAA digestibility'!A276</f>
        <v>Bacon, smoked, cooked</v>
      </c>
      <c r="B276" s="5" t="str">
        <f>'IAA digestibility'!B276</f>
        <v>Animal products</v>
      </c>
      <c r="C276" s="23">
        <f>'Total and digestible IAA'!AH276/$C$2</f>
        <v>0.62677306492476859</v>
      </c>
      <c r="D276" s="23">
        <f>'Total and digestible IAA'!AI276/$D$2</f>
        <v>1.1227658951069441</v>
      </c>
      <c r="E276" s="23">
        <f>'Total and digestible IAA'!AJ276/$E$2</f>
        <v>0.9573395839437443</v>
      </c>
      <c r="F276" s="23">
        <f>'Total and digestible IAA'!AK276/$F$2</f>
        <v>0.91302251196405892</v>
      </c>
      <c r="G276" s="23">
        <f>'Total and digestible IAA'!AL276/$G$2</f>
        <v>1.3796863654314067</v>
      </c>
      <c r="H276" s="23">
        <f>'Total and digestible IAA'!AM276/$H$2</f>
        <v>1.0421827415674472</v>
      </c>
      <c r="I276" s="23">
        <f>'Total and digestible IAA'!AN276/$I$2</f>
        <v>0.98087724657286579</v>
      </c>
      <c r="J276" s="23">
        <f>'Total and digestible IAA'!AO276/$J$2</f>
        <v>1.0316810057800387</v>
      </c>
      <c r="K276" s="23">
        <f>'Total and digestible IAA'!AP276/$K$2</f>
        <v>1.9972374534343471</v>
      </c>
      <c r="L276" s="24">
        <f t="shared" si="6"/>
        <v>62.677306492476859</v>
      </c>
      <c r="M276" s="5" t="s">
        <v>6</v>
      </c>
    </row>
    <row r="277" spans="1:14" x14ac:dyDescent="0.25">
      <c r="A277" s="5" t="str">
        <f>'IAA digestibility'!A277</f>
        <v>Ham, non-cured</v>
      </c>
      <c r="B277" s="5" t="str">
        <f>'IAA digestibility'!B277</f>
        <v>Animal products</v>
      </c>
      <c r="C277" s="23">
        <f>'Total and digestible IAA'!AH277/$C$2</f>
        <v>0.72271828777861102</v>
      </c>
      <c r="D277" s="23">
        <f>'Total and digestible IAA'!AI277/$D$2</f>
        <v>1.0020014747708836</v>
      </c>
      <c r="E277" s="23">
        <f>'Total and digestible IAA'!AJ277/$E$2</f>
        <v>0.88528916043400374</v>
      </c>
      <c r="F277" s="23">
        <f>'Total and digestible IAA'!AK277/$F$2</f>
        <v>0.83817352259559685</v>
      </c>
      <c r="G277" s="23">
        <f>'Total and digestible IAA'!AL277/$G$2</f>
        <v>1.3017784271247921</v>
      </c>
      <c r="H277" s="23">
        <f>'Total and digestible IAA'!AM277/$H$2</f>
        <v>1.1049281927033954</v>
      </c>
      <c r="I277" s="23">
        <f>'Total and digestible IAA'!AN277/$I$2</f>
        <v>0.92193547989447999</v>
      </c>
      <c r="J277" s="23">
        <f>'Total and digestible IAA'!AO277/$J$2</f>
        <v>0.89741915095333402</v>
      </c>
      <c r="K277" s="23">
        <f>'Total and digestible IAA'!AP277/$K$2</f>
        <v>1.7780168846217517</v>
      </c>
      <c r="L277" s="24">
        <f t="shared" si="6"/>
        <v>72.271828777861103</v>
      </c>
      <c r="M277" s="5" t="s">
        <v>6</v>
      </c>
    </row>
    <row r="278" spans="1:14" x14ac:dyDescent="0.25">
      <c r="A278" s="5" t="str">
        <f>'IAA digestibility'!A278</f>
        <v>Ham, cured with celery/salt (no nitrite)</v>
      </c>
      <c r="B278" s="5" t="str">
        <f>'IAA digestibility'!B278</f>
        <v>Animal products</v>
      </c>
      <c r="C278" s="23">
        <f>'Total and digestible IAA'!AH278/$C$2</f>
        <v>0.77782374844848978</v>
      </c>
      <c r="D278" s="23">
        <f>'Total and digestible IAA'!AI278/$D$2</f>
        <v>1.0594557490502878</v>
      </c>
      <c r="E278" s="23">
        <f>'Total and digestible IAA'!AJ278/$E$2</f>
        <v>0.94271636514085833</v>
      </c>
      <c r="F278" s="23">
        <f>'Total and digestible IAA'!AK278/$F$2</f>
        <v>0.88534340091021935</v>
      </c>
      <c r="G278" s="23">
        <f>'Total and digestible IAA'!AL278/$G$2</f>
        <v>1.3507702086069087</v>
      </c>
      <c r="H278" s="23">
        <f>'Total and digestible IAA'!AM278/$H$2</f>
        <v>1.0903072930379507</v>
      </c>
      <c r="I278" s="23">
        <f>'Total and digestible IAA'!AN278/$I$2</f>
        <v>0.97178672347467854</v>
      </c>
      <c r="J278" s="23">
        <f>'Total and digestible IAA'!AO278/$J$2</f>
        <v>0.96164290818821241</v>
      </c>
      <c r="K278" s="23">
        <f>'Total and digestible IAA'!AP278/$K$2</f>
        <v>1.9652461729416633</v>
      </c>
      <c r="L278" s="24">
        <f t="shared" si="6"/>
        <v>77.782374844848974</v>
      </c>
      <c r="M278" s="5" t="s">
        <v>6</v>
      </c>
    </row>
    <row r="279" spans="1:14" x14ac:dyDescent="0.25">
      <c r="A279" s="5" t="str">
        <f>'IAA digestibility'!A279</f>
        <v xml:space="preserve">Ham, cured </v>
      </c>
      <c r="B279" s="5" t="str">
        <f>'IAA digestibility'!B279</f>
        <v>Animal products</v>
      </c>
      <c r="C279" s="23">
        <f>'Total and digestible IAA'!AH279/$C$2</f>
        <v>0.72741883638701377</v>
      </c>
      <c r="D279" s="23">
        <f>'Total and digestible IAA'!AI279/$D$2</f>
        <v>1.006945240551798</v>
      </c>
      <c r="E279" s="23">
        <f>'Total and digestible IAA'!AJ279/$E$2</f>
        <v>0.897940311055065</v>
      </c>
      <c r="F279" s="23">
        <f>'Total and digestible IAA'!AK279/$F$2</f>
        <v>0.84015517724534117</v>
      </c>
      <c r="G279" s="23">
        <f>'Total and digestible IAA'!AL279/$G$2</f>
        <v>1.2928705886653142</v>
      </c>
      <c r="H279" s="23">
        <f>'Total and digestible IAA'!AM279/$H$2</f>
        <v>1.0146865884570802</v>
      </c>
      <c r="I279" s="23">
        <f>'Total and digestible IAA'!AN279/$I$2</f>
        <v>0.93447541877956952</v>
      </c>
      <c r="J279" s="23">
        <f>'Total and digestible IAA'!AO279/$J$2</f>
        <v>0.91072643203790749</v>
      </c>
      <c r="K279" s="23">
        <f>'Total and digestible IAA'!AP279/$K$2</f>
        <v>1.9175724093756881</v>
      </c>
      <c r="L279" s="24">
        <f t="shared" si="6"/>
        <v>72.741883638701381</v>
      </c>
      <c r="M279" s="5" t="s">
        <v>6</v>
      </c>
    </row>
    <row r="280" spans="1:14" x14ac:dyDescent="0.25">
      <c r="A280" s="5" t="str">
        <f>'IAA digestibility'!A280</f>
        <v>pork loin, medium (cooked to 63oC)</v>
      </c>
      <c r="B280" s="5" t="str">
        <f>'IAA digestibility'!B280</f>
        <v>Animal products</v>
      </c>
      <c r="C280" s="23">
        <f>'Total and digestible IAA'!AH280/$C$2</f>
        <v>0.86924527434116716</v>
      </c>
      <c r="D280" s="23">
        <f>'Total and digestible IAA'!AI280/$D$2</f>
        <v>1.1369855711137964</v>
      </c>
      <c r="E280" s="23">
        <f>'Total and digestible IAA'!AJ280/$E$2</f>
        <v>1.00201151467766</v>
      </c>
      <c r="F280" s="23">
        <f>'Total and digestible IAA'!AK280/$F$2</f>
        <v>0.93918995960385698</v>
      </c>
      <c r="G280" s="23">
        <f>'Total and digestible IAA'!AL280/$G$2</f>
        <v>1.4623630327135102</v>
      </c>
      <c r="H280" s="23">
        <f>'Total and digestible IAA'!AM280/$H$2</f>
        <v>1.255585566375246</v>
      </c>
      <c r="I280" s="23">
        <f>'Total and digestible IAA'!AN280/$I$2</f>
        <v>1.0416715186398948</v>
      </c>
      <c r="J280" s="23">
        <f>'Total and digestible IAA'!AO280/$J$2</f>
        <v>1.0107328168313312</v>
      </c>
      <c r="K280" s="23">
        <f>'Total and digestible IAA'!AP280/$K$2</f>
        <v>2.0822070814252203</v>
      </c>
      <c r="L280" s="24">
        <f t="shared" si="6"/>
        <v>86.924527434116712</v>
      </c>
      <c r="M280" s="5" t="s">
        <v>6</v>
      </c>
    </row>
    <row r="281" spans="1:14" x14ac:dyDescent="0.25">
      <c r="A281" s="5" t="str">
        <f>'IAA digestibility'!A281</f>
        <v>pork loin, medium-well (cooked to 68oC)</v>
      </c>
      <c r="B281" s="5" t="str">
        <f>'IAA digestibility'!B281</f>
        <v>Animal products</v>
      </c>
      <c r="C281" s="23">
        <f>'Total and digestible IAA'!AH281/$C$2</f>
        <v>0.72738363005604045</v>
      </c>
      <c r="D281" s="23">
        <f>'Total and digestible IAA'!AI281/$D$2</f>
        <v>0.95752076827903132</v>
      </c>
      <c r="E281" s="23">
        <f>'Total and digestible IAA'!AJ281/$E$2</f>
        <v>0.84575502268308478</v>
      </c>
      <c r="F281" s="23">
        <f>'Total and digestible IAA'!AK281/$F$2</f>
        <v>0.78663723266364205</v>
      </c>
      <c r="G281" s="23">
        <f>'Total and digestible IAA'!AL281/$G$2</f>
        <v>1.2291930833028073</v>
      </c>
      <c r="H281" s="23">
        <f>'Total and digestible IAA'!AM281/$H$2</f>
        <v>1.0661737268995857</v>
      </c>
      <c r="I281" s="23">
        <f>'Total and digestible IAA'!AN281/$I$2</f>
        <v>0.89617145378579977</v>
      </c>
      <c r="J281" s="23">
        <f>'Total and digestible IAA'!AO281/$J$2</f>
        <v>0.85455723796618166</v>
      </c>
      <c r="K281" s="23">
        <f>'Total and digestible IAA'!AP281/$K$2</f>
        <v>1.8555380674628892</v>
      </c>
      <c r="L281" s="24">
        <f t="shared" si="6"/>
        <v>72.738363005604043</v>
      </c>
      <c r="M281" s="5" t="s">
        <v>6</v>
      </c>
    </row>
    <row r="282" spans="1:14" x14ac:dyDescent="0.25">
      <c r="A282" s="5" t="str">
        <f>'IAA digestibility'!A282</f>
        <v>pork loin, well-done (cooked to 72oC)</v>
      </c>
      <c r="B282" s="5" t="str">
        <f>'IAA digestibility'!B282</f>
        <v>Animal products</v>
      </c>
      <c r="C282" s="23">
        <f>'Total and digestible IAA'!AH282/$C$2</f>
        <v>0.73916269210386865</v>
      </c>
      <c r="D282" s="23">
        <f>'Total and digestible IAA'!AI282/$D$2</f>
        <v>0.96464646464646464</v>
      </c>
      <c r="E282" s="23">
        <f>'Total and digestible IAA'!AJ282/$E$2</f>
        <v>0.85438165438165437</v>
      </c>
      <c r="F282" s="23">
        <f>'Total and digestible IAA'!AK282/$F$2</f>
        <v>0.79692192192192202</v>
      </c>
      <c r="G282" s="23">
        <f>'Total and digestible IAA'!AL282/$G$2</f>
        <v>1.2462723593158374</v>
      </c>
      <c r="H282" s="23">
        <f>'Total and digestible IAA'!AM282/$H$2</f>
        <v>1.0600054600054598</v>
      </c>
      <c r="I282" s="23">
        <f>'Total and digestible IAA'!AN282/$I$2</f>
        <v>0.87827614848891444</v>
      </c>
      <c r="J282" s="23">
        <f>'Total and digestible IAA'!AO282/$J$2</f>
        <v>0.85495495495495499</v>
      </c>
      <c r="K282" s="23">
        <f>'Total and digestible IAA'!AP282/$K$2</f>
        <v>1.7416416416416418</v>
      </c>
      <c r="L282" s="24">
        <f t="shared" si="6"/>
        <v>73.916269210386858</v>
      </c>
      <c r="M282" s="5" t="s">
        <v>6</v>
      </c>
    </row>
    <row r="283" spans="1:14" x14ac:dyDescent="0.25">
      <c r="A283" s="5" t="str">
        <f>'IAA digestibility'!A283</f>
        <v>Chickpea, extruded</v>
      </c>
      <c r="B283" s="5" t="str">
        <f>'IAA digestibility'!B283</f>
        <v>Legumes &amp; oilseeds</v>
      </c>
      <c r="C283" s="23"/>
      <c r="D283" s="23">
        <f>'Total and digestible IAA'!AI283/$D$2</f>
        <v>0.83134120131216771</v>
      </c>
      <c r="E283" s="23">
        <f>'Total and digestible IAA'!AJ283/$E$2</f>
        <v>0.66785566155122356</v>
      </c>
      <c r="F283" s="23">
        <f>'Total and digestible IAA'!AK283/$F$2</f>
        <v>0.5788573206138532</v>
      </c>
      <c r="G283" s="23">
        <f>'Total and digestible IAA'!AL283/$G$2</f>
        <v>0.68555353181973933</v>
      </c>
      <c r="H283" s="23"/>
      <c r="I283" s="23">
        <f>'Total and digestible IAA'!AN283/$I$2</f>
        <v>0.66309556377242607</v>
      </c>
      <c r="J283" s="23">
        <f>'Total and digestible IAA'!AO283/$J$2</f>
        <v>0.65468873722710308</v>
      </c>
      <c r="K283" s="23"/>
      <c r="L283" s="24">
        <f t="shared" si="6"/>
        <v>57.885732061385319</v>
      </c>
      <c r="M283" s="5" t="s">
        <v>526</v>
      </c>
      <c r="N283" s="5" t="s">
        <v>507</v>
      </c>
    </row>
    <row r="284" spans="1:14" x14ac:dyDescent="0.25">
      <c r="A284" s="5" t="str">
        <f>'IAA digestibility'!A284</f>
        <v xml:space="preserve">Yellow pea, extruded </v>
      </c>
      <c r="B284" s="5" t="str">
        <f>'IAA digestibility'!B284</f>
        <v>Legumes &amp; oilseeds</v>
      </c>
      <c r="C284" s="23"/>
      <c r="D284" s="23">
        <f>'Total and digestible IAA'!AI284/$D$2</f>
        <v>0.81931818181818195</v>
      </c>
      <c r="E284" s="23">
        <f>'Total and digestible IAA'!AJ284/$E$2</f>
        <v>0.68039525691699609</v>
      </c>
      <c r="F284" s="23">
        <f>'Total and digestible IAA'!AK284/$F$2</f>
        <v>0.61795742753623184</v>
      </c>
      <c r="G284" s="23">
        <f>'Total and digestible IAA'!AL284/$G$2</f>
        <v>0.70888468809073735</v>
      </c>
      <c r="H284" s="23"/>
      <c r="I284" s="23">
        <f>'Total and digestible IAA'!AN284/$I$2</f>
        <v>0.59148936170212763</v>
      </c>
      <c r="J284" s="23">
        <f>'Total and digestible IAA'!AO284/$J$2</f>
        <v>0.73581027667984189</v>
      </c>
      <c r="K284" s="23"/>
      <c r="L284" s="24">
        <f t="shared" si="6"/>
        <v>59.148936170212764</v>
      </c>
      <c r="M284" s="5" t="s">
        <v>356</v>
      </c>
      <c r="N284" s="5" t="s">
        <v>507</v>
      </c>
    </row>
    <row r="285" spans="1:14" x14ac:dyDescent="0.25">
      <c r="A285" s="5" t="str">
        <f>'IAA digestibility'!A285</f>
        <v>Black soldier fly larvae meal, defatted</v>
      </c>
      <c r="B285" s="5" t="str">
        <f>'IAA digestibility'!B285</f>
        <v>Animal products</v>
      </c>
      <c r="C285" s="23"/>
      <c r="D285" s="23">
        <f>'Total and digestible IAA'!AI285/$D$2</f>
        <v>0.58288770053475936</v>
      </c>
      <c r="E285" s="23">
        <f>'Total and digestible IAA'!AJ285/$E$2</f>
        <v>0.62672085561497337</v>
      </c>
      <c r="F285" s="23">
        <f>'Total and digestible IAA'!AK285/$F$2</f>
        <v>0.55568627450980401</v>
      </c>
      <c r="G285" s="23">
        <f>'Total and digestible IAA'!AL285/$G$2</f>
        <v>0.5535072463768117</v>
      </c>
      <c r="H285" s="23">
        <f>'Total and digestible IAA'!AM285/$H$2</f>
        <v>0.6111229946524066</v>
      </c>
      <c r="I285" s="23"/>
      <c r="J285" s="23">
        <f>'Total and digestible IAA'!AO285/$J$2</f>
        <v>0.77594010695187154</v>
      </c>
      <c r="K285" s="23">
        <f>'Total and digestible IAA'!AP285/$K$2</f>
        <v>1.0127058823529411</v>
      </c>
      <c r="L285" s="24">
        <f t="shared" si="6"/>
        <v>55.350724637681168</v>
      </c>
      <c r="M285" s="5" t="s">
        <v>8</v>
      </c>
      <c r="N285" s="5" t="s">
        <v>511</v>
      </c>
    </row>
    <row r="286" spans="1:14" x14ac:dyDescent="0.25">
      <c r="A286" s="5" t="str">
        <f>'IAA digestibility'!A286</f>
        <v>Black soldier fly larvae meal, full fat</v>
      </c>
      <c r="B286" s="5" t="str">
        <f>'IAA digestibility'!B286</f>
        <v>Animal products</v>
      </c>
      <c r="C286" s="23"/>
      <c r="D286" s="23">
        <f>'Total and digestible IAA'!AI286/$D$2</f>
        <v>0.50651737967914434</v>
      </c>
      <c r="E286" s="23">
        <f>'Total and digestible IAA'!AJ286/$E$2</f>
        <v>0.51508021390374337</v>
      </c>
      <c r="F286" s="23">
        <f>'Total and digestible IAA'!AK286/$F$2</f>
        <v>0.4608175040849673</v>
      </c>
      <c r="G286" s="23">
        <f>'Total and digestible IAA'!AL286/$G$2</f>
        <v>0.51588874680306906</v>
      </c>
      <c r="H286" s="23">
        <f>'Total and digestible IAA'!AM286/$H$2</f>
        <v>0.69422162804515763</v>
      </c>
      <c r="I286" s="23"/>
      <c r="J286" s="23">
        <f>'Total and digestible IAA'!AO286/$J$2</f>
        <v>0.69333333333333336</v>
      </c>
      <c r="K286" s="23">
        <f>'Total and digestible IAA'!AP286/$K$2</f>
        <v>0.77727591036414567</v>
      </c>
      <c r="L286" s="24">
        <f t="shared" si="6"/>
        <v>46.081750408496731</v>
      </c>
      <c r="M286" s="5" t="s">
        <v>526</v>
      </c>
      <c r="N286" s="5" t="s">
        <v>511</v>
      </c>
    </row>
    <row r="287" spans="1:14" x14ac:dyDescent="0.25">
      <c r="A287" s="5" t="str">
        <f>'IAA digestibility'!A287</f>
        <v>Corn/maize, yellow dent,  raw</v>
      </c>
      <c r="B287" s="5" t="str">
        <f>'IAA digestibility'!B287</f>
        <v xml:space="preserve">Cereals &amp; cereal products </v>
      </c>
      <c r="C287" s="23">
        <f>'Total and digestible IAA'!AH287/$C$2</f>
        <v>0.27692307692307694</v>
      </c>
      <c r="D287" s="23">
        <f>'Total and digestible IAA'!AI287/$D$2</f>
        <v>0.54172494172494168</v>
      </c>
      <c r="E287" s="23">
        <f>'Total and digestible IAA'!AJ287/$E$2</f>
        <v>0.44484848484848488</v>
      </c>
      <c r="F287" s="23">
        <f>'Total and digestible IAA'!AK287/$F$2</f>
        <v>0.93488247863247853</v>
      </c>
      <c r="G287" s="23">
        <f>'Total and digestible IAA'!AL287/$G$2</f>
        <v>0.31308063916759571</v>
      </c>
      <c r="H287" s="23">
        <f>'Total and digestible IAA'!AM287/$H$2</f>
        <v>1.0579642579642581</v>
      </c>
      <c r="I287" s="23"/>
      <c r="J287" s="23">
        <f>'Total and digestible IAA'!AO287/$J$2</f>
        <v>0.6167832167832169</v>
      </c>
      <c r="K287" s="23">
        <f>'Total and digestible IAA'!AP287/$K$2</f>
        <v>1.0192307692307694</v>
      </c>
      <c r="L287" s="24">
        <f t="shared" si="6"/>
        <v>27.692307692307693</v>
      </c>
      <c r="M287" s="5" t="s">
        <v>6</v>
      </c>
      <c r="N287" s="5" t="s">
        <v>519</v>
      </c>
    </row>
    <row r="288" spans="1:14" x14ac:dyDescent="0.25">
      <c r="A288" s="5" t="str">
        <f>'IAA digestibility'!A288</f>
        <v>Corn/maize, yellow dent, extruded</v>
      </c>
      <c r="B288" s="5" t="str">
        <f>'IAA digestibility'!B288</f>
        <v xml:space="preserve">Cereals &amp; cereal products </v>
      </c>
      <c r="C288" s="23">
        <f>'Total and digestible IAA'!AH288/$C$2</f>
        <v>0.36222910216718268</v>
      </c>
      <c r="D288" s="23">
        <f>'Total and digestible IAA'!AI288/$D$2</f>
        <v>0.67177033492822968</v>
      </c>
      <c r="E288" s="23">
        <f>'Total and digestible IAA'!AJ288/$E$2</f>
        <v>0.52751196172248804</v>
      </c>
      <c r="F288" s="23">
        <f>'Total and digestible IAA'!AK288/$F$2</f>
        <v>1.0557565789473686</v>
      </c>
      <c r="G288" s="23">
        <f>'Total and digestible IAA'!AL288/$G$2</f>
        <v>0.40474828375286043</v>
      </c>
      <c r="H288" s="23">
        <f>'Total and digestible IAA'!AM288/$H$2</f>
        <v>1.1451355661881981</v>
      </c>
      <c r="I288" s="23"/>
      <c r="J288" s="23">
        <f>'Total and digestible IAA'!AO288/$J$2</f>
        <v>0.72930622009569379</v>
      </c>
      <c r="K288" s="23">
        <f>'Total and digestible IAA'!AP288/$K$2</f>
        <v>1.1723684210526319</v>
      </c>
      <c r="L288" s="24">
        <f t="shared" si="6"/>
        <v>36.222910216718269</v>
      </c>
      <c r="M288" s="5" t="s">
        <v>6</v>
      </c>
      <c r="N288" s="5" t="s">
        <v>519</v>
      </c>
    </row>
    <row r="289" spans="1:14" x14ac:dyDescent="0.25">
      <c r="A289" s="5" t="str">
        <f>'IAA digestibility'!A289</f>
        <v>Wheat, hard red winter, raw</v>
      </c>
      <c r="B289" s="5" t="str">
        <f>'IAA digestibility'!B289</f>
        <v xml:space="preserve">Cereals &amp; cereal products </v>
      </c>
      <c r="C289" s="23">
        <f>'Total and digestible IAA'!AH289/$C$2</f>
        <v>0.57064568877889255</v>
      </c>
      <c r="D289" s="23">
        <f>'Total and digestible IAA'!AI289/$D$2</f>
        <v>0.48837169592240975</v>
      </c>
      <c r="E289" s="23">
        <f>'Total and digestible IAA'!AJ289/$E$2</f>
        <v>0.51389932381667913</v>
      </c>
      <c r="F289" s="23">
        <f>'Total and digestible IAA'!AK289/$F$2</f>
        <v>0.56477742299023292</v>
      </c>
      <c r="G289" s="23">
        <f>'Total and digestible IAA'!AL289/$G$2</f>
        <v>0.29281677718616272</v>
      </c>
      <c r="H289" s="23">
        <f>'Total and digestible IAA'!AM289/$H$2</f>
        <v>1.0107233112492315</v>
      </c>
      <c r="I289" s="23"/>
      <c r="J289" s="23">
        <f>'Total and digestible IAA'!AO289/$J$2</f>
        <v>0.62421965712724536</v>
      </c>
      <c r="K289" s="23">
        <f>'Total and digestible IAA'!AP289/$K$2</f>
        <v>0.92304389825050981</v>
      </c>
      <c r="L289" s="24">
        <f t="shared" si="6"/>
        <v>29.281677718616272</v>
      </c>
      <c r="M289" s="5" t="s">
        <v>8</v>
      </c>
      <c r="N289" s="5" t="s">
        <v>519</v>
      </c>
    </row>
    <row r="290" spans="1:14" x14ac:dyDescent="0.25">
      <c r="A290" s="5" t="str">
        <f>'IAA digestibility'!A290</f>
        <v>Wheat, hard red winter, extruded</v>
      </c>
      <c r="B290" s="5" t="str">
        <f>'IAA digestibility'!B290</f>
        <v xml:space="preserve">Cereals &amp; cereal products </v>
      </c>
      <c r="C290" s="23">
        <f>'Total and digestible IAA'!AH290/$C$2</f>
        <v>0.5938375350140056</v>
      </c>
      <c r="D290" s="23">
        <f>'Total and digestible IAA'!AI290/$D$2</f>
        <v>0.52807088744588748</v>
      </c>
      <c r="E290" s="23">
        <f>'Total and digestible IAA'!AJ290/$E$2</f>
        <v>0.53693181818181823</v>
      </c>
      <c r="F290" s="23">
        <f>'Total and digestible IAA'!AK290/$F$2</f>
        <v>0.58500744047619047</v>
      </c>
      <c r="G290" s="23">
        <f>'Total and digestible IAA'!AL290/$G$2</f>
        <v>0.31679175293305728</v>
      </c>
      <c r="H290" s="23">
        <f>'Total and digestible IAA'!AM290/$H$2</f>
        <v>0.98744137806637799</v>
      </c>
      <c r="I290" s="23"/>
      <c r="J290" s="23">
        <f>'Total and digestible IAA'!AO290/$J$2</f>
        <v>0.63764880952380942</v>
      </c>
      <c r="K290" s="23">
        <f>'Total and digestible IAA'!AP290/$K$2</f>
        <v>0.93005952380952384</v>
      </c>
      <c r="L290" s="24">
        <f t="shared" si="6"/>
        <v>31.679175293305729</v>
      </c>
      <c r="M290" s="5" t="s">
        <v>8</v>
      </c>
      <c r="N290" s="5" t="s">
        <v>519</v>
      </c>
    </row>
    <row r="291" spans="1:14" x14ac:dyDescent="0.25">
      <c r="A291" s="5" t="str">
        <f>'IAA digestibility'!A291</f>
        <v>Sorghum, 1.6g/kg tannin, raw</v>
      </c>
      <c r="B291" s="5" t="str">
        <f>'IAA digestibility'!B291</f>
        <v xml:space="preserve">Cereals &amp; cereal products </v>
      </c>
      <c r="C291" s="23">
        <f>'Total and digestible IAA'!AH291/$C$2</f>
        <v>0.4791421310357652</v>
      </c>
      <c r="D291" s="23">
        <f>'Total and digestible IAA'!AI291/$D$2</f>
        <v>0.51671616055177694</v>
      </c>
      <c r="E291" s="23">
        <f>'Total and digestible IAA'!AJ291/$E$2</f>
        <v>0.53108535300316118</v>
      </c>
      <c r="F291" s="23">
        <f>'Total and digestible IAA'!AK291/$F$2</f>
        <v>1.1011591148577449</v>
      </c>
      <c r="G291" s="23">
        <f>'Total and digestible IAA'!AL291/$G$2</f>
        <v>0.20952642751332445</v>
      </c>
      <c r="H291" s="23">
        <f>'Total and digestible IAA'!AM291/$H$2</f>
        <v>0.83893731838937313</v>
      </c>
      <c r="I291" s="23"/>
      <c r="J291" s="23">
        <f>'Total and digestible IAA'!AO291/$J$2</f>
        <v>0.68023757064852952</v>
      </c>
      <c r="K291" s="23">
        <f>'Total and digestible IAA'!AP291/$K$2</f>
        <v>0.76872898790707012</v>
      </c>
      <c r="L291" s="24">
        <f t="shared" si="6"/>
        <v>20.952642751332444</v>
      </c>
      <c r="M291" s="5" t="s">
        <v>8</v>
      </c>
      <c r="N291" s="5" t="s">
        <v>519</v>
      </c>
    </row>
    <row r="292" spans="1:14" x14ac:dyDescent="0.25">
      <c r="A292" s="5" t="str">
        <f>'IAA digestibility'!A292</f>
        <v xml:space="preserve">Sorghum, 1.5g/kg tannin, extruded </v>
      </c>
      <c r="B292" s="5" t="str">
        <f>'IAA digestibility'!B292</f>
        <v xml:space="preserve">Cereals &amp; cereal products </v>
      </c>
      <c r="C292" s="23">
        <f>'Total and digestible IAA'!AH292/$C$2</f>
        <v>0.44374643061107938</v>
      </c>
      <c r="D292" s="23">
        <f>'Total and digestible IAA'!AI292/$D$2</f>
        <v>0.49401784838678042</v>
      </c>
      <c r="E292" s="23">
        <f>'Total and digestible IAA'!AJ292/$E$2</f>
        <v>0.49857801314111994</v>
      </c>
      <c r="F292" s="23">
        <f>'Total and digestible IAA'!AK292/$F$2</f>
        <v>0.95626573175116858</v>
      </c>
      <c r="G292" s="23">
        <f>'Total and digestible IAA'!AL292/$G$2</f>
        <v>0.23050826258930943</v>
      </c>
      <c r="H292" s="23">
        <f>'Total and digestible IAA'!AM292/$H$2</f>
        <v>0.76015821646889603</v>
      </c>
      <c r="I292" s="23"/>
      <c r="J292" s="23">
        <f>'Total and digestible IAA'!AO292/$J$2</f>
        <v>0.63312739040894372</v>
      </c>
      <c r="K292" s="23">
        <f>'Total and digestible IAA'!AP292/$K$2</f>
        <v>0.70457697642163664</v>
      </c>
      <c r="L292" s="24">
        <f t="shared" si="6"/>
        <v>23.050826258930943</v>
      </c>
      <c r="M292" s="5" t="s">
        <v>8</v>
      </c>
      <c r="N292" s="5" t="s">
        <v>519</v>
      </c>
    </row>
    <row r="293" spans="1:14" s="6" customFormat="1"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D2A6-EA49-424F-B94C-D63E0CF48D6E}">
  <dimension ref="A1:N293"/>
  <sheetViews>
    <sheetView zoomScaleNormal="100" workbookViewId="0">
      <pane ySplit="1" topLeftCell="A2" activePane="bottomLeft" state="frozen"/>
      <selection pane="bottomLeft" activeCell="B296" sqref="B296"/>
    </sheetView>
  </sheetViews>
  <sheetFormatPr defaultColWidth="9.5703125" defaultRowHeight="15" x14ac:dyDescent="0.25"/>
  <cols>
    <col min="1" max="1" width="58.140625" style="5" customWidth="1"/>
    <col min="2" max="2" width="35.42578125" style="5" customWidth="1"/>
    <col min="3" max="3" width="7.85546875" style="5" customWidth="1"/>
    <col min="4" max="4" width="8" style="5" customWidth="1"/>
    <col min="5" max="5" width="6.85546875" style="5" customWidth="1"/>
    <col min="6" max="6" width="6.140625" style="5" customWidth="1"/>
    <col min="7" max="7" width="5.85546875" style="5" customWidth="1"/>
    <col min="8" max="8" width="7.140625" style="5" customWidth="1"/>
    <col min="9" max="9" width="7.42578125" style="5" customWidth="1"/>
    <col min="10" max="10" width="6.5703125" style="5" customWidth="1"/>
    <col min="11" max="11" width="6.28515625" style="5" customWidth="1"/>
    <col min="12" max="12" width="17.28515625" style="5" customWidth="1"/>
    <col min="13" max="13" width="14.5703125" style="5" customWidth="1"/>
    <col min="14" max="14" width="47" style="5" customWidth="1"/>
    <col min="15" max="16384" width="9.5703125" style="5"/>
  </cols>
  <sheetData>
    <row r="1" spans="1:14" s="12" customFormat="1" x14ac:dyDescent="0.25">
      <c r="A1" s="12" t="s">
        <v>0</v>
      </c>
      <c r="B1" s="12" t="s">
        <v>1</v>
      </c>
      <c r="C1" s="12" t="s">
        <v>362</v>
      </c>
      <c r="D1" s="12" t="s">
        <v>343</v>
      </c>
      <c r="E1" s="12" t="s">
        <v>344</v>
      </c>
      <c r="F1" s="12" t="s">
        <v>345</v>
      </c>
      <c r="G1" s="12" t="s">
        <v>346</v>
      </c>
      <c r="H1" s="12" t="s">
        <v>355</v>
      </c>
      <c r="I1" s="12" t="s">
        <v>356</v>
      </c>
      <c r="J1" s="12" t="s">
        <v>351</v>
      </c>
      <c r="K1" s="12" t="s">
        <v>353</v>
      </c>
      <c r="L1" s="12" t="s">
        <v>360</v>
      </c>
      <c r="M1" s="12" t="s">
        <v>361</v>
      </c>
      <c r="N1" s="12" t="s">
        <v>255</v>
      </c>
    </row>
    <row r="2" spans="1:14" s="13" customFormat="1" ht="15.75" thickBot="1" x14ac:dyDescent="0.3">
      <c r="B2" s="13" t="s">
        <v>533</v>
      </c>
      <c r="C2" s="13">
        <v>8.5</v>
      </c>
      <c r="D2" s="13">
        <v>31</v>
      </c>
      <c r="E2" s="13">
        <v>32</v>
      </c>
      <c r="F2" s="13">
        <v>66</v>
      </c>
      <c r="G2" s="13">
        <v>57</v>
      </c>
      <c r="H2" s="13">
        <v>27</v>
      </c>
      <c r="I2" s="13">
        <v>52</v>
      </c>
      <c r="J2" s="13">
        <v>43</v>
      </c>
      <c r="K2" s="13">
        <v>20</v>
      </c>
      <c r="L2" s="19"/>
    </row>
    <row r="3" spans="1:14" s="4" customFormat="1" x14ac:dyDescent="0.25">
      <c r="A3" s="4" t="s">
        <v>39</v>
      </c>
      <c r="B3" s="4" t="s">
        <v>10</v>
      </c>
      <c r="C3" s="23">
        <f>'Total and digestible IAA'!AH3/$C$2</f>
        <v>1.1514836022904735</v>
      </c>
      <c r="D3" s="23">
        <f>'Total and digestible IAA'!AI3/$D$2</f>
        <v>0.83499857265201249</v>
      </c>
      <c r="E3" s="23">
        <f>'Total and digestible IAA'!AJ3/$E$2</f>
        <v>0.91841814159292023</v>
      </c>
      <c r="F3" s="23">
        <f>'Total and digestible IAA'!AK3/$F$2</f>
        <v>0.85693215339233042</v>
      </c>
      <c r="G3" s="23">
        <f>'Total and digestible IAA'!AL3/$G$2</f>
        <v>0.5006986492780624</v>
      </c>
      <c r="H3" s="23">
        <f>'Total and digestible IAA'!AM3/$H$2</f>
        <v>1.2327105866928876</v>
      </c>
      <c r="I3" s="23">
        <f>'Total and digestible IAA'!AN3/$I$2</f>
        <v>1.2382573179033356</v>
      </c>
      <c r="J3" s="23">
        <f>'Total and digestible IAA'!AO3/$J$2</f>
        <v>0.93846470467174326</v>
      </c>
      <c r="K3" s="23">
        <f>'Total and digestible IAA'!AP3/$K$2</f>
        <v>0.93185840707964618</v>
      </c>
      <c r="L3" s="24">
        <f>MIN(C3:K3)*100</f>
        <v>50.069864927806243</v>
      </c>
      <c r="M3" s="14" t="s">
        <v>8</v>
      </c>
    </row>
    <row r="4" spans="1:14" x14ac:dyDescent="0.25">
      <c r="A4" s="5" t="s">
        <v>220</v>
      </c>
      <c r="B4" s="4" t="s">
        <v>10</v>
      </c>
      <c r="C4" s="23">
        <f>'Total and digestible IAA'!AH4/$C$2</f>
        <v>0.83748753738783643</v>
      </c>
      <c r="D4" s="23">
        <f>'Total and digestible IAA'!AI4/$D$2</f>
        <v>0.66921815199562595</v>
      </c>
      <c r="E4" s="23">
        <f>'Total and digestible IAA'!AJ4/$E$2</f>
        <v>0.78495762711864414</v>
      </c>
      <c r="F4" s="23">
        <f>'Total and digestible IAA'!AK4/$F$2</f>
        <v>0.74049820236260921</v>
      </c>
      <c r="G4" s="23">
        <f>'Total and digestible IAA'!AL4/$G$2</f>
        <v>0.42908117752007141</v>
      </c>
      <c r="H4" s="23">
        <f>'Total and digestible IAA'!AM4/$H$2</f>
        <v>0.99372253609541739</v>
      </c>
      <c r="I4" s="23">
        <f>'Total and digestible IAA'!AN4/$I$2</f>
        <v>1.0738265971316818</v>
      </c>
      <c r="J4" s="23">
        <f>'Total and digestible IAA'!AO4/$J$2</f>
        <v>0.80429641308632238</v>
      </c>
      <c r="K4" s="23">
        <f>'Total and digestible IAA'!AP4/$K$2</f>
        <v>0.85805084745762739</v>
      </c>
      <c r="L4" s="24">
        <f t="shared" ref="L4:L67" si="0">MIN(C4:K4)*100</f>
        <v>42.908117752007144</v>
      </c>
      <c r="M4" s="14" t="s">
        <v>8</v>
      </c>
    </row>
    <row r="5" spans="1:14" x14ac:dyDescent="0.25">
      <c r="A5" s="5" t="s">
        <v>20</v>
      </c>
      <c r="B5" s="4" t="s">
        <v>10</v>
      </c>
      <c r="C5" s="23">
        <f>'Total and digestible IAA'!AH5/$C$2</f>
        <v>0.99927378358750918</v>
      </c>
      <c r="D5" s="23">
        <f>'Total and digestible IAA'!AI5/$D$2</f>
        <v>0.97849462365591411</v>
      </c>
      <c r="E5" s="23">
        <f>'Total and digestible IAA'!AJ5/$E$2</f>
        <v>1.029320987654321</v>
      </c>
      <c r="F5" s="23">
        <f>'Total and digestible IAA'!AK5/$F$2</f>
        <v>0.91919191919191923</v>
      </c>
      <c r="G5" s="23">
        <f>'Total and digestible IAA'!AL5/$G$2</f>
        <v>0.38553173056097034</v>
      </c>
      <c r="H5" s="23">
        <f>'Total and digestible IAA'!AM5/$H$2</f>
        <v>1.170096021947874</v>
      </c>
      <c r="I5" s="23">
        <f>'Total and digestible IAA'!AN5/$I$2</f>
        <v>1.2863247863247862</v>
      </c>
      <c r="J5" s="23">
        <f>'Total and digestible IAA'!AO5/$J$2</f>
        <v>0.95607235142118874</v>
      </c>
      <c r="K5" s="23">
        <f>'Total and digestible IAA'!AP5/$K$2</f>
        <v>1.0907407407407406</v>
      </c>
      <c r="L5" s="24">
        <f t="shared" si="0"/>
        <v>38.553173056097037</v>
      </c>
      <c r="M5" s="14" t="s">
        <v>8</v>
      </c>
    </row>
    <row r="6" spans="1:14" x14ac:dyDescent="0.25">
      <c r="A6" s="5" t="s">
        <v>19</v>
      </c>
      <c r="B6" s="4" t="s">
        <v>10</v>
      </c>
      <c r="C6" s="23">
        <f>'Total and digestible IAA'!AH6/$C$2</f>
        <v>1.0500729217306759</v>
      </c>
      <c r="D6" s="23">
        <f>'Total and digestible IAA'!AI6/$D$2</f>
        <v>0.97040789122900561</v>
      </c>
      <c r="E6" s="23">
        <f>'Total and digestible IAA'!AJ6/$E$2</f>
        <v>1.0454545454545456</v>
      </c>
      <c r="F6" s="23">
        <f>'Total and digestible IAA'!AK6/$F$2</f>
        <v>0.9316303531179565</v>
      </c>
      <c r="G6" s="23">
        <f>'Total and digestible IAA'!AL6/$G$2</f>
        <v>0.40017398869073512</v>
      </c>
      <c r="H6" s="23">
        <f>'Total and digestible IAA'!AM6/$H$2</f>
        <v>1.204775022956841</v>
      </c>
      <c r="I6" s="23">
        <f>'Total and digestible IAA'!AN6/$I$2</f>
        <v>1.285759694850604</v>
      </c>
      <c r="J6" s="23">
        <f>'Total and digestible IAA'!AO6/$J$2</f>
        <v>0.96194503171247348</v>
      </c>
      <c r="K6" s="23">
        <f>'Total and digestible IAA'!AP6/$K$2</f>
        <v>1.1024793388429752</v>
      </c>
      <c r="L6" s="24">
        <f t="shared" si="0"/>
        <v>40.01739886907351</v>
      </c>
      <c r="M6" s="14" t="s">
        <v>8</v>
      </c>
    </row>
    <row r="7" spans="1:14" x14ac:dyDescent="0.25">
      <c r="A7" s="5" t="s">
        <v>44</v>
      </c>
      <c r="B7" s="4" t="s">
        <v>10</v>
      </c>
      <c r="C7" s="23">
        <f>'Total and digestible IAA'!AH7/$C$2</f>
        <v>0.60371517027863775</v>
      </c>
      <c r="D7" s="23">
        <f>'Total and digestible IAA'!AI7/$D$2</f>
        <v>0.87096774193548387</v>
      </c>
      <c r="E7" s="23">
        <f>'Total and digestible IAA'!AJ7/$E$2</f>
        <v>0.91940789473684215</v>
      </c>
      <c r="F7" s="23">
        <f>'Total and digestible IAA'!AK7/$F$2</f>
        <v>1.6874003189792666</v>
      </c>
      <c r="G7" s="23">
        <f>'Total and digestible IAA'!AL7/$G$2</f>
        <v>0.38596491228070184</v>
      </c>
      <c r="H7" s="23">
        <f>'Total and digestible IAA'!AM7/$H$2</f>
        <v>1.3718323586744643</v>
      </c>
      <c r="I7" s="23">
        <f>'Total and digestible IAA'!AN7/$I$2</f>
        <v>1.431174089068826</v>
      </c>
      <c r="J7" s="23">
        <f>'Total and digestible IAA'!AO7/$J$2</f>
        <v>0.96236230110159127</v>
      </c>
      <c r="K7" s="23">
        <f>'Total and digestible IAA'!AP7/$K$2</f>
        <v>1.2710526315789472</v>
      </c>
      <c r="L7" s="24">
        <f t="shared" si="0"/>
        <v>38.596491228070185</v>
      </c>
      <c r="M7" s="14" t="s">
        <v>8</v>
      </c>
    </row>
    <row r="8" spans="1:14" x14ac:dyDescent="0.25">
      <c r="A8" s="5" t="s">
        <v>40</v>
      </c>
      <c r="B8" s="4" t="s">
        <v>10</v>
      </c>
      <c r="C8" s="23">
        <f>'Total and digestible IAA'!AH8/$C$2</f>
        <v>0.64171122994652396</v>
      </c>
      <c r="D8" s="23">
        <f>'Total and digestible IAA'!AI8/$D$2</f>
        <v>1.0040322580645162</v>
      </c>
      <c r="E8" s="23">
        <f>'Total and digestible IAA'!AJ8/$E$2</f>
        <v>1.03125</v>
      </c>
      <c r="F8" s="23">
        <f>'Total and digestible IAA'!AK8/$F$2</f>
        <v>1.7293388429752066</v>
      </c>
      <c r="G8" s="23">
        <f>'Total and digestible IAA'!AL8/$G$2</f>
        <v>0.43062200956937802</v>
      </c>
      <c r="H8" s="23">
        <f>'Total and digestible IAA'!AM8/$H$2</f>
        <v>1.5517676767676767</v>
      </c>
      <c r="I8" s="23">
        <f>'Total and digestible IAA'!AN8/$I$2</f>
        <v>1.5828234265734267</v>
      </c>
      <c r="J8" s="23">
        <f>'Total and digestible IAA'!AO8/$J$2</f>
        <v>1.0116279069767444</v>
      </c>
      <c r="K8" s="23">
        <f>'Total and digestible IAA'!AP8/$K$2</f>
        <v>1.3147727272727274</v>
      </c>
      <c r="L8" s="24">
        <f t="shared" si="0"/>
        <v>43.062200956937801</v>
      </c>
      <c r="M8" s="14" t="s">
        <v>8</v>
      </c>
    </row>
    <row r="9" spans="1:14" x14ac:dyDescent="0.25">
      <c r="A9" s="5" t="s">
        <v>42</v>
      </c>
      <c r="B9" s="4" t="s">
        <v>10</v>
      </c>
      <c r="C9" s="23">
        <f>'Total and digestible IAA'!AH9/$C$2</f>
        <v>0.66577540106951871</v>
      </c>
      <c r="D9" s="23">
        <f>'Total and digestible IAA'!AI9/$D$2</f>
        <v>0.97983870967741937</v>
      </c>
      <c r="E9" s="23">
        <f>'Total and digestible IAA'!AJ9/$E$2</f>
        <v>1.01953125</v>
      </c>
      <c r="F9" s="23">
        <f>'Total and digestible IAA'!AK9/$F$2</f>
        <v>1.6921487603305787</v>
      </c>
      <c r="G9" s="23">
        <f>'Total and digestible IAA'!AL9/$G$2</f>
        <v>0.42523923444976081</v>
      </c>
      <c r="H9" s="23">
        <f>'Total and digestible IAA'!AM9/$H$2</f>
        <v>1.5172558922558921</v>
      </c>
      <c r="I9" s="23">
        <f>'Total and digestible IAA'!AN9/$I$2</f>
        <v>1.5653409090909092</v>
      </c>
      <c r="J9" s="23">
        <f>'Total and digestible IAA'!AO9/$J$2</f>
        <v>1</v>
      </c>
      <c r="K9" s="23">
        <f>'Total and digestible IAA'!AP9/$K$2</f>
        <v>1.2852272727272729</v>
      </c>
      <c r="L9" s="24">
        <f t="shared" si="0"/>
        <v>42.523923444976077</v>
      </c>
      <c r="M9" s="14" t="s">
        <v>8</v>
      </c>
    </row>
    <row r="10" spans="1:14" x14ac:dyDescent="0.25">
      <c r="A10" s="5" t="s">
        <v>41</v>
      </c>
      <c r="B10" s="4" t="s">
        <v>10</v>
      </c>
      <c r="C10" s="23">
        <f>'Total and digestible IAA'!AH10/$C$2</f>
        <v>0.66577540106951871</v>
      </c>
      <c r="D10" s="23">
        <f>'Total and digestible IAA'!AI10/$D$2</f>
        <v>0.97983870967741937</v>
      </c>
      <c r="E10" s="23">
        <f>'Total and digestible IAA'!AJ10/$E$2</f>
        <v>1.01953125</v>
      </c>
      <c r="F10" s="23">
        <f>'Total and digestible IAA'!AK10/$F$2</f>
        <v>1.6921487603305787</v>
      </c>
      <c r="G10" s="23">
        <f>'Total and digestible IAA'!AL10/$G$2</f>
        <v>0.42523923444976081</v>
      </c>
      <c r="H10" s="23">
        <f>'Total and digestible IAA'!AM10/$H$2</f>
        <v>1.5172558922558921</v>
      </c>
      <c r="I10" s="23">
        <f>'Total and digestible IAA'!AN10/$I$2</f>
        <v>1.5653409090909092</v>
      </c>
      <c r="J10" s="23">
        <f>'Total and digestible IAA'!AO10/$J$2</f>
        <v>1</v>
      </c>
      <c r="K10" s="23">
        <f>'Total and digestible IAA'!AP10/$K$2</f>
        <v>1.2852272727272729</v>
      </c>
      <c r="L10" s="24">
        <f t="shared" si="0"/>
        <v>42.523923444976077</v>
      </c>
      <c r="M10" s="14" t="s">
        <v>8</v>
      </c>
    </row>
    <row r="11" spans="1:14" x14ac:dyDescent="0.25">
      <c r="A11" s="5" t="s">
        <v>43</v>
      </c>
      <c r="B11" s="4" t="s">
        <v>10</v>
      </c>
      <c r="C11" s="23">
        <f>'Total and digestible IAA'!AH11/$C$2</f>
        <v>0.61381074168797944</v>
      </c>
      <c r="D11" s="23">
        <f>'Total and digestible IAA'!AI11/$D$2</f>
        <v>0.98948106591865337</v>
      </c>
      <c r="E11" s="23">
        <f>'Total and digestible IAA'!AJ11/$E$2</f>
        <v>1.0163043478260869</v>
      </c>
      <c r="F11" s="23">
        <f>'Total and digestible IAA'!AK11/$F$2</f>
        <v>1.7460474308300395</v>
      </c>
      <c r="G11" s="23">
        <f>'Total and digestible IAA'!AL11/$G$2</f>
        <v>0.42715484363081607</v>
      </c>
      <c r="H11" s="23">
        <f>'Total and digestible IAA'!AM11/$H$2</f>
        <v>1.5108695652173911</v>
      </c>
      <c r="I11" s="23">
        <f>'Total and digestible IAA'!AN11/$I$2</f>
        <v>1.589673913043478</v>
      </c>
      <c r="J11" s="23">
        <f>'Total and digestible IAA'!AO11/$J$2</f>
        <v>1.0116279069767442</v>
      </c>
      <c r="K11" s="23">
        <f>'Total and digestible IAA'!AP11/$K$2</f>
        <v>1.3059782608695651</v>
      </c>
      <c r="L11" s="24">
        <f t="shared" si="0"/>
        <v>42.715484363081607</v>
      </c>
      <c r="M11" s="14" t="s">
        <v>8</v>
      </c>
    </row>
    <row r="12" spans="1:14" x14ac:dyDescent="0.25">
      <c r="A12" s="5" t="s">
        <v>13</v>
      </c>
      <c r="B12" s="4" t="s">
        <v>10</v>
      </c>
      <c r="C12" s="23">
        <f>'Total and digestible IAA'!AH12/$C$2</f>
        <v>0.60450563204004992</v>
      </c>
      <c r="D12" s="23">
        <f>'Total and digestible IAA'!AI12/$D$2</f>
        <v>0.79272477693891552</v>
      </c>
      <c r="E12" s="23">
        <f>'Total and digestible IAA'!AJ12/$E$2</f>
        <v>0.8447473404255319</v>
      </c>
      <c r="F12" s="23">
        <f>'Total and digestible IAA'!AK12/$F$2</f>
        <v>1.370889748549323</v>
      </c>
      <c r="G12" s="23">
        <f>'Total and digestible IAA'!AL12/$G$2</f>
        <v>0.3807390817469205</v>
      </c>
      <c r="H12" s="23">
        <f>'Total and digestible IAA'!AM12/$H$2</f>
        <v>1.2249802994483845</v>
      </c>
      <c r="I12" s="23">
        <f>'Total and digestible IAA'!AN12/$I$2</f>
        <v>1.2765957446808511</v>
      </c>
      <c r="J12" s="23">
        <f>'Total and digestible IAA'!AO12/$J$2</f>
        <v>0.91439881246907462</v>
      </c>
      <c r="K12" s="23">
        <f>'Total and digestible IAA'!AP12/$K$2</f>
        <v>1.1489361702127661</v>
      </c>
      <c r="L12" s="24">
        <f t="shared" si="0"/>
        <v>38.07390817469205</v>
      </c>
      <c r="M12" s="14" t="s">
        <v>8</v>
      </c>
    </row>
    <row r="13" spans="1:14" x14ac:dyDescent="0.25">
      <c r="A13" s="5" t="s">
        <v>221</v>
      </c>
      <c r="B13" s="4" t="s">
        <v>10</v>
      </c>
      <c r="C13" s="23">
        <f>'Total and digestible IAA'!AH13/$C$2</f>
        <v>0.54901960784313719</v>
      </c>
      <c r="D13" s="23">
        <f>'Total and digestible IAA'!AI13/$D$2</f>
        <v>0.69247311827956981</v>
      </c>
      <c r="E13" s="23">
        <f>'Total and digestible IAA'!AJ13/$E$2</f>
        <v>0.72833333333333317</v>
      </c>
      <c r="F13" s="23">
        <f>'Total and digestible IAA'!AK13/$F$2</f>
        <v>1.2048484848484848</v>
      </c>
      <c r="G13" s="23">
        <f>'Total and digestible IAA'!AL13/$G$2</f>
        <v>0.40350877192982454</v>
      </c>
      <c r="H13" s="23">
        <f>'Total and digestible IAA'!AM13/$H$2</f>
        <v>1.154567901234568</v>
      </c>
      <c r="I13" s="23">
        <f>'Total and digestible IAA'!AN13/$I$2</f>
        <v>1.006923076923077</v>
      </c>
      <c r="J13" s="23">
        <f>'Total and digestible IAA'!AO13/$J$2</f>
        <v>0.74418604651162812</v>
      </c>
      <c r="K13" s="23">
        <f>'Total and digestible IAA'!AP13/$K$2</f>
        <v>1.0513333333333335</v>
      </c>
      <c r="L13" s="24">
        <f t="shared" si="0"/>
        <v>40.350877192982452</v>
      </c>
      <c r="M13" s="14" t="s">
        <v>8</v>
      </c>
    </row>
    <row r="14" spans="1:14" x14ac:dyDescent="0.25">
      <c r="A14" s="5" t="s">
        <v>222</v>
      </c>
      <c r="B14" s="4" t="s">
        <v>10</v>
      </c>
      <c r="C14" s="23">
        <f>'Total and digestible IAA'!AH14/$C$2</f>
        <v>0.48796791443850263</v>
      </c>
      <c r="D14" s="23">
        <f>'Total and digestible IAA'!AI14/$D$2</f>
        <v>0.75219941348973607</v>
      </c>
      <c r="E14" s="23">
        <f>'Total and digestible IAA'!AJ14/$E$2</f>
        <v>0.86292613636363635</v>
      </c>
      <c r="F14" s="23">
        <f>'Total and digestible IAA'!AK14/$F$2</f>
        <v>1.4876033057851241</v>
      </c>
      <c r="G14" s="23">
        <f>'Total and digestible IAA'!AL14/$G$2</f>
        <v>0.45673843700159489</v>
      </c>
      <c r="H14" s="23">
        <f>'Total and digestible IAA'!AM14/$H$2</f>
        <v>1.2377946127946129</v>
      </c>
      <c r="I14" s="23">
        <f>'Total and digestible IAA'!AN14/$I$2</f>
        <v>1.1958041958041958</v>
      </c>
      <c r="J14" s="23">
        <f>'Total and digestible IAA'!AO14/$J$2</f>
        <v>0.86680761099365755</v>
      </c>
      <c r="K14" s="23">
        <f>'Total and digestible IAA'!AP14/$K$2</f>
        <v>1.2852272727272729</v>
      </c>
      <c r="L14" s="24">
        <f t="shared" si="0"/>
        <v>45.673843700159487</v>
      </c>
      <c r="M14" s="14" t="s">
        <v>8</v>
      </c>
    </row>
    <row r="15" spans="1:14" x14ac:dyDescent="0.25">
      <c r="A15" s="5" t="s">
        <v>295</v>
      </c>
      <c r="B15" s="4" t="s">
        <v>10</v>
      </c>
      <c r="C15" s="23"/>
      <c r="D15" s="23"/>
      <c r="E15" s="23"/>
      <c r="F15" s="23"/>
      <c r="G15" s="23"/>
      <c r="H15" s="23"/>
      <c r="I15" s="23"/>
      <c r="J15" s="23"/>
      <c r="K15" s="23"/>
      <c r="L15" s="24"/>
      <c r="M15" s="15"/>
    </row>
    <row r="16" spans="1:14" x14ac:dyDescent="0.25">
      <c r="A16" s="5" t="s">
        <v>280</v>
      </c>
      <c r="B16" s="4" t="s">
        <v>10</v>
      </c>
      <c r="C16" s="23"/>
      <c r="D16" s="23"/>
      <c r="E16" s="23"/>
      <c r="F16" s="23"/>
      <c r="G16" s="23"/>
      <c r="H16" s="23"/>
      <c r="I16" s="23"/>
      <c r="J16" s="23"/>
      <c r="K16" s="23"/>
      <c r="L16" s="24"/>
      <c r="M16" s="15"/>
    </row>
    <row r="17" spans="1:13" s="7" customFormat="1" x14ac:dyDescent="0.25">
      <c r="A17" s="4" t="s">
        <v>299</v>
      </c>
      <c r="B17" s="4" t="s">
        <v>10</v>
      </c>
      <c r="C17" s="23">
        <f>'Total and digestible IAA'!AH17/$C$2</f>
        <v>1.9049411764705886</v>
      </c>
      <c r="D17" s="23">
        <f>'Total and digestible IAA'!AI17/$D$2</f>
        <v>1.1001290322580646</v>
      </c>
      <c r="E17" s="23">
        <f>'Total and digestible IAA'!AJ17/$E$2</f>
        <v>1.25125</v>
      </c>
      <c r="F17" s="23">
        <f>'Total and digestible IAA'!AK17/$F$2</f>
        <v>1.8089696969696969</v>
      </c>
      <c r="G17" s="23">
        <f>'Total and digestible IAA'!AL17/$G$2</f>
        <v>0.37417543859649122</v>
      </c>
      <c r="H17" s="23">
        <f>'Total and digestible IAA'!AM17/$H$2</f>
        <v>1.870222222222222</v>
      </c>
      <c r="I17" s="23">
        <f>'Total and digestible IAA'!AN17/$I$2</f>
        <v>1.3947692307692305</v>
      </c>
      <c r="J17" s="23">
        <f>'Total and digestible IAA'!AO17/$J$2</f>
        <v>1.1386046511627907</v>
      </c>
      <c r="K17" s="23">
        <f>'Total and digestible IAA'!AP17/$K$2</f>
        <v>1.0672000000000001</v>
      </c>
      <c r="L17" s="24">
        <f t="shared" si="0"/>
        <v>37.417543859649122</v>
      </c>
      <c r="M17" s="14" t="s">
        <v>8</v>
      </c>
    </row>
    <row r="18" spans="1:13" s="7" customFormat="1" x14ac:dyDescent="0.25">
      <c r="A18" s="4" t="s">
        <v>300</v>
      </c>
      <c r="B18" s="4" t="s">
        <v>10</v>
      </c>
      <c r="C18" s="23">
        <f>'Total and digestible IAA'!AH18/$C$2</f>
        <v>1.6586578293289147</v>
      </c>
      <c r="D18" s="23">
        <f>'Total and digestible IAA'!AI18/$D$2</f>
        <v>0.93230349840981375</v>
      </c>
      <c r="E18" s="23">
        <f>'Total and digestible IAA'!AJ18/$E$2</f>
        <v>1.1408450704225352</v>
      </c>
      <c r="F18" s="23">
        <f>'Total and digestible IAA'!AK18/$F$2</f>
        <v>1.6826717883055911</v>
      </c>
      <c r="G18" s="23">
        <f>'Total and digestible IAA'!AL18/$G$2</f>
        <v>0.30442302940449723</v>
      </c>
      <c r="H18" s="23">
        <f>'Total and digestible IAA'!AM18/$H$2</f>
        <v>1.7410015649452271</v>
      </c>
      <c r="I18" s="23">
        <f>'Total and digestible IAA'!AN18/$I$2</f>
        <v>1.2849404117009751</v>
      </c>
      <c r="J18" s="23">
        <f>'Total and digestible IAA'!AO18/$J$2</f>
        <v>0.99623321323288572</v>
      </c>
      <c r="K18" s="23">
        <f>'Total and digestible IAA'!AP18/$K$2</f>
        <v>0.89507042253521119</v>
      </c>
      <c r="L18" s="24">
        <f t="shared" si="0"/>
        <v>30.442302940449721</v>
      </c>
      <c r="M18" s="14" t="s">
        <v>8</v>
      </c>
    </row>
    <row r="19" spans="1:13" s="7" customFormat="1" x14ac:dyDescent="0.25">
      <c r="A19" s="4" t="s">
        <v>301</v>
      </c>
      <c r="B19" s="4" t="s">
        <v>10</v>
      </c>
      <c r="C19" s="23">
        <f>'Total and digestible IAA'!AH19/$C$2</f>
        <v>1.2058823529411764</v>
      </c>
      <c r="D19" s="23">
        <f>'Total and digestible IAA'!AI19/$D$2</f>
        <v>0.907258064516129</v>
      </c>
      <c r="E19" s="23">
        <f>'Total and digestible IAA'!AJ19/$E$2</f>
        <v>0.992919921875</v>
      </c>
      <c r="F19" s="23">
        <f>'Total and digestible IAA'!AK19/$F$2</f>
        <v>0.92353219696969702</v>
      </c>
      <c r="G19" s="23">
        <f>'Total and digestible IAA'!AL19/$G$2</f>
        <v>0.57387609649122806</v>
      </c>
      <c r="H19" s="23">
        <f>'Total and digestible IAA'!AM19/$H$2</f>
        <v>1.5248842592592593</v>
      </c>
      <c r="I19" s="23">
        <f>'Total and digestible IAA'!AN19/$I$2</f>
        <v>1.3979867788461537</v>
      </c>
      <c r="J19" s="23">
        <f>'Total and digestible IAA'!AO19/$J$2</f>
        <v>1.0007267441860466</v>
      </c>
      <c r="K19" s="23">
        <f>'Total and digestible IAA'!AP19/$K$2</f>
        <v>0.90781250000000002</v>
      </c>
      <c r="L19" s="24">
        <f t="shared" si="0"/>
        <v>57.387609649122808</v>
      </c>
      <c r="M19" s="14" t="s">
        <v>8</v>
      </c>
    </row>
    <row r="20" spans="1:13" x14ac:dyDescent="0.25">
      <c r="A20" s="4" t="s">
        <v>302</v>
      </c>
      <c r="B20" s="4" t="s">
        <v>10</v>
      </c>
      <c r="C20" s="23">
        <f>'Total and digestible IAA'!AH20/$C$2</f>
        <v>1.0657439446366779</v>
      </c>
      <c r="D20" s="23">
        <f>'Total and digestible IAA'!AI20/$D$2</f>
        <v>0.79696394686907024</v>
      </c>
      <c r="E20" s="23">
        <f>'Total and digestible IAA'!AJ20/$E$2</f>
        <v>0.93137254901960786</v>
      </c>
      <c r="F20" s="23">
        <f>'Total and digestible IAA'!AK20/$F$2</f>
        <v>0.91354723707664875</v>
      </c>
      <c r="G20" s="23">
        <f>'Total and digestible IAA'!AL20/$G$2</f>
        <v>0.5490196078431373</v>
      </c>
      <c r="H20" s="23">
        <f>'Total and digestible IAA'!AM20/$H$2</f>
        <v>1.3166303558460417</v>
      </c>
      <c r="I20" s="23">
        <f>'Total and digestible IAA'!AN20/$I$2</f>
        <v>1.2952488687782808</v>
      </c>
      <c r="J20" s="23">
        <f>'Total and digestible IAA'!AO20/$J$2</f>
        <v>0.95462836297309639</v>
      </c>
      <c r="K20" s="23">
        <f>'Total and digestible IAA'!AP20/$K$2</f>
        <v>0.91666666666666663</v>
      </c>
      <c r="L20" s="24">
        <f t="shared" si="0"/>
        <v>54.901960784313729</v>
      </c>
      <c r="M20" s="14" t="s">
        <v>8</v>
      </c>
    </row>
    <row r="21" spans="1:13" s="7" customFormat="1" x14ac:dyDescent="0.25">
      <c r="A21" s="4" t="s">
        <v>303</v>
      </c>
      <c r="B21" s="4" t="s">
        <v>10</v>
      </c>
      <c r="C21" s="23">
        <f>'Total and digestible IAA'!AH21/$C$2</f>
        <v>1.1895424836601307</v>
      </c>
      <c r="D21" s="23">
        <f>'Total and digestible IAA'!AI21/$D$2</f>
        <v>0.78315412186379918</v>
      </c>
      <c r="E21" s="23">
        <f>'Total and digestible IAA'!AJ21/$E$2</f>
        <v>0.93721064814814803</v>
      </c>
      <c r="F21" s="23">
        <f>'Total and digestible IAA'!AK21/$F$2</f>
        <v>0.89772727272727293</v>
      </c>
      <c r="G21" s="23">
        <f>'Total and digestible IAA'!AL21/$G$2</f>
        <v>0.53362573099415211</v>
      </c>
      <c r="H21" s="23">
        <f>'Total and digestible IAA'!AM21/$H$2</f>
        <v>1.4732510288065843</v>
      </c>
      <c r="I21" s="23">
        <f>'Total and digestible IAA'!AN21/$I$2</f>
        <v>1.3490028490028492</v>
      </c>
      <c r="J21" s="23">
        <f>'Total and digestible IAA'!AO21/$J$2</f>
        <v>0.94509043927648584</v>
      </c>
      <c r="K21" s="23">
        <f>'Total and digestible IAA'!AP21/$K$2</f>
        <v>0.88379629629629619</v>
      </c>
      <c r="L21" s="24">
        <f t="shared" si="0"/>
        <v>53.362573099415215</v>
      </c>
      <c r="M21" s="14" t="s">
        <v>8</v>
      </c>
    </row>
    <row r="22" spans="1:13" s="7" customFormat="1" x14ac:dyDescent="0.25">
      <c r="A22" s="4" t="s">
        <v>45</v>
      </c>
      <c r="B22" s="4" t="s">
        <v>10</v>
      </c>
      <c r="C22" s="23">
        <f>'Total and digestible IAA'!AH22/$C$2</f>
        <v>1.1895424836601307</v>
      </c>
      <c r="D22" s="23">
        <f>'Total and digestible IAA'!AI22/$D$2</f>
        <v>0.78315412186379918</v>
      </c>
      <c r="E22" s="23">
        <f>'Total and digestible IAA'!AJ22/$E$2</f>
        <v>0.93721064814814803</v>
      </c>
      <c r="F22" s="23">
        <f>'Total and digestible IAA'!AK22/$F$2</f>
        <v>0.89772727272727293</v>
      </c>
      <c r="G22" s="23">
        <f>'Total and digestible IAA'!AL22/$G$2</f>
        <v>0.53362573099415211</v>
      </c>
      <c r="H22" s="23">
        <f>'Total and digestible IAA'!AM22/$H$2</f>
        <v>1.4732510288065843</v>
      </c>
      <c r="I22" s="23">
        <f>'Total and digestible IAA'!AN22/$I$2</f>
        <v>1.428774928774929</v>
      </c>
      <c r="J22" s="23">
        <f>'Total and digestible IAA'!AO22/$J$2</f>
        <v>0.94509043927648584</v>
      </c>
      <c r="K22" s="23">
        <f>'Total and digestible IAA'!AP22/$K$2</f>
        <v>0.88379629629629619</v>
      </c>
      <c r="L22" s="24">
        <f t="shared" si="0"/>
        <v>53.362573099415215</v>
      </c>
      <c r="M22" s="14" t="s">
        <v>8</v>
      </c>
    </row>
    <row r="23" spans="1:13" x14ac:dyDescent="0.25">
      <c r="A23" s="5" t="s">
        <v>223</v>
      </c>
      <c r="B23" s="4" t="s">
        <v>10</v>
      </c>
      <c r="C23" s="23">
        <f>'Total and digestible IAA'!AH23/$C$2</f>
        <v>0.73641670408621462</v>
      </c>
      <c r="D23" s="23">
        <f>'Total and digestible IAA'!AI23/$D$2</f>
        <v>0.85767052450135428</v>
      </c>
      <c r="E23" s="23">
        <f>'Total and digestible IAA'!AJ23/$E$2</f>
        <v>1.0584446564885495</v>
      </c>
      <c r="F23" s="23">
        <f>'Total and digestible IAA'!AK23/$F$2</f>
        <v>0.98612074947952821</v>
      </c>
      <c r="G23" s="23">
        <f>'Total and digestible IAA'!AL23/$G$2</f>
        <v>0.6564885496183207</v>
      </c>
      <c r="H23" s="23">
        <f>'Total and digestible IAA'!AM23/$H$2</f>
        <v>1.4560361888606166</v>
      </c>
      <c r="I23" s="23">
        <f>'Total and digestible IAA'!AN23/$I$2</f>
        <v>1.3044627128596591</v>
      </c>
      <c r="J23" s="23">
        <f>'Total and digestible IAA'!AO23/$J$2</f>
        <v>1.0713651695366586</v>
      </c>
      <c r="K23" s="23">
        <f>'Total and digestible IAA'!AP23/$K$2</f>
        <v>1.0748091603053438</v>
      </c>
      <c r="L23" s="24">
        <f t="shared" si="0"/>
        <v>65.648854961832072</v>
      </c>
      <c r="M23" s="14" t="s">
        <v>8</v>
      </c>
    </row>
    <row r="24" spans="1:13" x14ac:dyDescent="0.25">
      <c r="A24" s="5" t="s">
        <v>14</v>
      </c>
      <c r="B24" s="4" t="s">
        <v>10</v>
      </c>
      <c r="C24" s="23">
        <f>'Total and digestible IAA'!AH24/$C$2</f>
        <v>1.2081447963800906</v>
      </c>
      <c r="D24" s="23">
        <f>'Total and digestible IAA'!AI24/$D$2</f>
        <v>0.98345740281224148</v>
      </c>
      <c r="E24" s="23">
        <f>'Total and digestible IAA'!AJ24/$E$2</f>
        <v>0.87139423076923073</v>
      </c>
      <c r="F24" s="23">
        <f>'Total and digestible IAA'!AK24/$F$2</f>
        <v>0.89685314685314699</v>
      </c>
      <c r="G24" s="23">
        <f>'Total and digestible IAA'!AL24/$G$2</f>
        <v>0.68286099865047223</v>
      </c>
      <c r="H24" s="23">
        <f>'Total and digestible IAA'!AM24/$H$2</f>
        <v>1.4363722697056034</v>
      </c>
      <c r="I24" s="23">
        <f>'Total and digestible IAA'!AN24/$I$2</f>
        <v>1.3104043392504932</v>
      </c>
      <c r="J24" s="23">
        <f>'Total and digestible IAA'!AO24/$J$2</f>
        <v>1.1282051282051282</v>
      </c>
      <c r="K24" s="23">
        <f>'Total and digestible IAA'!AP24/$K$2</f>
        <v>1.3326923076923078</v>
      </c>
      <c r="L24" s="24">
        <f t="shared" si="0"/>
        <v>68.28609986504722</v>
      </c>
      <c r="M24" s="14" t="s">
        <v>8</v>
      </c>
    </row>
    <row r="25" spans="1:13" s="7" customFormat="1" x14ac:dyDescent="0.25">
      <c r="A25" s="4" t="s">
        <v>304</v>
      </c>
      <c r="B25" s="4" t="s">
        <v>10</v>
      </c>
      <c r="C25" s="23">
        <f>'Total and digestible IAA'!AH25/$C$2</f>
        <v>1.7142857142857142</v>
      </c>
      <c r="D25" s="23">
        <f>'Total and digestible IAA'!AI25/$D$2</f>
        <v>0.98064516129032242</v>
      </c>
      <c r="E25" s="23">
        <f>'Total and digestible IAA'!AJ25/$E$2</f>
        <v>1.2029761904761904</v>
      </c>
      <c r="F25" s="23">
        <f>'Total and digestible IAA'!AK25/$F$2</f>
        <v>1.0666666666666667</v>
      </c>
      <c r="G25" s="23">
        <f>'Total and digestible IAA'!AL25/$G$2</f>
        <v>0.56040100250626557</v>
      </c>
      <c r="H25" s="23">
        <f>'Total and digestible IAA'!AM25/$H$2</f>
        <v>1.2631393298059963</v>
      </c>
      <c r="I25" s="23">
        <f>'Total and digestible IAA'!AN25/$I$2</f>
        <v>1.605677655677656</v>
      </c>
      <c r="J25" s="23">
        <f>'Total and digestible IAA'!AO25/$J$2</f>
        <v>1.1619047619047618</v>
      </c>
      <c r="K25" s="23">
        <f>'Total and digestible IAA'!AP25/$K$2</f>
        <v>1.0057142857142858</v>
      </c>
      <c r="L25" s="24">
        <f t="shared" si="0"/>
        <v>56.040100250626558</v>
      </c>
      <c r="M25" s="14" t="s">
        <v>8</v>
      </c>
    </row>
    <row r="26" spans="1:13" s="7" customFormat="1" x14ac:dyDescent="0.25">
      <c r="A26" s="4" t="s">
        <v>46</v>
      </c>
      <c r="B26" s="4" t="s">
        <v>10</v>
      </c>
      <c r="C26" s="23">
        <f>'Total and digestible IAA'!AH26/$C$2</f>
        <v>1.5778546712802768</v>
      </c>
      <c r="D26" s="23">
        <f>'Total and digestible IAA'!AI26/$D$2</f>
        <v>0.88235294117647067</v>
      </c>
      <c r="E26" s="23">
        <f>'Total and digestible IAA'!AJ26/$E$2</f>
        <v>1.1176470588235294</v>
      </c>
      <c r="F26" s="23">
        <f>'Total and digestible IAA'!AK26/$F$2</f>
        <v>0.97932263814616738</v>
      </c>
      <c r="G26" s="23">
        <f>'Total and digestible IAA'!AL26/$G$2</f>
        <v>0.49535603715170284</v>
      </c>
      <c r="H26" s="23">
        <f>'Total and digestible IAA'!AM26/$H$2</f>
        <v>1.2684095860566447</v>
      </c>
      <c r="I26" s="23">
        <f>'Total and digestible IAA'!AN26/$I$2</f>
        <v>1.4671945701357463</v>
      </c>
      <c r="J26" s="23">
        <f>'Total and digestible IAA'!AO26/$J$2</f>
        <v>1.0670314637482901</v>
      </c>
      <c r="K26" s="23">
        <f>'Total and digestible IAA'!AP26/$K$2</f>
        <v>0.89411764705882357</v>
      </c>
      <c r="L26" s="24">
        <f t="shared" si="0"/>
        <v>49.535603715170282</v>
      </c>
      <c r="M26" s="14" t="s">
        <v>8</v>
      </c>
    </row>
    <row r="27" spans="1:13" s="7" customFormat="1" x14ac:dyDescent="0.25">
      <c r="A27" s="4" t="s">
        <v>47</v>
      </c>
      <c r="B27" s="4" t="s">
        <v>10</v>
      </c>
      <c r="C27" s="23">
        <f>'Total and digestible IAA'!AH27/$C$2</f>
        <v>1.9437340153452685</v>
      </c>
      <c r="D27" s="23">
        <f>'Total and digestible IAA'!AI27/$D$2</f>
        <v>1.08765778401122</v>
      </c>
      <c r="E27" s="23">
        <f>'Total and digestible IAA'!AJ27/$E$2</f>
        <v>1.3091032608695652</v>
      </c>
      <c r="F27" s="23">
        <f>'Total and digestible IAA'!AK27/$F$2</f>
        <v>1.1421277997364956</v>
      </c>
      <c r="G27" s="23">
        <f>'Total and digestible IAA'!AL27/$G$2</f>
        <v>0.6273836765827614</v>
      </c>
      <c r="H27" s="23">
        <f>'Total and digestible IAA'!AM27/$H$2</f>
        <v>1.4380032206119164</v>
      </c>
      <c r="I27" s="23">
        <f>'Total and digestible IAA'!AN27/$I$2</f>
        <v>1.5919732441471572</v>
      </c>
      <c r="J27" s="23">
        <f>'Total and digestible IAA'!AO27/$J$2</f>
        <v>1.2967644084934278</v>
      </c>
      <c r="K27" s="23">
        <f>'Total and digestible IAA'!AP27/$K$2</f>
        <v>1.0728260869565216</v>
      </c>
      <c r="L27" s="24">
        <f t="shared" si="0"/>
        <v>62.73836765827614</v>
      </c>
      <c r="M27" s="14" t="s">
        <v>8</v>
      </c>
    </row>
    <row r="28" spans="1:13" x14ac:dyDescent="0.25">
      <c r="A28" s="5" t="s">
        <v>224</v>
      </c>
      <c r="B28" s="4" t="s">
        <v>10</v>
      </c>
      <c r="C28" s="23">
        <f>'Total and digestible IAA'!AH28/$C$2</f>
        <v>0.8692810457516339</v>
      </c>
      <c r="D28" s="23">
        <f>'Total and digestible IAA'!AI28/$D$2</f>
        <v>0.88064516129032266</v>
      </c>
      <c r="E28" s="23">
        <f>'Total and digestible IAA'!AJ28/$E$2</f>
        <v>1.1180555555555558</v>
      </c>
      <c r="F28" s="23">
        <f>'Total and digestible IAA'!AK28/$F$2</f>
        <v>1.0444444444444445</v>
      </c>
      <c r="G28" s="23">
        <f>'Total and digestible IAA'!AL28/$G$2</f>
        <v>0.53801169590643272</v>
      </c>
      <c r="H28" s="23">
        <f>'Total and digestible IAA'!AM28/$H$2</f>
        <v>1.5559670781893005</v>
      </c>
      <c r="I28" s="23">
        <f>'Total and digestible IAA'!AN28/$I$2</f>
        <v>1.3047008547008547</v>
      </c>
      <c r="J28" s="23">
        <f>'Total and digestible IAA'!AO28/$J$2</f>
        <v>1.1901808785529715</v>
      </c>
      <c r="K28" s="23">
        <f>'Total and digestible IAA'!AP28/$K$2</f>
        <v>1.061666666666667</v>
      </c>
      <c r="L28" s="24">
        <f t="shared" si="0"/>
        <v>53.801169590643269</v>
      </c>
      <c r="M28" s="14" t="s">
        <v>8</v>
      </c>
    </row>
    <row r="29" spans="1:13" x14ac:dyDescent="0.25">
      <c r="A29" s="5" t="s">
        <v>294</v>
      </c>
      <c r="B29" s="4" t="s">
        <v>10</v>
      </c>
      <c r="C29" s="23">
        <f>'Total and digestible IAA'!AH29/$C$2</f>
        <v>0.94775812422871231</v>
      </c>
      <c r="D29" s="23">
        <f>'Total and digestible IAA'!AI29/$D$2</f>
        <v>0.76517031355741016</v>
      </c>
      <c r="E29" s="23">
        <f>'Total and digestible IAA'!AJ29/$E$2</f>
        <v>0.77600524475524479</v>
      </c>
      <c r="F29" s="23">
        <f>'Total and digestible IAA'!AK29/$F$2</f>
        <v>0.73829201101928388</v>
      </c>
      <c r="G29" s="23">
        <f>'Total and digestible IAA'!AL29/$G$2</f>
        <v>0.50791313949208683</v>
      </c>
      <c r="H29" s="23">
        <f>'Total and digestible IAA'!AM29/$H$2</f>
        <v>1.0890960890960892</v>
      </c>
      <c r="I29" s="23">
        <f>'Total and digestible IAA'!AN29/$I$2</f>
        <v>1.1332705755782677</v>
      </c>
      <c r="J29" s="23">
        <f>'Total and digestible IAA'!AO29/$J$2</f>
        <v>0.84794275491949911</v>
      </c>
      <c r="K29" s="23">
        <f>'Total and digestible IAA'!AP29/$K$2</f>
        <v>1.05</v>
      </c>
      <c r="L29" s="24">
        <f t="shared" si="0"/>
        <v>50.791313949208686</v>
      </c>
      <c r="M29" s="14" t="s">
        <v>8</v>
      </c>
    </row>
    <row r="30" spans="1:13" s="7" customFormat="1" x14ac:dyDescent="0.25">
      <c r="A30" s="4" t="s">
        <v>48</v>
      </c>
      <c r="B30" s="4" t="s">
        <v>10</v>
      </c>
      <c r="C30" s="23">
        <f>'Total and digestible IAA'!AH30/$C$2</f>
        <v>0.82112845138055235</v>
      </c>
      <c r="D30" s="23">
        <f>'Total and digestible IAA'!AI30/$D$2</f>
        <v>0.79460171165240279</v>
      </c>
      <c r="E30" s="23">
        <f>'Total and digestible IAA'!AJ30/$E$2</f>
        <v>0.8348214285714286</v>
      </c>
      <c r="F30" s="23">
        <f>'Total and digestible IAA'!AK30/$F$2</f>
        <v>0.72356215213358066</v>
      </c>
      <c r="G30" s="23">
        <f>'Total and digestible IAA'!AL30/$G$2</f>
        <v>0.50268528464017193</v>
      </c>
      <c r="H30" s="23">
        <f>'Total and digestible IAA'!AM30/$H$2</f>
        <v>1.2199546485260768</v>
      </c>
      <c r="I30" s="23">
        <f>'Total and digestible IAA'!AN30/$I$2</f>
        <v>1.069662480376766</v>
      </c>
      <c r="J30" s="23">
        <f>'Total and digestible IAA'!AO30/$J$2</f>
        <v>0.85429520645467483</v>
      </c>
      <c r="K30" s="23">
        <f>'Total and digestible IAA'!AP30/$K$2</f>
        <v>0.84642857142857153</v>
      </c>
      <c r="L30" s="24">
        <f t="shared" si="0"/>
        <v>50.268528464017194</v>
      </c>
      <c r="M30" s="14" t="s">
        <v>8</v>
      </c>
    </row>
    <row r="31" spans="1:13" x14ac:dyDescent="0.25">
      <c r="A31" s="5" t="s">
        <v>225</v>
      </c>
      <c r="B31" s="4" t="s">
        <v>10</v>
      </c>
      <c r="C31" s="23">
        <f>'Total and digestible IAA'!AH31/$C$2</f>
        <v>0.65629557608167233</v>
      </c>
      <c r="D31" s="23">
        <f>'Total and digestible IAA'!AI31/$D$2</f>
        <v>0.56304985337243407</v>
      </c>
      <c r="E31" s="23">
        <f>'Total and digestible IAA'!AJ31/$E$2</f>
        <v>0.70661157024793386</v>
      </c>
      <c r="F31" s="23">
        <f>'Total and digestible IAA'!AK31/$F$2</f>
        <v>0.62083646381167046</v>
      </c>
      <c r="G31" s="23">
        <f>'Total and digestible IAA'!AL31/$G$2</f>
        <v>0.39828911120777155</v>
      </c>
      <c r="H31" s="23">
        <f>'Total and digestible IAA'!AM31/$H$2</f>
        <v>0.92806856443220076</v>
      </c>
      <c r="I31" s="23">
        <f>'Total and digestible IAA'!AN31/$I$2</f>
        <v>0.84599491417673245</v>
      </c>
      <c r="J31" s="23">
        <f>'Total and digestible IAA'!AO31/$J$2</f>
        <v>0.6959446473188543</v>
      </c>
      <c r="K31" s="23">
        <f>'Total and digestible IAA'!AP31/$K$2</f>
        <v>0.82727272727272738</v>
      </c>
      <c r="L31" s="24">
        <f t="shared" si="0"/>
        <v>39.828911120777157</v>
      </c>
      <c r="M31" s="14" t="s">
        <v>8</v>
      </c>
    </row>
    <row r="32" spans="1:13" s="4" customFormat="1" x14ac:dyDescent="0.25">
      <c r="A32" s="4" t="s">
        <v>243</v>
      </c>
      <c r="B32" s="4" t="s">
        <v>10</v>
      </c>
      <c r="C32" s="23">
        <f>'Total and digestible IAA'!AH32/$C$2</f>
        <v>2.9540485090357218</v>
      </c>
      <c r="D32" s="23">
        <f>'Total and digestible IAA'!AI32/$D$2</f>
        <v>0.66713931230060253</v>
      </c>
      <c r="E32" s="23">
        <f>'Total and digestible IAA'!AJ32/$E$2</f>
        <v>1.0904801720019111</v>
      </c>
      <c r="F32" s="23">
        <f>'Total and digestible IAA'!AK32/$F$2</f>
        <v>0.99095107790759951</v>
      </c>
      <c r="G32" s="23">
        <f>'Total and digestible IAA'!AL32/$G$2</f>
        <v>0.23773480524052606</v>
      </c>
      <c r="H32" s="23">
        <f>'Total and digestible IAA'!AM32/$H$2</f>
        <v>1.3756967670011149</v>
      </c>
      <c r="I32" s="23">
        <f>'Total and digestible IAA'!AN32/$I$2</f>
        <v>1.3704380903377558</v>
      </c>
      <c r="J32" s="23">
        <f>'Total and digestible IAA'!AO32/$J$2</f>
        <v>0.83894265491838793</v>
      </c>
      <c r="K32" s="23">
        <f>'Total and digestible IAA'!AP32/$K$2</f>
        <v>1.0733874820831342</v>
      </c>
      <c r="L32" s="24">
        <f t="shared" si="0"/>
        <v>23.773480524052605</v>
      </c>
      <c r="M32" s="14" t="s">
        <v>8</v>
      </c>
    </row>
    <row r="33" spans="1:13" s="7" customFormat="1" x14ac:dyDescent="0.25">
      <c r="A33" s="4" t="s">
        <v>305</v>
      </c>
      <c r="B33" s="4" t="s">
        <v>10</v>
      </c>
      <c r="C33" s="23">
        <f>'Total and digestible IAA'!AH33/$C$2</f>
        <v>0.96448390677025531</v>
      </c>
      <c r="D33" s="23">
        <f>'Total and digestible IAA'!AI33/$D$2</f>
        <v>0.80949482653682303</v>
      </c>
      <c r="E33" s="23">
        <f>'Total and digestible IAA'!AJ33/$E$2</f>
        <v>1.1011202830188678</v>
      </c>
      <c r="F33" s="23">
        <f>'Total and digestible IAA'!AK33/$F$2</f>
        <v>1.7701543739279588</v>
      </c>
      <c r="G33" s="23">
        <f>'Total and digestible IAA'!AL33/$G$2</f>
        <v>0.30619000331016216</v>
      </c>
      <c r="H33" s="23">
        <f>'Total and digestible IAA'!AM33/$H$2</f>
        <v>1.0726764500349406</v>
      </c>
      <c r="I33" s="23">
        <f>'Total and digestible IAA'!AN33/$I$2</f>
        <v>1.5420899854862118</v>
      </c>
      <c r="J33" s="23">
        <f>'Total and digestible IAA'!AO33/$J$2</f>
        <v>1.0307152259763055</v>
      </c>
      <c r="K33" s="23">
        <f>'Total and digestible IAA'!AP33/$K$2</f>
        <v>0.88301886792452822</v>
      </c>
      <c r="L33" s="24">
        <f t="shared" si="0"/>
        <v>30.619000331016217</v>
      </c>
      <c r="M33" s="14" t="s">
        <v>8</v>
      </c>
    </row>
    <row r="34" spans="1:13" x14ac:dyDescent="0.25">
      <c r="A34" s="5" t="s">
        <v>305</v>
      </c>
      <c r="B34" s="4" t="s">
        <v>10</v>
      </c>
      <c r="C34" s="23">
        <f>'Total and digestible IAA'!AH34/$C$2</f>
        <v>1.1764705882352942</v>
      </c>
      <c r="D34" s="23">
        <f>'Total and digestible IAA'!AI34/$D$2</f>
        <v>0.90322580645161288</v>
      </c>
      <c r="E34" s="23">
        <f>'Total and digestible IAA'!AJ34/$E$2</f>
        <v>1.0937499999999998</v>
      </c>
      <c r="F34" s="23">
        <f>'Total and digestible IAA'!AK34/$F$2</f>
        <v>1.7318007662835251</v>
      </c>
      <c r="G34" s="23">
        <f>'Total and digestible IAA'!AL34/$G$2</f>
        <v>0.33454325468844526</v>
      </c>
      <c r="H34" s="23">
        <f>'Total and digestible IAA'!AM34/$H$2</f>
        <v>1.1238825031928483</v>
      </c>
      <c r="I34" s="23">
        <f>'Total and digestible IAA'!AN34/$I$2</f>
        <v>1.5437665782493366</v>
      </c>
      <c r="J34" s="23">
        <f>'Total and digestible IAA'!AO34/$J$2</f>
        <v>0.9885057471264368</v>
      </c>
      <c r="K34" s="23">
        <f>'Total and digestible IAA'!AP34/$K$2</f>
        <v>0.97758620689655196</v>
      </c>
      <c r="L34" s="24">
        <f t="shared" si="0"/>
        <v>33.454325468844523</v>
      </c>
      <c r="M34" s="14" t="s">
        <v>8</v>
      </c>
    </row>
    <row r="35" spans="1:13" x14ac:dyDescent="0.25">
      <c r="A35" s="5" t="s">
        <v>226</v>
      </c>
      <c r="B35" s="4" t="s">
        <v>10</v>
      </c>
      <c r="C35" s="23">
        <f>'Total and digestible IAA'!AH35/$C$2</f>
        <v>0.43817527010804325</v>
      </c>
      <c r="D35" s="23">
        <f>'Total and digestible IAA'!AI35/$D$2</f>
        <v>0.64911125740618825</v>
      </c>
      <c r="E35" s="23">
        <f>'Total and digestible IAA'!AJ35/$E$2</f>
        <v>0.87308673469387754</v>
      </c>
      <c r="F35" s="23">
        <f>'Total and digestible IAA'!AK35/$F$2</f>
        <v>1.4570191713048857</v>
      </c>
      <c r="G35" s="23">
        <f>'Total and digestible IAA'!AL35/$G$2</f>
        <v>0.24704618689581095</v>
      </c>
      <c r="H35" s="23">
        <f>'Total and digestible IAA'!AM35/$H$2</f>
        <v>0.82199546485260766</v>
      </c>
      <c r="I35" s="23">
        <f>'Total and digestible IAA'!AN35/$I$2</f>
        <v>1.1189167974882261</v>
      </c>
      <c r="J35" s="23">
        <f>'Total and digestible IAA'!AO35/$J$2</f>
        <v>0.79686758424299942</v>
      </c>
      <c r="K35" s="23">
        <f>'Total and digestible IAA'!AP35/$K$2</f>
        <v>0.83061224489795915</v>
      </c>
      <c r="L35" s="24">
        <f t="shared" si="0"/>
        <v>24.704618689581096</v>
      </c>
      <c r="M35" s="14" t="s">
        <v>8</v>
      </c>
    </row>
    <row r="36" spans="1:13" s="7" customFormat="1" x14ac:dyDescent="0.25">
      <c r="A36" s="4" t="s">
        <v>306</v>
      </c>
      <c r="B36" s="4" t="s">
        <v>10</v>
      </c>
      <c r="C36" s="23">
        <f>'Total and digestible IAA'!AH36/$C$2</f>
        <v>1.2603580562659844</v>
      </c>
      <c r="D36" s="23">
        <f>'Total and digestible IAA'!AI36/$D$2</f>
        <v>0.87405329593267878</v>
      </c>
      <c r="E36" s="23">
        <f>'Total and digestible IAA'!AJ36/$E$2</f>
        <v>1.0402173913043478</v>
      </c>
      <c r="F36" s="23">
        <f>'Total and digestible IAA'!AK36/$F$2</f>
        <v>0.84637681159420275</v>
      </c>
      <c r="G36" s="23">
        <f>'Total and digestible IAA'!AL36/$G$2</f>
        <v>0.56979405034324937</v>
      </c>
      <c r="H36" s="23">
        <f>'Total and digestible IAA'!AM36/$H$2</f>
        <v>1.4589371980676329</v>
      </c>
      <c r="I36" s="23">
        <f>'Total and digestible IAA'!AN36/$I$2</f>
        <v>1.2792642140468227</v>
      </c>
      <c r="J36" s="23">
        <f>'Total and digestible IAA'!AO36/$J$2</f>
        <v>0.95652173913043481</v>
      </c>
      <c r="K36" s="23">
        <f>'Total and digestible IAA'!AP36/$K$2</f>
        <v>1.0447826086956522</v>
      </c>
      <c r="L36" s="24">
        <f t="shared" si="0"/>
        <v>56.979405034324934</v>
      </c>
      <c r="M36" s="14" t="s">
        <v>8</v>
      </c>
    </row>
    <row r="37" spans="1:13" s="7" customFormat="1" x14ac:dyDescent="0.25">
      <c r="A37" s="4" t="s">
        <v>49</v>
      </c>
      <c r="B37" s="4" t="s">
        <v>10</v>
      </c>
      <c r="C37" s="23">
        <f>'Total and digestible IAA'!AH37/$C$2</f>
        <v>1.1362984218077474</v>
      </c>
      <c r="D37" s="23">
        <f>'Total and digestible IAA'!AI37/$D$2</f>
        <v>0.78363493312352472</v>
      </c>
      <c r="E37" s="23">
        <f>'Total and digestible IAA'!AJ37/$E$2</f>
        <v>1.0005716463414633</v>
      </c>
      <c r="F37" s="23">
        <f>'Total and digestible IAA'!AK37/$F$2</f>
        <v>0.92294900221729492</v>
      </c>
      <c r="G37" s="23">
        <f>'Total and digestible IAA'!AL37/$G$2</f>
        <v>0.3725930680359435</v>
      </c>
      <c r="H37" s="23">
        <f>'Total and digestible IAA'!AM37/$H$2</f>
        <v>1.2624209575429088</v>
      </c>
      <c r="I37" s="23">
        <f>'Total and digestible IAA'!AN37/$I$2</f>
        <v>1.402439024390244</v>
      </c>
      <c r="J37" s="23">
        <f>'Total and digestible IAA'!AO37/$J$2</f>
        <v>0.86585365853658525</v>
      </c>
      <c r="K37" s="23">
        <f>'Total and digestible IAA'!AP37/$K$2</f>
        <v>1.0152439024390243</v>
      </c>
      <c r="L37" s="24">
        <f t="shared" si="0"/>
        <v>37.259306803594349</v>
      </c>
      <c r="M37" s="14" t="s">
        <v>8</v>
      </c>
    </row>
    <row r="38" spans="1:13" s="7" customFormat="1" x14ac:dyDescent="0.25">
      <c r="A38" s="4" t="s">
        <v>50</v>
      </c>
      <c r="B38" s="4" t="s">
        <v>10</v>
      </c>
      <c r="C38" s="23">
        <f>'Total and digestible IAA'!AH38/$C$2</f>
        <v>1.2324929971988798</v>
      </c>
      <c r="D38" s="23">
        <f>'Total and digestible IAA'!AI38/$D$2</f>
        <v>0.80747567844342039</v>
      </c>
      <c r="E38" s="23">
        <f>'Total and digestible IAA'!AJ38/$E$2</f>
        <v>0.9933035714285714</v>
      </c>
      <c r="F38" s="23">
        <f>'Total and digestible IAA'!AK38/$F$2</f>
        <v>0.91991341991341991</v>
      </c>
      <c r="G38" s="23">
        <f>'Total and digestible IAA'!AL38/$G$2</f>
        <v>0.406015037593985</v>
      </c>
      <c r="H38" s="23">
        <f>'Total and digestible IAA'!AM38/$H$2</f>
        <v>1.35243974132863</v>
      </c>
      <c r="I38" s="23">
        <f>'Total and digestible IAA'!AN38/$I$2</f>
        <v>1.3551587301587307</v>
      </c>
      <c r="J38" s="23">
        <f>'Total and digestible IAA'!AO38/$J$2</f>
        <v>0.88888888888888884</v>
      </c>
      <c r="K38" s="23">
        <f>'Total and digestible IAA'!AP38/$K$2</f>
        <v>1.0357142857142856</v>
      </c>
      <c r="L38" s="24">
        <f t="shared" si="0"/>
        <v>40.601503759398497</v>
      </c>
      <c r="M38" s="14" t="s">
        <v>8</v>
      </c>
    </row>
    <row r="39" spans="1:13" x14ac:dyDescent="0.25">
      <c r="A39" s="5" t="s">
        <v>18</v>
      </c>
      <c r="B39" s="4" t="s">
        <v>10</v>
      </c>
      <c r="C39" s="23">
        <f>'Total and digestible IAA'!AH39/$C$2</f>
        <v>1.4957983193277311</v>
      </c>
      <c r="D39" s="23">
        <f>'Total and digestible IAA'!AI39/$D$2</f>
        <v>0.91872643485546701</v>
      </c>
      <c r="E39" s="23">
        <f>'Total and digestible IAA'!AJ39/$E$2</f>
        <v>0.89488636363636365</v>
      </c>
      <c r="F39" s="23">
        <f>'Total and digestible IAA'!AK39/$F$2</f>
        <v>0.8505509641873279</v>
      </c>
      <c r="G39" s="23">
        <f>'Total and digestible IAA'!AL39/$G$2</f>
        <v>0.60457963089542033</v>
      </c>
      <c r="H39" s="23">
        <f>'Total and digestible IAA'!AM39/$H$2</f>
        <v>1.202982202982203</v>
      </c>
      <c r="I39" s="23">
        <f>'Total and digestible IAA'!AN39/$I$2</f>
        <v>1.1949300699300698</v>
      </c>
      <c r="J39" s="23">
        <f>'Total and digestible IAA'!AO39/$J$2</f>
        <v>0.97855632739353682</v>
      </c>
      <c r="K39" s="23">
        <f>'Total and digestible IAA'!AP39/$K$2</f>
        <v>1.2409090909090912</v>
      </c>
      <c r="L39" s="24">
        <f t="shared" si="0"/>
        <v>60.457963089542034</v>
      </c>
      <c r="M39" s="14" t="s">
        <v>8</v>
      </c>
    </row>
    <row r="40" spans="1:13" x14ac:dyDescent="0.25">
      <c r="A40" s="5" t="s">
        <v>227</v>
      </c>
      <c r="B40" s="4" t="s">
        <v>10</v>
      </c>
      <c r="C40" s="23">
        <f>'Total and digestible IAA'!AH40/$C$2</f>
        <v>1.0795847750865053</v>
      </c>
      <c r="D40" s="23">
        <f>'Total and digestible IAA'!AI40/$D$2</f>
        <v>0.56383843860124694</v>
      </c>
      <c r="E40" s="23">
        <f>'Total and digestible IAA'!AJ40/$E$2</f>
        <v>0.80908613445378152</v>
      </c>
      <c r="F40" s="23">
        <f>'Total and digestible IAA'!AK40/$F$2</f>
        <v>0.75286478227654696</v>
      </c>
      <c r="G40" s="23">
        <f>'Total and digestible IAA'!AL40/$G$2</f>
        <v>0.36591478696741847</v>
      </c>
      <c r="H40" s="23">
        <f>'Total and digestible IAA'!AM40/$H$2</f>
        <v>1.1484593837535013</v>
      </c>
      <c r="I40" s="23">
        <f>'Total and digestible IAA'!AN40/$I$2</f>
        <v>0.98804137039431161</v>
      </c>
      <c r="J40" s="23">
        <f>'Total and digestible IAA'!AO40/$J$2</f>
        <v>0.71819425444596441</v>
      </c>
      <c r="K40" s="23">
        <f>'Total and digestible IAA'!AP40/$K$2</f>
        <v>0.88235294117647067</v>
      </c>
      <c r="L40" s="24">
        <f t="shared" si="0"/>
        <v>36.591478696741845</v>
      </c>
      <c r="M40" s="14" t="s">
        <v>8</v>
      </c>
    </row>
    <row r="41" spans="1:13" s="4" customFormat="1" x14ac:dyDescent="0.25">
      <c r="A41" s="4" t="s">
        <v>257</v>
      </c>
      <c r="B41" s="4" t="s">
        <v>10</v>
      </c>
      <c r="C41" s="23">
        <f>'Total and digestible IAA'!AH41/$C$2</f>
        <v>0.10358352941176471</v>
      </c>
      <c r="D41" s="23">
        <f>'Total and digestible IAA'!AI41/$D$2</f>
        <v>0.68160967741935496</v>
      </c>
      <c r="E41" s="23">
        <f>'Total and digestible IAA'!AJ41/$E$2</f>
        <v>1.0210625</v>
      </c>
      <c r="F41" s="23">
        <f>'Total and digestible IAA'!AK41/$F$2</f>
        <v>2.2529848484848487</v>
      </c>
      <c r="G41" s="23">
        <f>'Total and digestible IAA'!AL41/$G$2</f>
        <v>4.4133333333333333E-3</v>
      </c>
      <c r="H41" s="23">
        <f>'Total and digestible IAA'!AM41/$H$2</f>
        <v>0.72629629629629633</v>
      </c>
      <c r="I41" s="23">
        <f>'Total and digestible IAA'!AN41/$I$2</f>
        <v>1.6505038461538459</v>
      </c>
      <c r="J41" s="23">
        <f>'Total and digestible IAA'!AO41/$J$2</f>
        <v>0.6748465116279071</v>
      </c>
      <c r="K41" s="23">
        <f>'Total and digestible IAA'!AP41/$K$2</f>
        <v>0.46953000000000006</v>
      </c>
      <c r="L41" s="24">
        <f t="shared" si="0"/>
        <v>0.44133333333333336</v>
      </c>
      <c r="M41" s="14" t="s">
        <v>8</v>
      </c>
    </row>
    <row r="42" spans="1:13" s="6" customFormat="1" x14ac:dyDescent="0.25">
      <c r="C42" s="36"/>
      <c r="D42" s="36"/>
      <c r="E42" s="36"/>
      <c r="F42" s="36"/>
      <c r="G42" s="36"/>
      <c r="H42" s="36"/>
      <c r="I42" s="36"/>
      <c r="J42" s="36"/>
      <c r="K42" s="36"/>
      <c r="L42" s="37"/>
      <c r="M42" s="16"/>
    </row>
    <row r="43" spans="1:13" s="4" customFormat="1" x14ac:dyDescent="0.25">
      <c r="A43" s="4" t="s">
        <v>139</v>
      </c>
      <c r="B43" s="4" t="s">
        <v>296</v>
      </c>
      <c r="C43" s="23">
        <f>'Total and digestible IAA'!AH43/$C$2</f>
        <v>0.59616655651024453</v>
      </c>
      <c r="D43" s="23">
        <f>'Total and digestible IAA'!AI43/$D$2</f>
        <v>0.449438202247191</v>
      </c>
      <c r="E43" s="23">
        <f>'Total and digestible IAA'!AJ43/$E$2</f>
        <v>0.80793539325842689</v>
      </c>
      <c r="F43" s="23">
        <f>'Total and digestible IAA'!AK43/$F$2</f>
        <v>0.63278855975485193</v>
      </c>
      <c r="G43" s="23">
        <f>'Total and digestible IAA'!AL43/$G$2</f>
        <v>0.50266114725014777</v>
      </c>
      <c r="H43" s="23">
        <f>'Total and digestible IAA'!AM43/$H$2</f>
        <v>0.47232625884311275</v>
      </c>
      <c r="I43" s="23">
        <f>'Total and digestible IAA'!AN43/$I$2</f>
        <v>0.91897147796024192</v>
      </c>
      <c r="J43" s="23">
        <f>'Total and digestible IAA'!AO43/$J$2</f>
        <v>0.66945388032401354</v>
      </c>
      <c r="K43" s="23">
        <f>'Total and digestible IAA'!AP43/$K$2</f>
        <v>1.1651685393258426</v>
      </c>
      <c r="L43" s="24">
        <f t="shared" si="0"/>
        <v>44.943820224719097</v>
      </c>
      <c r="M43" s="14" t="s">
        <v>534</v>
      </c>
    </row>
    <row r="44" spans="1:13" s="4" customFormat="1" x14ac:dyDescent="0.25">
      <c r="A44" s="4" t="s">
        <v>141</v>
      </c>
      <c r="B44" s="4" t="s">
        <v>296</v>
      </c>
      <c r="C44" s="23">
        <f>'Total and digestible IAA'!AH44/$C$2</f>
        <v>0.49898580121703862</v>
      </c>
      <c r="D44" s="23">
        <f>'Total and digestible IAA'!AI44/$D$2</f>
        <v>0.44827586206896558</v>
      </c>
      <c r="E44" s="23">
        <f>'Total and digestible IAA'!AJ44/$E$2</f>
        <v>0.80531609195402298</v>
      </c>
      <c r="F44" s="23">
        <f>'Total and digestible IAA'!AK44/$F$2</f>
        <v>0.62678509230233359</v>
      </c>
      <c r="G44" s="23">
        <f>'Total and digestible IAA'!AL44/$G$2</f>
        <v>0.50413389796329899</v>
      </c>
      <c r="H44" s="23">
        <f>'Total and digestible IAA'!AM44/$H$2</f>
        <v>0.45721583652618136</v>
      </c>
      <c r="I44" s="23">
        <f>'Total and digestible IAA'!AN44/$I$2</f>
        <v>0.99889478337754212</v>
      </c>
      <c r="J44" s="23">
        <f>'Total and digestible IAA'!AO44/$J$2</f>
        <v>0.67361668003207709</v>
      </c>
      <c r="K44" s="23">
        <f>'Total and digestible IAA'!AP44/$K$2</f>
        <v>1.1568965517241379</v>
      </c>
      <c r="L44" s="24">
        <f t="shared" si="0"/>
        <v>44.827586206896555</v>
      </c>
      <c r="M44" s="14" t="s">
        <v>534</v>
      </c>
    </row>
    <row r="45" spans="1:13" s="4" customFormat="1" x14ac:dyDescent="0.25">
      <c r="A45" s="4" t="s">
        <v>143</v>
      </c>
      <c r="B45" s="4" t="s">
        <v>296</v>
      </c>
      <c r="C45" s="23">
        <f>'Total and digestible IAA'!AH45/$C$2</f>
        <v>0.71611253196930935</v>
      </c>
      <c r="D45" s="23">
        <f>'Total and digestible IAA'!AI45/$D$2</f>
        <v>0.67741935483870952</v>
      </c>
      <c r="E45" s="23">
        <f>'Total and digestible IAA'!AJ45/$E$2</f>
        <v>0.72282608695652162</v>
      </c>
      <c r="F45" s="23">
        <f>'Total and digestible IAA'!AK45/$F$2</f>
        <v>0.61660079051383399</v>
      </c>
      <c r="G45" s="23">
        <f>'Total and digestible IAA'!AL45/$G$2</f>
        <v>0.47368421052631576</v>
      </c>
      <c r="H45" s="23">
        <f>'Total and digestible IAA'!AM45/$H$2</f>
        <v>0.9404186795491144</v>
      </c>
      <c r="I45" s="23">
        <f>'Total and digestible IAA'!AN45/$I$2</f>
        <v>0.92140468227424743</v>
      </c>
      <c r="J45" s="23">
        <f>'Total and digestible IAA'!AO45/$J$2</f>
        <v>0.74823053589484323</v>
      </c>
      <c r="K45" s="23">
        <f>'Total and digestible IAA'!AP45/$K$2</f>
        <v>1.1565217391304345</v>
      </c>
      <c r="L45" s="24">
        <f t="shared" si="0"/>
        <v>47.368421052631575</v>
      </c>
      <c r="M45" s="14" t="s">
        <v>8</v>
      </c>
    </row>
    <row r="46" spans="1:13" x14ac:dyDescent="0.25">
      <c r="A46" s="5" t="s">
        <v>21</v>
      </c>
      <c r="B46" s="4" t="s">
        <v>296</v>
      </c>
      <c r="C46" s="23">
        <f>'Total and digestible IAA'!AH46/$C$2</f>
        <v>0.68154158215010152</v>
      </c>
      <c r="D46" s="23">
        <f>'Total and digestible IAA'!AI46/$D$2</f>
        <v>0.6907675194660734</v>
      </c>
      <c r="E46" s="23">
        <f>'Total and digestible IAA'!AJ46/$E$2</f>
        <v>0.28125000000000006</v>
      </c>
      <c r="F46" s="23">
        <f>'Total and digestible IAA'!AK46/$F$2</f>
        <v>0.58777429467084641</v>
      </c>
      <c r="G46" s="23">
        <f>'Total and digestible IAA'!AL46/$G$2</f>
        <v>0.42589231699939506</v>
      </c>
      <c r="H46" s="23">
        <f>'Total and digestible IAA'!AM46/$H$2</f>
        <v>1.0089399744572158</v>
      </c>
      <c r="I46" s="23">
        <f>'Total and digestible IAA'!AN46/$I$2</f>
        <v>0.71750663129973469</v>
      </c>
      <c r="J46" s="23">
        <f>'Total and digestible IAA'!AO46/$J$2</f>
        <v>0.77145148356054538</v>
      </c>
      <c r="K46" s="23">
        <f>'Total and digestible IAA'!AP46/$K$2</f>
        <v>1.5724137931034481</v>
      </c>
      <c r="L46" s="24">
        <f t="shared" si="0"/>
        <v>28.125000000000007</v>
      </c>
      <c r="M46" s="15" t="s">
        <v>7</v>
      </c>
    </row>
    <row r="47" spans="1:13" s="4" customFormat="1" x14ac:dyDescent="0.25">
      <c r="A47" s="4" t="s">
        <v>145</v>
      </c>
      <c r="B47" s="4" t="s">
        <v>296</v>
      </c>
      <c r="C47" s="23">
        <f>'Total and digestible IAA'!AH47/$C$2</f>
        <v>0.71428571428571441</v>
      </c>
      <c r="D47" s="23">
        <f>'Total and digestible IAA'!AI47/$D$2</f>
        <v>0.6359447004608294</v>
      </c>
      <c r="E47" s="23">
        <f>'Total and digestible IAA'!AJ47/$E$2</f>
        <v>0.2589285714285714</v>
      </c>
      <c r="F47" s="23">
        <f>'Total and digestible IAA'!AK47/$F$2</f>
        <v>0.60876623376623384</v>
      </c>
      <c r="G47" s="23">
        <f>'Total and digestible IAA'!AL47/$G$2</f>
        <v>0.44110275689223055</v>
      </c>
      <c r="H47" s="23">
        <f>'Total and digestible IAA'!AM47/$H$2</f>
        <v>1.0449735449735451</v>
      </c>
      <c r="I47" s="23">
        <f>'Total and digestible IAA'!AN47/$I$2</f>
        <v>0.74313186813186805</v>
      </c>
      <c r="J47" s="23">
        <f>'Total and digestible IAA'!AO47/$J$2</f>
        <v>0.73754152823920271</v>
      </c>
      <c r="K47" s="23">
        <f>'Total and digestible IAA'!AP47/$K$2</f>
        <v>1.6285714285714286</v>
      </c>
      <c r="L47" s="24">
        <f t="shared" si="0"/>
        <v>25.892857142857139</v>
      </c>
      <c r="M47" s="15" t="s">
        <v>7</v>
      </c>
    </row>
    <row r="48" spans="1:13" s="4" customFormat="1" x14ac:dyDescent="0.25">
      <c r="A48" s="4" t="s">
        <v>147</v>
      </c>
      <c r="B48" s="4" t="s">
        <v>296</v>
      </c>
      <c r="C48" s="23">
        <f>'Total and digestible IAA'!AH48/$C$2</f>
        <v>1.3441514536849219</v>
      </c>
      <c r="D48" s="23">
        <f>'Total and digestible IAA'!AI48/$D$2</f>
        <v>0.88246199480904708</v>
      </c>
      <c r="E48" s="23">
        <f>'Total and digestible IAA'!AJ48/$E$2</f>
        <v>0.95545977011494265</v>
      </c>
      <c r="F48" s="23">
        <f>'Total and digestible IAA'!AK48/$F$2</f>
        <v>0.80146290491118088</v>
      </c>
      <c r="G48" s="23">
        <f>'Total and digestible IAA'!AL48/$G$2</f>
        <v>0.51482153660012098</v>
      </c>
      <c r="H48" s="23">
        <f>'Total and digestible IAA'!AM48/$H$2</f>
        <v>0.51170710940825881</v>
      </c>
      <c r="I48" s="23">
        <f>'Total and digestible IAA'!AN48/$I$2</f>
        <v>1.0968169761273212</v>
      </c>
      <c r="J48" s="23">
        <f>'Total and digestible IAA'!AO48/$J$2</f>
        <v>0.77145148356054538</v>
      </c>
      <c r="K48" s="23">
        <f>'Total and digestible IAA'!AP48/$K$2</f>
        <v>0.65517241379310354</v>
      </c>
      <c r="L48" s="24">
        <f t="shared" si="0"/>
        <v>51.170710940825884</v>
      </c>
      <c r="M48" s="14" t="s">
        <v>355</v>
      </c>
    </row>
    <row r="49" spans="1:13" s="4" customFormat="1" x14ac:dyDescent="0.25">
      <c r="A49" s="4" t="s">
        <v>149</v>
      </c>
      <c r="B49" s="4" t="s">
        <v>296</v>
      </c>
      <c r="C49" s="23">
        <f>'Total and digestible IAA'!AH49/$C$2</f>
        <v>1.2275302511016295</v>
      </c>
      <c r="D49" s="23">
        <f>'Total and digestible IAA'!AI49/$D$2</f>
        <v>1.6293966476161255</v>
      </c>
      <c r="E49" s="23">
        <f>'Total and digestible IAA'!AJ49/$E$2</f>
        <v>1.5543252080856125</v>
      </c>
      <c r="F49" s="23">
        <f>'Total and digestible IAA'!AK49/$F$2</f>
        <v>1.3820668035888011</v>
      </c>
      <c r="G49" s="23">
        <f>'Total and digestible IAA'!AL49/$G$2</f>
        <v>1.1919394204893925</v>
      </c>
      <c r="H49" s="23">
        <f>'Total and digestible IAA'!AM49/$H$2</f>
        <v>1.1329986347822258</v>
      </c>
      <c r="I49" s="23">
        <f>'Total and digestible IAA'!AN49/$I$2</f>
        <v>2.0021951888777099</v>
      </c>
      <c r="J49" s="23">
        <f>'Total and digestible IAA'!AO49/$J$2</f>
        <v>1.3560545308740979</v>
      </c>
      <c r="K49" s="23">
        <f>'Total and digestible IAA'!AP49/$K$2</f>
        <v>0.94714625445897749</v>
      </c>
      <c r="L49" s="24">
        <f t="shared" si="0"/>
        <v>94.714625445897752</v>
      </c>
      <c r="M49" s="14" t="s">
        <v>9</v>
      </c>
    </row>
    <row r="50" spans="1:13" s="4" customFormat="1" x14ac:dyDescent="0.25">
      <c r="A50" s="4" t="s">
        <v>151</v>
      </c>
      <c r="B50" s="4" t="s">
        <v>296</v>
      </c>
      <c r="C50" s="23">
        <f>'Total and digestible IAA'!AH50/$C$2</f>
        <v>0.32679738562091509</v>
      </c>
      <c r="D50" s="23">
        <f>'Total and digestible IAA'!AI50/$D$2</f>
        <v>0.30943847072879332</v>
      </c>
      <c r="E50" s="23">
        <f>'Total and digestible IAA'!AJ50/$E$2</f>
        <v>9.1435185185185203E-2</v>
      </c>
      <c r="F50" s="23">
        <f>'Total and digestible IAA'!AK50/$F$2</f>
        <v>0.52272727272727271</v>
      </c>
      <c r="G50" s="23">
        <f>'Total and digestible IAA'!AL50/$G$2</f>
        <v>0.16829109811565954</v>
      </c>
      <c r="H50" s="23">
        <f>'Total and digestible IAA'!AM50/$H$2</f>
        <v>0.50960219478737989</v>
      </c>
      <c r="I50" s="23">
        <f>'Total and digestible IAA'!AN50/$I$2</f>
        <v>0.4878917378917379</v>
      </c>
      <c r="J50" s="23">
        <f>'Total and digestible IAA'!AO50/$J$2</f>
        <v>0.46425495262704564</v>
      </c>
      <c r="K50" s="23">
        <f>'Total and digestible IAA'!AP50/$K$2</f>
        <v>0.37037037037037035</v>
      </c>
      <c r="L50" s="24">
        <f t="shared" si="0"/>
        <v>9.1435185185185208</v>
      </c>
      <c r="M50" s="14" t="s">
        <v>7</v>
      </c>
    </row>
    <row r="51" spans="1:13" s="4" customFormat="1" x14ac:dyDescent="0.25">
      <c r="A51" s="4" t="s">
        <v>153</v>
      </c>
      <c r="B51" s="4" t="s">
        <v>296</v>
      </c>
      <c r="C51" s="23">
        <f>'Total and digestible IAA'!AH51/$C$2</f>
        <v>0.87378640776699024</v>
      </c>
      <c r="D51" s="23">
        <f>'Total and digestible IAA'!AI51/$D$2</f>
        <v>0.94707171938615731</v>
      </c>
      <c r="E51" s="23">
        <f>'Total and digestible IAA'!AJ51/$E$2</f>
        <v>0.83495145631067968</v>
      </c>
      <c r="F51" s="23">
        <f>'Total and digestible IAA'!AK51/$F$2</f>
        <v>0.66019417475728137</v>
      </c>
      <c r="G51" s="23">
        <f>'Total and digestible IAA'!AL51/$G$2</f>
        <v>0.67382047351388175</v>
      </c>
      <c r="H51" s="23">
        <f>'Total and digestible IAA'!AM51/$H$2</f>
        <v>0.86587558432218614</v>
      </c>
      <c r="I51" s="23">
        <f>'Total and digestible IAA'!AN51/$I$2</f>
        <v>1.2486930545182975</v>
      </c>
      <c r="J51" s="23">
        <f>'Total and digestible IAA'!AO51/$J$2</f>
        <v>0.92120117407992785</v>
      </c>
      <c r="K51" s="23">
        <f>'Total and digestible IAA'!AP51/$K$2</f>
        <v>0.68349514563106806</v>
      </c>
      <c r="L51" s="24">
        <f t="shared" si="0"/>
        <v>66.019417475728133</v>
      </c>
      <c r="M51" s="14" t="s">
        <v>526</v>
      </c>
    </row>
    <row r="52" spans="1:13" x14ac:dyDescent="0.25">
      <c r="A52" s="5" t="s">
        <v>158</v>
      </c>
      <c r="B52" s="4" t="s">
        <v>296</v>
      </c>
      <c r="C52" s="23">
        <f>'Total and digestible IAA'!AH52/$C$2</f>
        <v>0.46859421734795609</v>
      </c>
      <c r="D52" s="23">
        <f>'Total and digestible IAA'!AI52/$D$2</f>
        <v>0.59103335155822845</v>
      </c>
      <c r="E52" s="23">
        <f>'Total and digestible IAA'!AJ52/$E$2</f>
        <v>0.51271186440677963</v>
      </c>
      <c r="F52" s="23">
        <f>'Total and digestible IAA'!AK52/$F$2</f>
        <v>0.43451463790446843</v>
      </c>
      <c r="G52" s="23">
        <f>'Total and digestible IAA'!AL52/$G$2</f>
        <v>0.45673505798394287</v>
      </c>
      <c r="H52" s="23">
        <f>'Total and digestible IAA'!AM52/$H$2</f>
        <v>0.44193345888261137</v>
      </c>
      <c r="I52" s="23">
        <f>'Total and digestible IAA'!AN52/$I$2</f>
        <v>0.64341590612777044</v>
      </c>
      <c r="J52" s="23">
        <f>'Total and digestible IAA'!AO52/$J$2</f>
        <v>0.57430035474970431</v>
      </c>
      <c r="K52" s="23">
        <f>'Total and digestible IAA'!AP52/$K$2</f>
        <v>0.3559322033898305</v>
      </c>
      <c r="L52" s="24">
        <f t="shared" si="0"/>
        <v>35.593220338983052</v>
      </c>
      <c r="M52" s="15" t="s">
        <v>9</v>
      </c>
    </row>
    <row r="53" spans="1:13" x14ac:dyDescent="0.25">
      <c r="A53" s="5" t="s">
        <v>22</v>
      </c>
      <c r="B53" s="4" t="s">
        <v>296</v>
      </c>
      <c r="C53" s="23">
        <f>'Total and digestible IAA'!AH53/$C$2</f>
        <v>0.47394957983193275</v>
      </c>
      <c r="D53" s="23">
        <f>'Total and digestible IAA'!AI53/$D$2</f>
        <v>0.64700460829493101</v>
      </c>
      <c r="E53" s="23">
        <f>'Total and digestible IAA'!AJ53/$E$2</f>
        <v>0.59196428571428572</v>
      </c>
      <c r="F53" s="23">
        <f>'Total and digestible IAA'!AK53/$F$2</f>
        <v>0.48398268398268396</v>
      </c>
      <c r="G53" s="23">
        <f>'Total and digestible IAA'!AL53/$G$2</f>
        <v>0.48571428571428571</v>
      </c>
      <c r="H53" s="23">
        <f>'Total and digestible IAA'!AM53/$H$2</f>
        <v>0.49629629629629624</v>
      </c>
      <c r="I53" s="23">
        <f>'Total and digestible IAA'!AN53/$I$2</f>
        <v>0.6953296703296703</v>
      </c>
      <c r="J53" s="23">
        <f>'Total and digestible IAA'!AO53/$J$2</f>
        <v>0.639202657807309</v>
      </c>
      <c r="K53" s="23">
        <f>'Total and digestible IAA'!AP53/$K$2</f>
        <v>0.40285714285714286</v>
      </c>
      <c r="L53" s="24">
        <f t="shared" si="0"/>
        <v>40.285714285714285</v>
      </c>
      <c r="M53" s="15" t="s">
        <v>9</v>
      </c>
    </row>
    <row r="54" spans="1:13" x14ac:dyDescent="0.25">
      <c r="A54" s="5" t="s">
        <v>288</v>
      </c>
      <c r="B54" s="4" t="s">
        <v>296</v>
      </c>
      <c r="C54" s="23">
        <f>'Total and digestible IAA'!AH54/$C$2</f>
        <v>0.46078431372549017</v>
      </c>
      <c r="D54" s="23">
        <f>'Total and digestible IAA'!AI54/$D$2</f>
        <v>0.65232974910394259</v>
      </c>
      <c r="E54" s="23">
        <f>'Total and digestible IAA'!AJ54/$E$2</f>
        <v>0.59765625000000011</v>
      </c>
      <c r="F54" s="23">
        <f>'Total and digestible IAA'!AK54/$F$2</f>
        <v>0.46296296296296297</v>
      </c>
      <c r="G54" s="23">
        <f>'Total and digestible IAA'!AL54/$G$2</f>
        <v>0.49415204678362573</v>
      </c>
      <c r="H54" s="23">
        <f>'Total and digestible IAA'!AM54/$H$2</f>
        <v>0.48251028806584356</v>
      </c>
      <c r="I54" s="23">
        <f>'Total and digestible IAA'!AN54/$I$2</f>
        <v>0.7286324786324786</v>
      </c>
      <c r="J54" s="23">
        <f>'Total and digestible IAA'!AO54/$J$2</f>
        <v>0.62144702842377264</v>
      </c>
      <c r="K54" s="23">
        <f>'Total and digestible IAA'!AP54/$K$2</f>
        <v>0.39166666666666666</v>
      </c>
      <c r="L54" s="24">
        <f t="shared" si="0"/>
        <v>39.166666666666664</v>
      </c>
      <c r="M54" s="15" t="s">
        <v>9</v>
      </c>
    </row>
    <row r="55" spans="1:13" x14ac:dyDescent="0.25">
      <c r="A55" s="5" t="s">
        <v>289</v>
      </c>
      <c r="B55" s="4" t="s">
        <v>296</v>
      </c>
      <c r="C55" s="23">
        <f>'Total and digestible IAA'!AH55/$C$2</f>
        <v>0.51838235294117652</v>
      </c>
      <c r="D55" s="23">
        <f>'Total and digestible IAA'!AI55/$D$2</f>
        <v>0.60483870967741937</v>
      </c>
      <c r="E55" s="23">
        <f>'Total and digestible IAA'!AJ55/$E$2</f>
        <v>0.62109375</v>
      </c>
      <c r="F55" s="23">
        <f>'Total and digestible IAA'!AK55/$F$2</f>
        <v>0.46164772727272729</v>
      </c>
      <c r="G55" s="23">
        <f>'Total and digestible IAA'!AL55/$G$2</f>
        <v>0.49890350877192985</v>
      </c>
      <c r="H55" s="23">
        <f>'Total and digestible IAA'!AM55/$H$2</f>
        <v>0.51157407407407418</v>
      </c>
      <c r="I55" s="23">
        <f>'Total and digestible IAA'!AN55/$I$2</f>
        <v>0.70492788461538458</v>
      </c>
      <c r="J55" s="23">
        <f>'Total and digestible IAA'!AO55/$J$2</f>
        <v>0.61155523255813948</v>
      </c>
      <c r="K55" s="23">
        <f>'Total and digestible IAA'!AP55/$K$2</f>
        <v>0.43828125000000001</v>
      </c>
      <c r="L55" s="24">
        <f t="shared" si="0"/>
        <v>43.828125</v>
      </c>
      <c r="M55" s="15" t="s">
        <v>9</v>
      </c>
    </row>
    <row r="56" spans="1:13" x14ac:dyDescent="0.25">
      <c r="A56" s="5" t="s">
        <v>23</v>
      </c>
      <c r="B56" s="4" t="s">
        <v>296</v>
      </c>
      <c r="C56" s="23">
        <f>'Total and digestible IAA'!AH56/$C$2</f>
        <v>0.83238456672991767</v>
      </c>
      <c r="D56" s="23">
        <f>'Total and digestible IAA'!AI56/$D$2</f>
        <v>0.79569892473118287</v>
      </c>
      <c r="E56" s="23">
        <f>'Total and digestible IAA'!AJ56/$E$2</f>
        <v>0.82795698924731187</v>
      </c>
      <c r="F56" s="23">
        <f>'Total and digestible IAA'!AK56/$F$2</f>
        <v>0.58390355164548713</v>
      </c>
      <c r="G56" s="23">
        <f>'Total and digestible IAA'!AL56/$G$2</f>
        <v>0.56140350877192979</v>
      </c>
      <c r="H56" s="23">
        <f>'Total and digestible IAA'!AM56/$H$2</f>
        <v>0.72162485065710869</v>
      </c>
      <c r="I56" s="23">
        <f>'Total and digestible IAA'!AN56/$I$2</f>
        <v>0.90322580645161288</v>
      </c>
      <c r="J56" s="23">
        <f>'Total and digestible IAA'!AO56/$J$2</f>
        <v>0.68167041760440117</v>
      </c>
      <c r="K56" s="23">
        <f>'Total and digestible IAA'!AP56/$K$2</f>
        <v>0.45591397849462367</v>
      </c>
      <c r="L56" s="24">
        <f t="shared" si="0"/>
        <v>45.591397849462368</v>
      </c>
      <c r="M56" s="15" t="s">
        <v>9</v>
      </c>
    </row>
    <row r="57" spans="1:13" x14ac:dyDescent="0.25">
      <c r="A57" s="5" t="s">
        <v>290</v>
      </c>
      <c r="B57" s="4" t="s">
        <v>296</v>
      </c>
      <c r="C57" s="23">
        <f>'Total and digestible IAA'!AH57/$C$2</f>
        <v>0.61538461538461553</v>
      </c>
      <c r="D57" s="23">
        <f>'Total and digestible IAA'!AI57/$D$2</f>
        <v>0.7564102564102565</v>
      </c>
      <c r="E57" s="23">
        <f>'Total and digestible IAA'!AJ57/$E$2</f>
        <v>0.65064102564102566</v>
      </c>
      <c r="F57" s="23">
        <f>'Total and digestible IAA'!AK57/$F$2</f>
        <v>0.54642579642579636</v>
      </c>
      <c r="G57" s="23">
        <f>'Total and digestible IAA'!AL57/$G$2</f>
        <v>0.60931174089068829</v>
      </c>
      <c r="H57" s="23">
        <f>'Total and digestible IAA'!AM57/$H$2</f>
        <v>0.5762108262108262</v>
      </c>
      <c r="I57" s="23">
        <f>'Total and digestible IAA'!AN57/$I$2</f>
        <v>0.82914201183431946</v>
      </c>
      <c r="J57" s="23">
        <f>'Total and digestible IAA'!AO57/$J$2</f>
        <v>0.64847942754919496</v>
      </c>
      <c r="K57" s="23">
        <f>'Total and digestible IAA'!AP57/$K$2</f>
        <v>0.47499999999999998</v>
      </c>
      <c r="L57" s="24">
        <f t="shared" si="0"/>
        <v>47.5</v>
      </c>
      <c r="M57" s="15" t="s">
        <v>9</v>
      </c>
    </row>
    <row r="58" spans="1:13" x14ac:dyDescent="0.25">
      <c r="A58" s="5" t="s">
        <v>292</v>
      </c>
      <c r="B58" s="4" t="s">
        <v>296</v>
      </c>
      <c r="C58" s="23">
        <f>'Total and digestible IAA'!AH58/$C$2</f>
        <v>0.57342047930283213</v>
      </c>
      <c r="D58" s="23">
        <f>'Total and digestible IAA'!AI58/$D$2</f>
        <v>0.75555555555555565</v>
      </c>
      <c r="E58" s="23">
        <f>'Total and digestible IAA'!AJ58/$E$2</f>
        <v>0.65787037037037044</v>
      </c>
      <c r="F58" s="23">
        <f>'Total and digestible IAA'!AK58/$F$2</f>
        <v>0.54680134680134684</v>
      </c>
      <c r="G58" s="23">
        <f>'Total and digestible IAA'!AL58/$G$2</f>
        <v>0.61546458739441201</v>
      </c>
      <c r="H58" s="23">
        <f>'Total and digestible IAA'!AM58/$H$2</f>
        <v>0.58436213991769548</v>
      </c>
      <c r="I58" s="23">
        <f>'Total and digestible IAA'!AN58/$I$2</f>
        <v>0.83703703703703713</v>
      </c>
      <c r="J58" s="23">
        <f>'Total and digestible IAA'!AO58/$J$2</f>
        <v>0.64944013781223076</v>
      </c>
      <c r="K58" s="23">
        <f>'Total and digestible IAA'!AP58/$K$2</f>
        <v>0.51962962962962955</v>
      </c>
      <c r="L58" s="24">
        <f t="shared" si="0"/>
        <v>51.962962962962955</v>
      </c>
      <c r="M58" s="15" t="s">
        <v>9</v>
      </c>
    </row>
    <row r="59" spans="1:13" x14ac:dyDescent="0.25">
      <c r="A59" s="5" t="s">
        <v>291</v>
      </c>
      <c r="B59" s="4" t="s">
        <v>296</v>
      </c>
      <c r="C59" s="23">
        <f>'Total and digestible IAA'!AH59/$C$2</f>
        <v>0.52890025575447575</v>
      </c>
      <c r="D59" s="23">
        <f>'Total and digestible IAA'!AI59/$D$2</f>
        <v>0.77755960729312767</v>
      </c>
      <c r="E59" s="23">
        <f>'Total and digestible IAA'!AJ59/$E$2</f>
        <v>0.65733695652173896</v>
      </c>
      <c r="F59" s="23">
        <f>'Total and digestible IAA'!AK59/$F$2</f>
        <v>0.53320158102766801</v>
      </c>
      <c r="G59" s="23">
        <f>'Total and digestible IAA'!AL59/$G$2</f>
        <v>0.59588100686498846</v>
      </c>
      <c r="H59" s="23">
        <f>'Total and digestible IAA'!AM59/$H$2</f>
        <v>0.54170692431561995</v>
      </c>
      <c r="I59" s="23">
        <f>'Total and digestible IAA'!AN59/$I$2</f>
        <v>0.83695652173913027</v>
      </c>
      <c r="J59" s="23">
        <f>'Total and digestible IAA'!AO59/$J$2</f>
        <v>0.63397371081900911</v>
      </c>
      <c r="K59" s="23">
        <f>'Total and digestible IAA'!AP59/$K$2</f>
        <v>0.47913043478260864</v>
      </c>
      <c r="L59" s="24">
        <f t="shared" si="0"/>
        <v>47.91304347826086</v>
      </c>
      <c r="M59" s="15" t="s">
        <v>9</v>
      </c>
    </row>
    <row r="60" spans="1:13" x14ac:dyDescent="0.25">
      <c r="A60" s="5" t="s">
        <v>293</v>
      </c>
      <c r="B60" s="4" t="s">
        <v>296</v>
      </c>
      <c r="C60" s="23">
        <f>'Total and digestible IAA'!AH60/$C$2</f>
        <v>0.59976931949250289</v>
      </c>
      <c r="D60" s="23">
        <f>'Total and digestible IAA'!AI60/$D$2</f>
        <v>0.75237191650853896</v>
      </c>
      <c r="E60" s="23">
        <f>'Total and digestible IAA'!AJ60/$E$2</f>
        <v>0.63480392156862764</v>
      </c>
      <c r="F60" s="23">
        <f>'Total and digestible IAA'!AK60/$F$2</f>
        <v>0.55213903743315507</v>
      </c>
      <c r="G60" s="23">
        <f>'Total and digestible IAA'!AL60/$G$2</f>
        <v>0.60681114551083593</v>
      </c>
      <c r="H60" s="23">
        <f>'Total and digestible IAA'!AM60/$H$2</f>
        <v>0.5374001452432825</v>
      </c>
      <c r="I60" s="23">
        <f>'Total and digestible IAA'!AN60/$I$2</f>
        <v>0.83748114630467563</v>
      </c>
      <c r="J60" s="23">
        <f>'Total and digestible IAA'!AO60/$J$2</f>
        <v>0.64797081623347019</v>
      </c>
      <c r="K60" s="23">
        <f>'Total and digestible IAA'!AP60/$K$2</f>
        <v>0.46666666666666667</v>
      </c>
      <c r="L60" s="24">
        <f t="shared" si="0"/>
        <v>46.666666666666664</v>
      </c>
      <c r="M60" s="15" t="s">
        <v>9</v>
      </c>
    </row>
    <row r="61" spans="1:13" x14ac:dyDescent="0.25">
      <c r="A61" s="5" t="s">
        <v>157</v>
      </c>
      <c r="B61" s="4" t="s">
        <v>296</v>
      </c>
      <c r="C61" s="23">
        <f>'Total and digestible IAA'!AH61/$C$2</f>
        <v>0.55294117647058827</v>
      </c>
      <c r="D61" s="23">
        <f>'Total and digestible IAA'!AI61/$D$2</f>
        <v>0.5346774193548387</v>
      </c>
      <c r="E61" s="23">
        <f>'Total and digestible IAA'!AJ61/$E$2</f>
        <v>0.515625</v>
      </c>
      <c r="F61" s="23">
        <f>'Total and digestible IAA'!AK61/$F$2</f>
        <v>0.42499999999999999</v>
      </c>
      <c r="G61" s="23">
        <f>'Total and digestible IAA'!AL61/$G$2</f>
        <v>0.37192982456140355</v>
      </c>
      <c r="H61" s="23">
        <f>'Total and digestible IAA'!AM61/$H$2</f>
        <v>0.61666666666666659</v>
      </c>
      <c r="I61" s="23">
        <f>'Total and digestible IAA'!AN61/$I$2</f>
        <v>0.6774038461538463</v>
      </c>
      <c r="J61" s="23">
        <f>'Total and digestible IAA'!AO61/$J$2</f>
        <v>0.43720930232558142</v>
      </c>
      <c r="K61" s="23">
        <f>'Total and digestible IAA'!AP61/$K$2</f>
        <v>0.35249999999999992</v>
      </c>
      <c r="L61" s="24">
        <f t="shared" si="0"/>
        <v>35.249999999999993</v>
      </c>
      <c r="M61" s="15" t="s">
        <v>9</v>
      </c>
    </row>
    <row r="62" spans="1:13" s="4" customFormat="1" x14ac:dyDescent="0.25">
      <c r="A62" s="4" t="s">
        <v>155</v>
      </c>
      <c r="B62" s="4" t="s">
        <v>296</v>
      </c>
      <c r="C62" s="23">
        <f>'Total and digestible IAA'!AH62/$C$2</f>
        <v>1.7439446366782008</v>
      </c>
      <c r="D62" s="23">
        <f>'Total and digestible IAA'!AI62/$D$2</f>
        <v>1.259962049335863</v>
      </c>
      <c r="E62" s="23">
        <f>'Total and digestible IAA'!AJ62/$E$2</f>
        <v>1.0937499999999998</v>
      </c>
      <c r="F62" s="23">
        <f>'Total and digestible IAA'!AK62/$F$2</f>
        <v>0.69786096256684493</v>
      </c>
      <c r="G62" s="23">
        <f>'Total and digestible IAA'!AL62/$G$2</f>
        <v>0.55555555555555558</v>
      </c>
      <c r="H62" s="23">
        <f>'Total and digestible IAA'!AM62/$H$2</f>
        <v>0.86564996368917946</v>
      </c>
      <c r="I62" s="23">
        <f>'Total and digestible IAA'!AN62/$I$2</f>
        <v>1.6847662141779789</v>
      </c>
      <c r="J62" s="23">
        <f>'Total and digestible IAA'!AO62/$J$2</f>
        <v>1.0465116279069768</v>
      </c>
      <c r="K62" s="23">
        <f>'Total and digestible IAA'!AP62/$K$2</f>
        <v>1.1088235294117648</v>
      </c>
      <c r="L62" s="24">
        <f t="shared" si="0"/>
        <v>55.555555555555557</v>
      </c>
      <c r="M62" s="14" t="s">
        <v>8</v>
      </c>
    </row>
    <row r="63" spans="1:13" s="6" customFormat="1" x14ac:dyDescent="0.25">
      <c r="C63" s="36"/>
      <c r="D63" s="36"/>
      <c r="E63" s="36"/>
      <c r="F63" s="36"/>
      <c r="G63" s="36"/>
      <c r="H63" s="36"/>
      <c r="I63" s="36"/>
      <c r="J63" s="36"/>
      <c r="K63" s="36"/>
      <c r="L63" s="37"/>
      <c r="M63" s="16"/>
    </row>
    <row r="64" spans="1:13" s="4" customFormat="1" x14ac:dyDescent="0.25">
      <c r="A64" s="4" t="s">
        <v>250</v>
      </c>
      <c r="B64" s="4" t="s">
        <v>298</v>
      </c>
      <c r="C64" s="23">
        <f>'Total and digestible IAA'!AH64/$C$2</f>
        <v>0.78154555940023085</v>
      </c>
      <c r="D64" s="23">
        <f>'Total and digestible IAA'!AI64/$D$2</f>
        <v>0.72303605313092967</v>
      </c>
      <c r="E64" s="23">
        <f>'Total and digestible IAA'!AJ64/$E$2</f>
        <v>0.83605392156862757</v>
      </c>
      <c r="F64" s="23">
        <f>'Total and digestible IAA'!AK64/$F$2</f>
        <v>1.2162923351158643</v>
      </c>
      <c r="G64" s="23">
        <f>'Total and digestible IAA'!AL64/$G$2</f>
        <v>0.81642930856553142</v>
      </c>
      <c r="H64" s="23">
        <f>'Total and digestible IAA'!AM64/$H$2</f>
        <v>0.66748002904865655</v>
      </c>
      <c r="I64" s="23">
        <f>'Total and digestible IAA'!AN64/$I$2</f>
        <v>0.78259426847662139</v>
      </c>
      <c r="J64" s="23">
        <f>'Total and digestible IAA'!AO64/$J$2</f>
        <v>0.74841769265845881</v>
      </c>
      <c r="K64" s="23">
        <f>'Total and digestible IAA'!AP64/$K$2</f>
        <v>1.2724901960784314</v>
      </c>
      <c r="L64" s="24">
        <f t="shared" si="0"/>
        <v>66.748002904865658</v>
      </c>
      <c r="M64" s="14" t="s">
        <v>355</v>
      </c>
    </row>
    <row r="65" spans="1:14" x14ac:dyDescent="0.25">
      <c r="A65" s="5" t="s">
        <v>175</v>
      </c>
      <c r="B65" s="4" t="s">
        <v>298</v>
      </c>
      <c r="C65" s="23">
        <f>'Total and digestible IAA'!AH65/$C$2</f>
        <v>1.4286011224277697</v>
      </c>
      <c r="D65" s="23">
        <f>'Total and digestible IAA'!AI65/$D$2</f>
        <v>1.2246665906759375</v>
      </c>
      <c r="E65" s="23">
        <f>'Total and digestible IAA'!AJ65/$E$2</f>
        <v>1.2948321554770317</v>
      </c>
      <c r="F65" s="23">
        <f>'Total and digestible IAA'!AK65/$F$2</f>
        <v>1.1265660134918085</v>
      </c>
      <c r="G65" s="23">
        <f>'Total and digestible IAA'!AL65/$G$2</f>
        <v>0.84805653710247353</v>
      </c>
      <c r="H65" s="23">
        <f>'Total and digestible IAA'!AM65/$H$2</f>
        <v>0.92082188195262393</v>
      </c>
      <c r="I65" s="23">
        <f>'Total and digestible IAA'!AN65/$I$2</f>
        <v>1.6639372111986952</v>
      </c>
      <c r="J65" s="23">
        <f>'Total and digestible IAA'!AO65/$J$2</f>
        <v>1.1282356808283343</v>
      </c>
      <c r="K65" s="23">
        <f>'Total and digestible IAA'!AP65/$K$2</f>
        <v>1.06113074204947</v>
      </c>
      <c r="L65" s="24">
        <f t="shared" si="0"/>
        <v>84.805653710247356</v>
      </c>
      <c r="M65" s="15" t="s">
        <v>8</v>
      </c>
    </row>
    <row r="66" spans="1:14" x14ac:dyDescent="0.25">
      <c r="A66" s="5" t="s">
        <v>177</v>
      </c>
      <c r="B66" s="4" t="s">
        <v>298</v>
      </c>
      <c r="C66" s="23">
        <f>'Total and digestible IAA'!AH66/$C$2</f>
        <v>0.76401384083044988</v>
      </c>
      <c r="D66" s="23">
        <f>'Total and digestible IAA'!AI66/$D$2</f>
        <v>0.72922201138519926</v>
      </c>
      <c r="E66" s="23">
        <f>'Total and digestible IAA'!AJ66/$E$2</f>
        <v>0.8125</v>
      </c>
      <c r="F66" s="23">
        <f>'Total and digestible IAA'!AK66/$F$2</f>
        <v>0.73796791443850263</v>
      </c>
      <c r="G66" s="23">
        <f>'Total and digestible IAA'!AL66/$G$2</f>
        <v>0.40866873065015485</v>
      </c>
      <c r="H66" s="23">
        <f>'Total and digestible IAA'!AM66/$H$2</f>
        <v>0.44553376906318082</v>
      </c>
      <c r="I66" s="23">
        <f>'Total and digestible IAA'!AN66/$I$2</f>
        <v>0.95294117647058818</v>
      </c>
      <c r="J66" s="23">
        <f>'Total and digestible IAA'!AO66/$J$2</f>
        <v>0.94404924760601927</v>
      </c>
      <c r="K66" s="23">
        <f>'Total and digestible IAA'!AP66/$K$2</f>
        <v>0.38558823529411757</v>
      </c>
      <c r="L66" s="24">
        <f t="shared" si="0"/>
        <v>38.558823529411754</v>
      </c>
      <c r="M66" s="15" t="s">
        <v>9</v>
      </c>
    </row>
    <row r="67" spans="1:14" x14ac:dyDescent="0.25">
      <c r="A67" s="5" t="s">
        <v>179</v>
      </c>
      <c r="B67" s="4" t="s">
        <v>298</v>
      </c>
      <c r="C67" s="23">
        <f>'Total and digestible IAA'!AH67/$C$2</f>
        <v>0.79946524064171132</v>
      </c>
      <c r="D67" s="23">
        <f>'Total and digestible IAA'!AI67/$D$2</f>
        <v>0.97653958944281516</v>
      </c>
      <c r="E67" s="23">
        <f>'Total and digestible IAA'!AJ67/$E$2</f>
        <v>1.0387073863636362</v>
      </c>
      <c r="F67" s="23">
        <f>'Total and digestible IAA'!AK67/$F$2</f>
        <v>0.91477272727272729</v>
      </c>
      <c r="G67" s="23">
        <f>'Total and digestible IAA'!AL67/$G$2</f>
        <v>0.65071770334928236</v>
      </c>
      <c r="H67" s="23">
        <f>'Total and digestible IAA'!AM67/$H$2</f>
        <v>0.59595959595959591</v>
      </c>
      <c r="I67" s="23">
        <f>'Total and digestible IAA'!AN67/$I$2</f>
        <v>1.2634032634032635</v>
      </c>
      <c r="J67" s="23">
        <f>'Total and digestible IAA'!AO67/$J$2</f>
        <v>1.0084566596194504</v>
      </c>
      <c r="K67" s="23">
        <f>'Total and digestible IAA'!AP67/$K$2</f>
        <v>0.65681818181818186</v>
      </c>
      <c r="L67" s="24">
        <f t="shared" si="0"/>
        <v>59.595959595959592</v>
      </c>
      <c r="M67" s="15" t="s">
        <v>355</v>
      </c>
    </row>
    <row r="68" spans="1:14" s="4" customFormat="1" x14ac:dyDescent="0.25">
      <c r="A68" s="4" t="s">
        <v>251</v>
      </c>
      <c r="B68" s="4" t="s">
        <v>298</v>
      </c>
      <c r="C68" s="23">
        <f>'Total and digestible IAA'!AH68/$C$2</f>
        <v>0.69459298871063591</v>
      </c>
      <c r="D68" s="23">
        <f>'Total and digestible IAA'!AI68/$D$2</f>
        <v>0.90101010101010104</v>
      </c>
      <c r="E68" s="23">
        <f>'Total and digestible IAA'!AJ68/$E$2</f>
        <v>1.0164141414141414</v>
      </c>
      <c r="F68" s="23">
        <f>'Total and digestible IAA'!AK68/$F$2</f>
        <v>1.4128660340781551</v>
      </c>
      <c r="G68" s="23">
        <f>'Total and digestible IAA'!AL68/$G$2</f>
        <v>0.92192096402622714</v>
      </c>
      <c r="H68" s="23">
        <f>'Total and digestible IAA'!AM68/$H$2</f>
        <v>0.78462401795735126</v>
      </c>
      <c r="I68" s="23">
        <f>'Total and digestible IAA'!AN68/$I$2</f>
        <v>0.82356902356902362</v>
      </c>
      <c r="J68" s="23">
        <f>'Total and digestible IAA'!AO68/$J$2</f>
        <v>0.81320178529480858</v>
      </c>
      <c r="K68" s="23">
        <f>'Total and digestible IAA'!AP68/$K$2</f>
        <v>1.1577272727272727</v>
      </c>
      <c r="L68" s="24">
        <f t="shared" ref="L68:L131" si="1">MIN(C68:K68)*100</f>
        <v>69.459298871063595</v>
      </c>
      <c r="M68" s="14" t="s">
        <v>6</v>
      </c>
    </row>
    <row r="69" spans="1:14" s="4" customFormat="1" ht="14.25" customHeight="1" x14ac:dyDescent="0.25">
      <c r="A69" s="4" t="s">
        <v>307</v>
      </c>
      <c r="B69" s="4" t="s">
        <v>298</v>
      </c>
      <c r="C69" s="23">
        <f>'Total and digestible IAA'!AH69/$C$2</f>
        <v>0.91687379177022921</v>
      </c>
      <c r="D69" s="23">
        <f>'Total and digestible IAA'!AI69/$D$2</f>
        <v>0.88626381947599575</v>
      </c>
      <c r="E69" s="23">
        <f>'Total and digestible IAA'!AJ69/$E$2</f>
        <v>0.99853286384976525</v>
      </c>
      <c r="F69" s="23">
        <f>'Total and digestible IAA'!AK69/$F$2</f>
        <v>0.95433205292360224</v>
      </c>
      <c r="G69" s="23">
        <f>'Total and digestible IAA'!AL69/$G$2</f>
        <v>1.1148999258710155</v>
      </c>
      <c r="H69" s="23">
        <f>'Total and digestible IAA'!AM69/$H$2</f>
        <v>0.80472961224134931</v>
      </c>
      <c r="I69" s="23">
        <f>'Total and digestible IAA'!AN69/$I$2</f>
        <v>1.3338750451426511</v>
      </c>
      <c r="J69" s="23">
        <f>'Total and digestible IAA'!AO69/$J$2</f>
        <v>0.76056338028169002</v>
      </c>
      <c r="K69" s="23">
        <f>'Total and digestible IAA'!AP69/$K$2</f>
        <v>1.1028169014084508</v>
      </c>
      <c r="L69" s="24">
        <f t="shared" si="1"/>
        <v>76.056338028168994</v>
      </c>
      <c r="M69" s="14" t="s">
        <v>535</v>
      </c>
    </row>
    <row r="70" spans="1:14" x14ac:dyDescent="0.25">
      <c r="A70" s="5" t="s">
        <v>308</v>
      </c>
      <c r="B70" s="4" t="s">
        <v>298</v>
      </c>
      <c r="C70" s="23"/>
      <c r="D70" s="23">
        <f>'Total and digestible IAA'!AI70/$D$2</f>
        <v>1.5503003531083381</v>
      </c>
      <c r="E70" s="23">
        <f>'Total and digestible IAA'!AJ70/$E$2</f>
        <v>1.1204481029219362</v>
      </c>
      <c r="F70" s="23">
        <f>'Total and digestible IAA'!AK70/$F$2</f>
        <v>0.81423700590730685</v>
      </c>
      <c r="G70" s="23">
        <f>'Total and digestible IAA'!AL70/$G$2</f>
        <v>0.66105079532673816</v>
      </c>
      <c r="H70" s="23"/>
      <c r="I70" s="23"/>
      <c r="J70" s="23">
        <f>'Total and digestible IAA'!AO70/$J$2</f>
        <v>0.7620868365804927</v>
      </c>
      <c r="K70" s="23"/>
      <c r="L70" s="24">
        <f t="shared" si="1"/>
        <v>66.105079532673813</v>
      </c>
      <c r="M70" s="15" t="s">
        <v>8</v>
      </c>
      <c r="N70" s="5" t="s">
        <v>525</v>
      </c>
    </row>
    <row r="71" spans="1:14" s="4" customFormat="1" x14ac:dyDescent="0.25">
      <c r="A71" s="4" t="s">
        <v>253</v>
      </c>
      <c r="B71" s="4" t="s">
        <v>298</v>
      </c>
      <c r="C71" s="23">
        <f>'Total and digestible IAA'!AH71/$C$2</f>
        <v>0.88900255754475721</v>
      </c>
      <c r="D71" s="23">
        <f>'Total and digestible IAA'!AI71/$D$2</f>
        <v>0.73902843299757748</v>
      </c>
      <c r="E71" s="23">
        <f>'Total and digestible IAA'!AJ71/$E$2</f>
        <v>0.87984189723320161</v>
      </c>
      <c r="F71" s="23">
        <f>'Total and digestible IAA'!AK71/$F$2</f>
        <v>1.2275781530722243</v>
      </c>
      <c r="G71" s="23">
        <f>'Total and digestible IAA'!AL71/$G$2</f>
        <v>0.79575618889120026</v>
      </c>
      <c r="H71" s="23">
        <f>'Total and digestible IAA'!AM71/$H$2</f>
        <v>1.1589664763577805</v>
      </c>
      <c r="I71" s="23">
        <f>'Total and digestible IAA'!AN71/$I$2</f>
        <v>0.79570538157494675</v>
      </c>
      <c r="J71" s="23">
        <f>'Total and digestible IAA'!AO71/$J$2</f>
        <v>0.65928853754940708</v>
      </c>
      <c r="K71" s="23">
        <f>'Total and digestible IAA'!AP71/$K$2</f>
        <v>0.93260869565217386</v>
      </c>
      <c r="L71" s="24">
        <f t="shared" si="1"/>
        <v>65.928853754940704</v>
      </c>
      <c r="M71" s="14" t="s">
        <v>535</v>
      </c>
    </row>
    <row r="72" spans="1:14" s="4" customFormat="1" x14ac:dyDescent="0.25">
      <c r="A72" s="4" t="s">
        <v>285</v>
      </c>
      <c r="B72" s="4" t="s">
        <v>298</v>
      </c>
      <c r="C72" s="23"/>
      <c r="D72" s="23"/>
      <c r="E72" s="23"/>
      <c r="F72" s="23"/>
      <c r="G72" s="23"/>
      <c r="H72" s="23"/>
      <c r="I72" s="23"/>
      <c r="J72" s="23"/>
      <c r="K72" s="23"/>
      <c r="L72" s="24"/>
      <c r="M72" s="14"/>
    </row>
    <row r="73" spans="1:14" s="4" customFormat="1" x14ac:dyDescent="0.25">
      <c r="A73" s="4" t="s">
        <v>309</v>
      </c>
      <c r="B73" s="4" t="s">
        <v>298</v>
      </c>
      <c r="C73" s="23">
        <f>'Total and digestible IAA'!AH73/$C$2</f>
        <v>1.0848098275454758</v>
      </c>
      <c r="D73" s="23">
        <f>'Total and digestible IAA'!AI73/$D$2</f>
        <v>1.0535043399404069</v>
      </c>
      <c r="E73" s="23">
        <f>'Total and digestible IAA'!AJ73/$E$2</f>
        <v>0.9849397590361445</v>
      </c>
      <c r="F73" s="23">
        <f>'Total and digestible IAA'!AK73/$F$2</f>
        <v>0.859741998296215</v>
      </c>
      <c r="G73" s="23">
        <f>'Total and digestible IAA'!AL73/$G$2</f>
        <v>0.98217431128020838</v>
      </c>
      <c r="H73" s="23">
        <f>'Total and digestible IAA'!AM73/$H$2</f>
        <v>0.72824631860776468</v>
      </c>
      <c r="I73" s="23">
        <f>'Total and digestible IAA'!AN73/$I$2</f>
        <v>1.2527803521779428</v>
      </c>
      <c r="J73" s="23">
        <f>'Total and digestible IAA'!AO73/$J$2</f>
        <v>0.77706173531334644</v>
      </c>
      <c r="K73" s="23">
        <f>'Total and digestible IAA'!AP73/$K$2</f>
        <v>0.86144578313253017</v>
      </c>
      <c r="L73" s="24">
        <f t="shared" si="1"/>
        <v>72.824631860776464</v>
      </c>
      <c r="M73" s="14" t="s">
        <v>355</v>
      </c>
    </row>
    <row r="74" spans="1:14" s="4" customFormat="1" x14ac:dyDescent="0.25">
      <c r="A74" s="4" t="s">
        <v>310</v>
      </c>
      <c r="B74" s="4" t="s">
        <v>298</v>
      </c>
      <c r="C74" s="23">
        <f>'Total and digestible IAA'!AH74/$C$2</f>
        <v>0.81064227811265854</v>
      </c>
      <c r="D74" s="23">
        <f>'Total and digestible IAA'!AI74/$D$2</f>
        <v>0.80747748774649486</v>
      </c>
      <c r="E74" s="23">
        <f>'Total and digestible IAA'!AJ74/$E$2</f>
        <v>0.91232332155477036</v>
      </c>
      <c r="F74" s="23">
        <f>'Total and digestible IAA'!AK74/$F$2</f>
        <v>0.78654031480886588</v>
      </c>
      <c r="G74" s="23">
        <f>'Total and digestible IAA'!AL74/$G$2</f>
        <v>0.76399479263529857</v>
      </c>
      <c r="H74" s="23">
        <f>'Total and digestible IAA'!AM74/$H$2</f>
        <v>0.6988614055751865</v>
      </c>
      <c r="I74" s="23">
        <f>'Total and digestible IAA'!AN74/$I$2</f>
        <v>1.0399565099211743</v>
      </c>
      <c r="J74" s="23">
        <f>'Total and digestible IAA'!AO74/$J$2</f>
        <v>0.97953817076177185</v>
      </c>
      <c r="K74" s="23">
        <f>'Total and digestible IAA'!AP74/$K$2</f>
        <v>1.0118374558303889</v>
      </c>
      <c r="L74" s="24">
        <f t="shared" si="1"/>
        <v>69.886140557518644</v>
      </c>
      <c r="M74" s="14" t="s">
        <v>355</v>
      </c>
    </row>
    <row r="75" spans="1:14" s="4" customFormat="1" x14ac:dyDescent="0.25">
      <c r="A75" s="4" t="s">
        <v>311</v>
      </c>
      <c r="B75" s="4" t="s">
        <v>298</v>
      </c>
      <c r="C75" s="23">
        <f>'Total and digestible IAA'!AH75/$C$2</f>
        <v>1.0235294117647058</v>
      </c>
      <c r="D75" s="23">
        <f>'Total and digestible IAA'!AI75/$D$2</f>
        <v>0.7910557184750735</v>
      </c>
      <c r="E75" s="23">
        <f>'Total and digestible IAA'!AJ75/$E$2</f>
        <v>0.76732954545454546</v>
      </c>
      <c r="F75" s="23">
        <f>'Total and digestible IAA'!AK75/$F$2</f>
        <v>0.68181818181818166</v>
      </c>
      <c r="G75" s="23">
        <f>'Total and digestible IAA'!AL75/$G$2</f>
        <v>0.53078149920255191</v>
      </c>
      <c r="H75" s="23">
        <f>'Total and digestible IAA'!AM75/$H$2</f>
        <v>0.82390572390572392</v>
      </c>
      <c r="I75" s="23">
        <f>'Total and digestible IAA'!AN75/$I$2</f>
        <v>1.2402972027972028</v>
      </c>
      <c r="J75" s="23">
        <f>'Total and digestible IAA'!AO75/$J$2</f>
        <v>0.65856236786469335</v>
      </c>
      <c r="K75" s="23">
        <f>'Total and digestible IAA'!AP75/$K$2</f>
        <v>1.3418181818181814</v>
      </c>
      <c r="L75" s="24">
        <f t="shared" si="1"/>
        <v>53.078149920255193</v>
      </c>
      <c r="M75" s="14" t="s">
        <v>8</v>
      </c>
    </row>
    <row r="76" spans="1:14" s="4" customFormat="1" x14ac:dyDescent="0.25">
      <c r="A76" s="4" t="s">
        <v>312</v>
      </c>
      <c r="B76" s="4" t="s">
        <v>298</v>
      </c>
      <c r="C76" s="23">
        <f>'Total and digestible IAA'!AH76/$C$2</f>
        <v>1.0235294117647058</v>
      </c>
      <c r="D76" s="23">
        <f>'Total and digestible IAA'!AI76/$D$2</f>
        <v>0.7910557184750735</v>
      </c>
      <c r="E76" s="23">
        <f>'Total and digestible IAA'!AJ76/$E$2</f>
        <v>0.76732954545454546</v>
      </c>
      <c r="F76" s="23">
        <f>'Total and digestible IAA'!AK76/$F$2</f>
        <v>0.68181818181818166</v>
      </c>
      <c r="G76" s="23">
        <f>'Total and digestible IAA'!AL76/$G$2</f>
        <v>0.53078149920255191</v>
      </c>
      <c r="H76" s="23">
        <f>'Total and digestible IAA'!AM76/$H$2</f>
        <v>0.82390572390572392</v>
      </c>
      <c r="I76" s="23">
        <f>'Total and digestible IAA'!AN76/$I$2</f>
        <v>1.2402972027972028</v>
      </c>
      <c r="J76" s="23">
        <f>'Total and digestible IAA'!AO76/$J$2</f>
        <v>0.65856236786469335</v>
      </c>
      <c r="K76" s="23">
        <f>'Total and digestible IAA'!AP76/$K$2</f>
        <v>1.3418181818181814</v>
      </c>
      <c r="L76" s="24">
        <f t="shared" si="1"/>
        <v>53.078149920255193</v>
      </c>
      <c r="M76" s="14" t="s">
        <v>8</v>
      </c>
    </row>
    <row r="77" spans="1:14" s="4" customFormat="1" x14ac:dyDescent="0.25">
      <c r="A77" s="4" t="s">
        <v>313</v>
      </c>
      <c r="B77" s="4" t="s">
        <v>298</v>
      </c>
      <c r="C77" s="23">
        <f>'Total and digestible IAA'!AH77/$C$2</f>
        <v>1.0804705882352941</v>
      </c>
      <c r="D77" s="23">
        <f>'Total and digestible IAA'!AI77/$D$2</f>
        <v>0.99290322580645163</v>
      </c>
      <c r="E77" s="23">
        <f>'Total and digestible IAA'!AJ77/$E$2</f>
        <v>1.05</v>
      </c>
      <c r="F77" s="23">
        <f>'Total and digestible IAA'!AK77/$F$2</f>
        <v>0.96945454545454546</v>
      </c>
      <c r="G77" s="23">
        <f>'Total and digestible IAA'!AL77/$G$2</f>
        <v>0.93796491228070178</v>
      </c>
      <c r="H77" s="23">
        <f>'Total and digestible IAA'!AM77/$H$2</f>
        <v>0.80325925925925923</v>
      </c>
      <c r="I77" s="23">
        <f>'Total and digestible IAA'!AN77/$I$2</f>
        <v>1.3966923076923077</v>
      </c>
      <c r="J77" s="23">
        <f>'Total and digestible IAA'!AO77/$J$2</f>
        <v>0.90334883720930215</v>
      </c>
      <c r="K77" s="23">
        <f>'Total and digestible IAA'!AP77/$K$2</f>
        <v>1.3939999999999997</v>
      </c>
      <c r="L77" s="24">
        <f t="shared" si="1"/>
        <v>80.32592592592593</v>
      </c>
      <c r="M77" s="14" t="s">
        <v>355</v>
      </c>
    </row>
    <row r="78" spans="1:14" s="4" customFormat="1" x14ac:dyDescent="0.25">
      <c r="A78" s="4" t="s">
        <v>338</v>
      </c>
      <c r="B78" s="4" t="s">
        <v>298</v>
      </c>
      <c r="C78" s="23">
        <f>'Total and digestible IAA'!AH78/$C$2</f>
        <v>0.66999002991026912</v>
      </c>
      <c r="D78" s="23">
        <f>'Total and digestible IAA'!AI78/$D$2</f>
        <v>0.91853471842536916</v>
      </c>
      <c r="E78" s="23">
        <f>'Total and digestible IAA'!AJ78/$E$2</f>
        <v>1.0423728813559323</v>
      </c>
      <c r="F78" s="23">
        <f>'Total and digestible IAA'!AK78/$F$2</f>
        <v>0.96640986132511553</v>
      </c>
      <c r="G78" s="23">
        <f>'Total and digestible IAA'!AL78/$G$2</f>
        <v>0.97056199821587863</v>
      </c>
      <c r="H78" s="23">
        <f>'Total and digestible IAA'!AM78/$H$2</f>
        <v>0.55003138731952295</v>
      </c>
      <c r="I78" s="23">
        <f>'Total and digestible IAA'!AN78/$I$2</f>
        <v>1.1672750977835724</v>
      </c>
      <c r="J78" s="23">
        <f>'Total and digestible IAA'!AO78/$J$2</f>
        <v>0.82830114308238079</v>
      </c>
      <c r="K78" s="23">
        <f>'Total and digestible IAA'!AP78/$K$2</f>
        <v>1.0805084745762712</v>
      </c>
      <c r="L78" s="24">
        <f t="shared" si="1"/>
        <v>55.003138731952298</v>
      </c>
      <c r="M78" s="14" t="s">
        <v>355</v>
      </c>
    </row>
    <row r="79" spans="1:14" s="4" customFormat="1" x14ac:dyDescent="0.25">
      <c r="A79" s="4" t="s">
        <v>340</v>
      </c>
      <c r="B79" s="4" t="s">
        <v>298</v>
      </c>
      <c r="C79" s="23">
        <f>'Total and digestible IAA'!AH79/$C$2</f>
        <v>0.67956131605184444</v>
      </c>
      <c r="D79" s="23">
        <f>'Total and digestible IAA'!AI79/$D$2</f>
        <v>0.93001640240568639</v>
      </c>
      <c r="E79" s="23">
        <f>'Total and digestible IAA'!AJ79/$E$2</f>
        <v>1.0423728813559323</v>
      </c>
      <c r="F79" s="23">
        <f>'Total and digestible IAA'!AK79/$F$2</f>
        <v>0.97791474062660499</v>
      </c>
      <c r="G79" s="23">
        <f>'Total and digestible IAA'!AL79/$G$2</f>
        <v>0.99339875111507592</v>
      </c>
      <c r="H79" s="23">
        <f>'Total and digestible IAA'!AM79/$H$2</f>
        <v>0.56986817325800387</v>
      </c>
      <c r="I79" s="23">
        <f>'Total and digestible IAA'!AN79/$I$2</f>
        <v>1.1753585397653195</v>
      </c>
      <c r="J79" s="23">
        <f>'Total and digestible IAA'!AO79/$J$2</f>
        <v>0.84927079227433999</v>
      </c>
      <c r="K79" s="23">
        <f>'Total and digestible IAA'!AP79/$K$2</f>
        <v>1.0805084745762712</v>
      </c>
      <c r="L79" s="24">
        <f t="shared" si="1"/>
        <v>56.986817325800388</v>
      </c>
      <c r="M79" s="14" t="s">
        <v>355</v>
      </c>
    </row>
    <row r="80" spans="1:14" s="4" customFormat="1" x14ac:dyDescent="0.25">
      <c r="A80" s="4" t="s">
        <v>54</v>
      </c>
      <c r="B80" s="4" t="s">
        <v>298</v>
      </c>
      <c r="C80" s="23">
        <f>'Total and digestible IAA'!AH80/$C$2</f>
        <v>0.7376584074144128</v>
      </c>
      <c r="D80" s="23">
        <f>'Total and digestible IAA'!AI80/$D$2</f>
        <v>0.96711959340317388</v>
      </c>
      <c r="E80" s="23">
        <f>'Total and digestible IAA'!AJ80/$E$2</f>
        <v>1.0635048231511255</v>
      </c>
      <c r="F80" s="23">
        <f>'Total and digestible IAA'!AK80/$F$2</f>
        <v>1.0002923121894185</v>
      </c>
      <c r="G80" s="23">
        <f>'Total and digestible IAA'!AL80/$G$2</f>
        <v>1.0041180120719806</v>
      </c>
      <c r="H80" s="23">
        <f>'Total and digestible IAA'!AM80/$H$2</f>
        <v>0.59211623198761476</v>
      </c>
      <c r="I80" s="23">
        <f>'Total and digestible IAA'!AN80/$I$2</f>
        <v>1.2197007172891419</v>
      </c>
      <c r="J80" s="23">
        <f>'Total and digestible IAA'!AO80/$J$2</f>
        <v>0.87512151349734535</v>
      </c>
      <c r="K80" s="23">
        <f>'Total and digestible IAA'!AP80/$K$2</f>
        <v>1.1303858520900323</v>
      </c>
      <c r="L80" s="24">
        <f t="shared" si="1"/>
        <v>59.211623198761473</v>
      </c>
      <c r="M80" s="14" t="s">
        <v>355</v>
      </c>
    </row>
    <row r="81" spans="1:14" s="4" customFormat="1" x14ac:dyDescent="0.25">
      <c r="A81" s="4" t="s">
        <v>268</v>
      </c>
      <c r="B81" s="4" t="s">
        <v>298</v>
      </c>
      <c r="C81" s="23">
        <f>'Total and digestible IAA'!AH81/$C$2</f>
        <v>0.98485231002272144</v>
      </c>
      <c r="D81" s="23">
        <f>'Total and digestible IAA'!AI81/$D$2</f>
        <v>0.66736812958604452</v>
      </c>
      <c r="E81" s="23">
        <f>'Total and digestible IAA'!AJ81/$E$2</f>
        <v>1.010568669527897</v>
      </c>
      <c r="F81" s="23">
        <f>'Total and digestible IAA'!AK81/$F$2</f>
        <v>0.92229808817791659</v>
      </c>
      <c r="G81" s="23">
        <f>'Total and digestible IAA'!AL81/$G$2</f>
        <v>0.2929184549356223</v>
      </c>
      <c r="H81" s="23">
        <f>'Total and digestible IAA'!AM81/$H$2</f>
        <v>0.67542521061834371</v>
      </c>
      <c r="I81" s="23">
        <f>'Total and digestible IAA'!AN81/$I$2</f>
        <v>1.6088230439088809</v>
      </c>
      <c r="J81" s="23">
        <f>'Total and digestible IAA'!AO81/$J$2</f>
        <v>0.89829324283860668</v>
      </c>
      <c r="K81" s="23">
        <f>'Total and digestible IAA'!AP81/$K$2</f>
        <v>0.99309012875536506</v>
      </c>
      <c r="L81" s="24">
        <f t="shared" si="1"/>
        <v>29.291845493562228</v>
      </c>
      <c r="M81" s="14" t="s">
        <v>8</v>
      </c>
    </row>
    <row r="82" spans="1:14" s="4" customFormat="1" x14ac:dyDescent="0.25">
      <c r="A82" s="4" t="s">
        <v>248</v>
      </c>
      <c r="B82" s="4" t="s">
        <v>298</v>
      </c>
      <c r="C82" s="23">
        <f>'Total and digestible IAA'!AH82/$C$2</f>
        <v>0.87449483610237988</v>
      </c>
      <c r="D82" s="23">
        <f>'Total and digestible IAA'!AI82/$D$2</f>
        <v>0.92767791184437332</v>
      </c>
      <c r="E82" s="23">
        <f>'Total and digestible IAA'!AJ82/$E$2</f>
        <v>1.0292461832061068</v>
      </c>
      <c r="F82" s="23">
        <f>'Total and digestible IAA'!AK82/$F$2</f>
        <v>1.0105193152903076</v>
      </c>
      <c r="G82" s="23">
        <f>'Total and digestible IAA'!AL82/$G$2</f>
        <v>0.94045801526717554</v>
      </c>
      <c r="H82" s="23">
        <f>'Total and digestible IAA'!AM82/$H$2</f>
        <v>0.63025162567147297</v>
      </c>
      <c r="I82" s="23">
        <f>'Total and digestible IAA'!AN82/$I$2</f>
        <v>1.0570023487962421</v>
      </c>
      <c r="J82" s="23">
        <f>'Total and digestible IAA'!AO82/$J$2</f>
        <v>0.88651695366589756</v>
      </c>
      <c r="K82" s="23">
        <f>'Total and digestible IAA'!AP82/$K$2</f>
        <v>0.97041984732824427</v>
      </c>
      <c r="L82" s="24">
        <f t="shared" si="1"/>
        <v>63.025162567147298</v>
      </c>
      <c r="M82" s="14" t="s">
        <v>355</v>
      </c>
    </row>
    <row r="83" spans="1:14" s="4" customFormat="1" x14ac:dyDescent="0.25">
      <c r="A83" s="4" t="s">
        <v>314</v>
      </c>
      <c r="B83" s="4" t="s">
        <v>298</v>
      </c>
      <c r="C83" s="23">
        <f>'Total and digestible IAA'!AH83/$C$2</f>
        <v>0.65775401069518713</v>
      </c>
      <c r="D83" s="23">
        <f>'Total and digestible IAA'!AI83/$D$2</f>
        <v>0.91055718475073311</v>
      </c>
      <c r="E83" s="23">
        <f>'Total and digestible IAA'!AJ83/$E$2</f>
        <v>1.0340909090909092</v>
      </c>
      <c r="F83" s="23">
        <f>'Total and digestible IAA'!AK83/$F$2</f>
        <v>0.88349403122130388</v>
      </c>
      <c r="G83" s="23">
        <f>'Total and digestible IAA'!AL83/$G$2</f>
        <v>0.88277511961722488</v>
      </c>
      <c r="H83" s="23">
        <f>'Total and digestible IAA'!AM83/$H$2</f>
        <v>0.61251402918069586</v>
      </c>
      <c r="I83" s="23">
        <f>'Total and digestible IAA'!AN83/$I$2</f>
        <v>1.1600378787878789</v>
      </c>
      <c r="J83" s="23">
        <f>'Total and digestible IAA'!AO83/$J$2</f>
        <v>0.80426356589147274</v>
      </c>
      <c r="K83" s="23">
        <f>'Total and digestible IAA'!AP83/$K$2</f>
        <v>1.0098484848484848</v>
      </c>
      <c r="L83" s="24">
        <f t="shared" si="1"/>
        <v>61.251402918069587</v>
      </c>
      <c r="M83" s="14" t="s">
        <v>355</v>
      </c>
    </row>
    <row r="84" spans="1:14" s="4" customFormat="1" x14ac:dyDescent="0.25">
      <c r="A84" s="4" t="s">
        <v>315</v>
      </c>
      <c r="B84" s="4" t="s">
        <v>298</v>
      </c>
      <c r="C84" s="23">
        <f>'Total and digestible IAA'!AH84/$C$2</f>
        <v>0.5761371755179806</v>
      </c>
      <c r="D84" s="23">
        <f>'Total and digestible IAA'!AI84/$D$2</f>
        <v>0.89761003003787387</v>
      </c>
      <c r="E84" s="23">
        <f>'Total and digestible IAA'!AJ84/$E$2</f>
        <v>1.0728997975708503</v>
      </c>
      <c r="F84" s="23">
        <f>'Total and digestible IAA'!AK84/$F$2</f>
        <v>0.8529014844804319</v>
      </c>
      <c r="G84" s="23">
        <f>'Total and digestible IAA'!AL84/$G$2</f>
        <v>0.97322253000923375</v>
      </c>
      <c r="H84" s="23">
        <f>'Total and digestible IAA'!AM84/$H$2</f>
        <v>0.49491677912730547</v>
      </c>
      <c r="I84" s="23">
        <f>'Total and digestible IAA'!AN84/$I$2</f>
        <v>1.1971192774836501</v>
      </c>
      <c r="J84" s="23">
        <f>'Total and digestible IAA'!AO84/$J$2</f>
        <v>0.87336409001035664</v>
      </c>
      <c r="K84" s="23">
        <f>'Total and digestible IAA'!AP84/$K$2</f>
        <v>0.95188259109311735</v>
      </c>
      <c r="L84" s="24">
        <f t="shared" si="1"/>
        <v>49.491677912730545</v>
      </c>
      <c r="M84" s="14" t="s">
        <v>355</v>
      </c>
    </row>
    <row r="85" spans="1:14" s="4" customFormat="1" x14ac:dyDescent="0.25">
      <c r="A85" s="4" t="s">
        <v>316</v>
      </c>
      <c r="B85" s="4" t="s">
        <v>298</v>
      </c>
      <c r="C85" s="23">
        <f>'Total and digestible IAA'!AH85/$C$2</f>
        <v>0.63035584604212058</v>
      </c>
      <c r="D85" s="23">
        <f>'Total and digestible IAA'!AI85/$D$2</f>
        <v>0.9761051373954599</v>
      </c>
      <c r="E85" s="23">
        <f>'Total and digestible IAA'!AJ85/$E$2</f>
        <v>1.1806327160493828</v>
      </c>
      <c r="F85" s="23">
        <f>'Total and digestible IAA'!AK85/$F$2</f>
        <v>0.95253772290809335</v>
      </c>
      <c r="G85" s="23">
        <f>'Total and digestible IAA'!AL85/$G$2</f>
        <v>1.0273554256010398</v>
      </c>
      <c r="H85" s="23">
        <f>'Total and digestible IAA'!AM85/$H$2</f>
        <v>0.58972717573540612</v>
      </c>
      <c r="I85" s="23">
        <f>'Total and digestible IAA'!AN85/$I$2</f>
        <v>1.3074232352010129</v>
      </c>
      <c r="J85" s="23">
        <f>'Total and digestible IAA'!AO85/$J$2</f>
        <v>0.96689635371805904</v>
      </c>
      <c r="K85" s="23">
        <f>'Total and digestible IAA'!AP85/$K$2</f>
        <v>1.0464609053497942</v>
      </c>
      <c r="L85" s="24">
        <f t="shared" si="1"/>
        <v>58.972717573540614</v>
      </c>
      <c r="M85" s="14" t="s">
        <v>355</v>
      </c>
    </row>
    <row r="86" spans="1:14" s="4" customFormat="1" x14ac:dyDescent="0.25">
      <c r="A86" s="4" t="s">
        <v>317</v>
      </c>
      <c r="B86" s="4" t="s">
        <v>298</v>
      </c>
      <c r="C86" s="23">
        <f>'Total and digestible IAA'!AH86/$C$2</f>
        <v>0.6914175506268081</v>
      </c>
      <c r="D86" s="23">
        <f>'Total and digestible IAA'!AI86/$D$2</f>
        <v>0.99939185616076154</v>
      </c>
      <c r="E86" s="23">
        <f>'Total and digestible IAA'!AJ86/$E$2</f>
        <v>1.2004610655737702</v>
      </c>
      <c r="F86" s="23">
        <f>'Total and digestible IAA'!AK86/$F$2</f>
        <v>0.9529806259314455</v>
      </c>
      <c r="G86" s="23">
        <f>'Total and digestible IAA'!AL86/$G$2</f>
        <v>1.0491371872303712</v>
      </c>
      <c r="H86" s="23">
        <f>'Total and digestible IAA'!AM86/$H$2</f>
        <v>0.5381299332119005</v>
      </c>
      <c r="I86" s="23">
        <f>'Total and digestible IAA'!AN86/$I$2</f>
        <v>1.3419136191677175</v>
      </c>
      <c r="J86" s="23">
        <f>'Total and digestible IAA'!AO86/$J$2</f>
        <v>0.98675181090354558</v>
      </c>
      <c r="K86" s="23">
        <f>'Total and digestible IAA'!AP86/$K$2</f>
        <v>1.0518442622950821</v>
      </c>
      <c r="L86" s="24">
        <f t="shared" si="1"/>
        <v>53.812993321190049</v>
      </c>
      <c r="M86" s="14" t="s">
        <v>355</v>
      </c>
    </row>
    <row r="87" spans="1:14" s="4" customFormat="1" x14ac:dyDescent="0.25">
      <c r="A87" s="4" t="s">
        <v>318</v>
      </c>
      <c r="B87" s="4" t="s">
        <v>298</v>
      </c>
      <c r="C87" s="23">
        <f>'Total and digestible IAA'!AH87/$C$2</f>
        <v>1.5895424836601306</v>
      </c>
      <c r="D87" s="23">
        <f>'Total and digestible IAA'!AI87/$D$2</f>
        <v>1.0752688172043012</v>
      </c>
      <c r="E87" s="23">
        <f>'Total and digestible IAA'!AJ87/$E$2</f>
        <v>1.1888888888888889</v>
      </c>
      <c r="F87" s="23">
        <f>'Total and digestible IAA'!AK87/$F$2</f>
        <v>0.78962962962962957</v>
      </c>
      <c r="G87" s="23">
        <f>'Total and digestible IAA'!AL87/$G$2</f>
        <v>0.51461988304093575</v>
      </c>
      <c r="H87" s="23">
        <f>'Total and digestible IAA'!AM87/$H$2</f>
        <v>1.1298765432098767</v>
      </c>
      <c r="I87" s="23">
        <f>'Total and digestible IAA'!AN87/$I$2</f>
        <v>1.2874358974358975</v>
      </c>
      <c r="J87" s="23">
        <f>'Total and digestible IAA'!AO87/$J$2</f>
        <v>0.95131782945736432</v>
      </c>
      <c r="K87" s="23">
        <f>'Total and digestible IAA'!AP87/$K$2</f>
        <v>0.93600000000000017</v>
      </c>
      <c r="L87" s="24">
        <f t="shared" si="1"/>
        <v>51.461988304093573</v>
      </c>
      <c r="M87" s="14" t="s">
        <v>8</v>
      </c>
    </row>
    <row r="88" spans="1:14" s="4" customFormat="1" x14ac:dyDescent="0.25">
      <c r="A88" s="4" t="s">
        <v>319</v>
      </c>
      <c r="B88" s="4" t="s">
        <v>298</v>
      </c>
      <c r="C88" s="23">
        <f>'Total and digestible IAA'!AH88/$C$2</f>
        <v>1.5895424836601306</v>
      </c>
      <c r="D88" s="23">
        <f>'Total and digestible IAA'!AI88/$D$2</f>
        <v>1.0752688172043012</v>
      </c>
      <c r="E88" s="23">
        <f>'Total and digestible IAA'!AJ88/$E$2</f>
        <v>1.1888888888888889</v>
      </c>
      <c r="F88" s="23">
        <f>'Total and digestible IAA'!AK88/$F$2</f>
        <v>0.78962962962962957</v>
      </c>
      <c r="G88" s="23">
        <f>'Total and digestible IAA'!AL88/$G$2</f>
        <v>0.51461988304093575</v>
      </c>
      <c r="H88" s="23">
        <f>'Total and digestible IAA'!AM88/$H$2</f>
        <v>1.1298765432098767</v>
      </c>
      <c r="I88" s="23">
        <f>'Total and digestible IAA'!AN88/$I$2</f>
        <v>1.2874358974358975</v>
      </c>
      <c r="J88" s="23">
        <f>'Total and digestible IAA'!AO88/$J$2</f>
        <v>0.95131782945736432</v>
      </c>
      <c r="K88" s="23">
        <f>'Total and digestible IAA'!AP88/$K$2</f>
        <v>0.93600000000000017</v>
      </c>
      <c r="L88" s="24">
        <f t="shared" si="1"/>
        <v>51.461988304093573</v>
      </c>
      <c r="M88" s="14" t="s">
        <v>8</v>
      </c>
    </row>
    <row r="89" spans="1:14" s="4" customFormat="1" x14ac:dyDescent="0.25">
      <c r="A89" s="4" t="s">
        <v>320</v>
      </c>
      <c r="B89" s="4" t="s">
        <v>298</v>
      </c>
      <c r="C89" s="23">
        <f>'Total and digestible IAA'!AH89/$C$2</f>
        <v>0.68009185656244486</v>
      </c>
      <c r="D89" s="23">
        <f>'Total and digestible IAA'!AI89/$D$2</f>
        <v>1.0532790855371501</v>
      </c>
      <c r="E89" s="23">
        <f>'Total and digestible IAA'!AJ89/$E$2</f>
        <v>1.28003003003003</v>
      </c>
      <c r="F89" s="23">
        <f>'Total and digestible IAA'!AK89/$F$2</f>
        <v>0.98898898898898902</v>
      </c>
      <c r="G89" s="23">
        <f>'Total and digestible IAA'!AL89/$G$2</f>
        <v>0.77003319108582258</v>
      </c>
      <c r="H89" s="23">
        <f>'Total and digestible IAA'!AM89/$H$2</f>
        <v>0.85129574018462917</v>
      </c>
      <c r="I89" s="23">
        <f>'Total and digestible IAA'!AN89/$I$2</f>
        <v>1.4636174636174637</v>
      </c>
      <c r="J89" s="23">
        <f>'Total and digestible IAA'!AO89/$J$2</f>
        <v>0.87408338571129263</v>
      </c>
      <c r="K89" s="23">
        <f>'Total and digestible IAA'!AP89/$K$2</f>
        <v>1.0360360360360361</v>
      </c>
      <c r="L89" s="24">
        <f t="shared" si="1"/>
        <v>68.009185656244483</v>
      </c>
      <c r="M89" s="14" t="s">
        <v>6</v>
      </c>
    </row>
    <row r="90" spans="1:14" s="4" customFormat="1" x14ac:dyDescent="0.25">
      <c r="A90" s="4" t="s">
        <v>321</v>
      </c>
      <c r="B90" s="4" t="s">
        <v>298</v>
      </c>
      <c r="C90" s="23">
        <f>'Total and digestible IAA'!AH90/$C$2</f>
        <v>0.62786377708978325</v>
      </c>
      <c r="D90" s="23">
        <f>'Total and digestible IAA'!AI90/$D$2</f>
        <v>0.93361629881154495</v>
      </c>
      <c r="E90" s="23">
        <f>'Total and digestible IAA'!AJ90/$E$2</f>
        <v>1.2592105263157896</v>
      </c>
      <c r="F90" s="23">
        <f>'Total and digestible IAA'!AK90/$F$2</f>
        <v>0.94641148325358859</v>
      </c>
      <c r="G90" s="23">
        <f>'Total and digestible IAA'!AL90/$G$2</f>
        <v>0.70036934441366572</v>
      </c>
      <c r="H90" s="23">
        <f>'Total and digestible IAA'!AM90/$H$2</f>
        <v>0.68888888888888899</v>
      </c>
      <c r="I90" s="23">
        <f>'Total and digestible IAA'!AN90/$I$2</f>
        <v>1.4413461538461538</v>
      </c>
      <c r="J90" s="23">
        <f>'Total and digestible IAA'!AO90/$J$2</f>
        <v>0.74271725826193391</v>
      </c>
      <c r="K90" s="23">
        <f>'Total and digestible IAA'!AP90/$K$2</f>
        <v>0.93921052631578961</v>
      </c>
      <c r="L90" s="24">
        <f t="shared" si="1"/>
        <v>62.786377708978321</v>
      </c>
      <c r="M90" s="14" t="s">
        <v>6</v>
      </c>
    </row>
    <row r="91" spans="1:14" s="4" customFormat="1" x14ac:dyDescent="0.25">
      <c r="A91" s="4" t="s">
        <v>322</v>
      </c>
      <c r="B91" s="4" t="s">
        <v>298</v>
      </c>
      <c r="C91" s="23">
        <f>'Total and digestible IAA'!AH91/$C$2</f>
        <v>0.62786377708978325</v>
      </c>
      <c r="D91" s="23">
        <f>'Total and digestible IAA'!AI91/$D$2</f>
        <v>0.93361629881154495</v>
      </c>
      <c r="E91" s="23">
        <f>'Total and digestible IAA'!AJ91/$E$2</f>
        <v>1.2592105263157896</v>
      </c>
      <c r="F91" s="23">
        <f>'Total and digestible IAA'!AK91/$F$2</f>
        <v>0.94641148325358859</v>
      </c>
      <c r="G91" s="23">
        <f>'Total and digestible IAA'!AL91/$G$2</f>
        <v>0.70036934441366572</v>
      </c>
      <c r="H91" s="23">
        <f>'Total and digestible IAA'!AM91/$H$2</f>
        <v>0.68888888888888899</v>
      </c>
      <c r="I91" s="23">
        <f>'Total and digestible IAA'!AN91/$I$2</f>
        <v>1.4413461538461538</v>
      </c>
      <c r="J91" s="23">
        <f>'Total and digestible IAA'!AO91/$J$2</f>
        <v>0.74271725826193391</v>
      </c>
      <c r="K91" s="23">
        <f>'Total and digestible IAA'!AP91/$K$2</f>
        <v>0.93921052631578961</v>
      </c>
      <c r="L91" s="24">
        <f t="shared" si="1"/>
        <v>62.786377708978321</v>
      </c>
      <c r="M91" s="14" t="s">
        <v>6</v>
      </c>
    </row>
    <row r="92" spans="1:14" x14ac:dyDescent="0.25">
      <c r="A92" s="5" t="s">
        <v>323</v>
      </c>
      <c r="B92" s="4" t="s">
        <v>298</v>
      </c>
      <c r="C92" s="23"/>
      <c r="D92" s="23">
        <f>'Total and digestible IAA'!AI92/$D$2</f>
        <v>0.70362418190754583</v>
      </c>
      <c r="E92" s="23">
        <f>'Total and digestible IAA'!AJ92/$E$2</f>
        <v>0.99726844426623895</v>
      </c>
      <c r="F92" s="23">
        <f>'Total and digestible IAA'!AK92/$F$2</f>
        <v>0.71763140628417288</v>
      </c>
      <c r="G92" s="23">
        <f>'Total and digestible IAA'!AL92/$G$2</f>
        <v>0.71350187819187105</v>
      </c>
      <c r="H92" s="23"/>
      <c r="I92" s="23"/>
      <c r="J92" s="23">
        <f>'Total and digestible IAA'!AO92/$J$2</f>
        <v>0.77130228828257585</v>
      </c>
      <c r="K92" s="23"/>
      <c r="L92" s="24">
        <f t="shared" si="1"/>
        <v>70.362418190754582</v>
      </c>
      <c r="M92" s="15" t="s">
        <v>527</v>
      </c>
      <c r="N92" s="5" t="s">
        <v>525</v>
      </c>
    </row>
    <row r="93" spans="1:14" x14ac:dyDescent="0.25">
      <c r="A93" s="5" t="s">
        <v>324</v>
      </c>
      <c r="B93" s="4" t="s">
        <v>298</v>
      </c>
      <c r="C93" s="23"/>
      <c r="D93" s="23">
        <f>'Total and digestible IAA'!AI93/$D$2</f>
        <v>0.90801901905750582</v>
      </c>
      <c r="E93" s="23">
        <f>'Total and digestible IAA'!AJ93/$E$2</f>
        <v>1.0601286253476361</v>
      </c>
      <c r="F93" s="23">
        <f>'Total and digestible IAA'!AK93/$F$2</f>
        <v>0.82674179217683397</v>
      </c>
      <c r="G93" s="23">
        <f>'Total and digestible IAA'!AL93/$G$2</f>
        <v>0.71147077068913855</v>
      </c>
      <c r="H93" s="23"/>
      <c r="I93" s="23"/>
      <c r="J93" s="23">
        <f>'Total and digestible IAA'!AO93/$J$2</f>
        <v>0.91655810257689596</v>
      </c>
      <c r="K93" s="23"/>
      <c r="L93" s="24">
        <f t="shared" si="1"/>
        <v>71.147077068913859</v>
      </c>
      <c r="M93" s="15" t="s">
        <v>8</v>
      </c>
      <c r="N93" s="5" t="s">
        <v>525</v>
      </c>
    </row>
    <row r="94" spans="1:14" s="4" customFormat="1" x14ac:dyDescent="0.25">
      <c r="A94" s="4" t="s">
        <v>249</v>
      </c>
      <c r="B94" s="4" t="s">
        <v>298</v>
      </c>
      <c r="C94" s="23">
        <f>'Total and digestible IAA'!AH94/$C$2</f>
        <v>0.8892494929006084</v>
      </c>
      <c r="D94" s="23">
        <f>'Total and digestible IAA'!AI94/$D$2</f>
        <v>0.76035100729205285</v>
      </c>
      <c r="E94" s="23">
        <f>'Total and digestible IAA'!AJ94/$E$2</f>
        <v>1.0037116858237547</v>
      </c>
      <c r="F94" s="23">
        <f>'Total and digestible IAA'!AK94/$F$2</f>
        <v>0.98878439568094756</v>
      </c>
      <c r="G94" s="23">
        <f>'Total and digestible IAA'!AL94/$G$2</f>
        <v>0.95493042952208107</v>
      </c>
      <c r="H94" s="23">
        <f>'Total and digestible IAA'!AM94/$H$2</f>
        <v>0.85544203207038461</v>
      </c>
      <c r="I94" s="23">
        <f>'Total and digestible IAA'!AN94/$I$2</f>
        <v>1.1844385499557912</v>
      </c>
      <c r="J94" s="23">
        <f>'Total and digestible IAA'!AO94/$J$2</f>
        <v>0.87056936647955085</v>
      </c>
      <c r="K94" s="23">
        <f>'Total and digestible IAA'!AP94/$K$2</f>
        <v>1.0697701149425287</v>
      </c>
      <c r="L94" s="24">
        <f t="shared" si="1"/>
        <v>76.035100729205283</v>
      </c>
      <c r="M94" s="14" t="s">
        <v>527</v>
      </c>
    </row>
    <row r="95" spans="1:14" s="4" customFormat="1" x14ac:dyDescent="0.25">
      <c r="A95" s="4" t="s">
        <v>325</v>
      </c>
      <c r="B95" s="4" t="s">
        <v>298</v>
      </c>
      <c r="C95" s="23">
        <f>'Total and digestible IAA'!AH95/$C$2</f>
        <v>0.7371875788942186</v>
      </c>
      <c r="D95" s="23">
        <f>'Total and digestible IAA'!AI95/$D$2</f>
        <v>0.93645299736951404</v>
      </c>
      <c r="E95" s="23">
        <f>'Total and digestible IAA'!AJ95/$E$2</f>
        <v>1.0383583690987126</v>
      </c>
      <c r="F95" s="23">
        <f>'Total and digestible IAA'!AK95/$F$2</f>
        <v>0.86357133567433997</v>
      </c>
      <c r="G95" s="23">
        <f>'Total and digestible IAA'!AL95/$G$2</f>
        <v>1.0624199984940894</v>
      </c>
      <c r="H95" s="23">
        <f>'Total and digestible IAA'!AM95/$H$2</f>
        <v>0.65871880464155141</v>
      </c>
      <c r="I95" s="23">
        <f>'Total and digestible IAA'!AN95/$I$2</f>
        <v>1.2143446682073291</v>
      </c>
      <c r="J95" s="23">
        <f>'Total and digestible IAA'!AO95/$J$2</f>
        <v>0.84539375187144428</v>
      </c>
      <c r="K95" s="23">
        <f>'Total and digestible IAA'!AP95/$K$2</f>
        <v>1.0635193133047212</v>
      </c>
      <c r="L95" s="24">
        <f t="shared" si="1"/>
        <v>65.87188046415514</v>
      </c>
      <c r="M95" s="14" t="s">
        <v>355</v>
      </c>
    </row>
    <row r="96" spans="1:14" x14ac:dyDescent="0.25">
      <c r="A96" s="4" t="s">
        <v>325</v>
      </c>
      <c r="B96" s="4" t="s">
        <v>298</v>
      </c>
      <c r="C96" s="23">
        <f>'Total and digestible IAA'!AH96/$C$2</f>
        <v>0.71979136482179074</v>
      </c>
      <c r="D96" s="23">
        <f>'Total and digestible IAA'!AI96/$D$2</f>
        <v>0.8819323057365327</v>
      </c>
      <c r="E96" s="23">
        <f>'Total and digestible IAA'!AJ96/$E$2</f>
        <v>0.98383620689655182</v>
      </c>
      <c r="F96" s="23">
        <f>'Total and digestible IAA'!AK96/$F$2</f>
        <v>0.82758620689655171</v>
      </c>
      <c r="G96" s="23">
        <f>'Total and digestible IAA'!AL96/$G$2</f>
        <v>1.0080373347161007</v>
      </c>
      <c r="H96" s="23">
        <f>'Total and digestible IAA'!AM96/$H$2</f>
        <v>0.67141032658274036</v>
      </c>
      <c r="I96" s="23">
        <f>'Total and digestible IAA'!AN96/$I$2</f>
        <v>1.1790450928381964</v>
      </c>
      <c r="J96" s="23">
        <f>'Total and digestible IAA'!AO96/$J$2</f>
        <v>0.7884064612212166</v>
      </c>
      <c r="K96" s="23">
        <f>'Total and digestible IAA'!AP96/$K$2</f>
        <v>1.0174876847290641</v>
      </c>
      <c r="L96" s="24">
        <f t="shared" si="1"/>
        <v>67.141032658274042</v>
      </c>
      <c r="M96" s="14" t="s">
        <v>355</v>
      </c>
    </row>
    <row r="97" spans="1:14" s="4" customFormat="1" x14ac:dyDescent="0.25">
      <c r="A97" s="4" t="s">
        <v>326</v>
      </c>
      <c r="B97" s="4" t="s">
        <v>298</v>
      </c>
      <c r="C97" s="23">
        <f>'Total and digestible IAA'!AH97/$C$2</f>
        <v>0.89876293865185564</v>
      </c>
      <c r="D97" s="23">
        <f>'Total and digestible IAA'!AI97/$D$2</f>
        <v>1.1089574968849507</v>
      </c>
      <c r="E97" s="23">
        <f>'Total and digestible IAA'!AJ97/$E$2</f>
        <v>1.1960836909871246</v>
      </c>
      <c r="F97" s="23">
        <f>'Total and digestible IAA'!AK97/$F$2</f>
        <v>0.993107036025491</v>
      </c>
      <c r="G97" s="23">
        <f>'Total and digestible IAA'!AL97/$G$2</f>
        <v>1.1904224079512087</v>
      </c>
      <c r="H97" s="23">
        <f>'Total and digestible IAA'!AM97/$H$2</f>
        <v>0.76204101096804977</v>
      </c>
      <c r="I97" s="23">
        <f>'Total and digestible IAA'!AN97/$I$2</f>
        <v>1.4106965995378009</v>
      </c>
      <c r="J97" s="23">
        <f>'Total and digestible IAA'!AO97/$J$2</f>
        <v>0.97714342748777339</v>
      </c>
      <c r="K97" s="23">
        <f>'Total and digestible IAA'!AP97/$K$2</f>
        <v>1.190128755364807</v>
      </c>
      <c r="L97" s="24">
        <f t="shared" si="1"/>
        <v>76.204101096804976</v>
      </c>
      <c r="M97" s="14" t="s">
        <v>355</v>
      </c>
    </row>
    <row r="98" spans="1:14" x14ac:dyDescent="0.25">
      <c r="A98" s="5" t="s">
        <v>181</v>
      </c>
      <c r="B98" s="4" t="s">
        <v>298</v>
      </c>
      <c r="C98" s="23">
        <f>'Total and digestible IAA'!AH98/$C$2</f>
        <v>0.83491461100569264</v>
      </c>
      <c r="D98" s="23">
        <f>'Total and digestible IAA'!AI98/$D$2</f>
        <v>0.6613481327321078</v>
      </c>
      <c r="E98" s="23">
        <f>'Total and digestible IAA'!AJ98/$E$2</f>
        <v>1.0625</v>
      </c>
      <c r="F98" s="23">
        <f>'Total and digestible IAA'!AK98/$F$2</f>
        <v>0.95970457260779829</v>
      </c>
      <c r="G98" s="23">
        <f>'Total and digestible IAA'!AL98/$G$2</f>
        <v>1.0274790919952208</v>
      </c>
      <c r="H98" s="23">
        <f>'Total and digestible IAA'!AM98/$H$2</f>
        <v>0.56210451789902216</v>
      </c>
      <c r="I98" s="23">
        <f>'Total and digestible IAA'!AN98/$I$2</f>
        <v>1.282533774469258</v>
      </c>
      <c r="J98" s="23">
        <f>'Total and digestible IAA'!AO98/$J$2</f>
        <v>0.87338501291989656</v>
      </c>
      <c r="K98" s="23">
        <f>'Total and digestible IAA'!AP98/$K$2</f>
        <v>1.2100358422939068</v>
      </c>
      <c r="L98" s="24">
        <f t="shared" si="1"/>
        <v>56.210451789902216</v>
      </c>
      <c r="M98" s="14" t="s">
        <v>355</v>
      </c>
    </row>
    <row r="99" spans="1:14" s="4" customFormat="1" x14ac:dyDescent="0.25">
      <c r="A99" s="4" t="s">
        <v>247</v>
      </c>
      <c r="B99" s="4" t="s">
        <v>298</v>
      </c>
      <c r="C99" s="23">
        <f>'Total and digestible IAA'!AH99/$C$2</f>
        <v>3.5592614651578312</v>
      </c>
      <c r="D99" s="23">
        <f>'Total and digestible IAA'!AI99/$D$2</f>
        <v>1.1539126592249613</v>
      </c>
      <c r="E99" s="23">
        <f>'Total and digestible IAA'!AJ99/$E$2</f>
        <v>1.4085765336509828</v>
      </c>
      <c r="F99" s="23">
        <f>'Total and digestible IAA'!AK99/$F$2</f>
        <v>1.2280036818452542</v>
      </c>
      <c r="G99" s="23">
        <f>'Total and digestible IAA'!AL99/$G$2</f>
        <v>1.1577693489232312</v>
      </c>
      <c r="H99" s="23">
        <f>'Total and digestible IAA'!AM99/$H$2</f>
        <v>0.47259171023316354</v>
      </c>
      <c r="I99" s="23">
        <f>'Total and digestible IAA'!AN99/$I$2</f>
        <v>1.6514294222751635</v>
      </c>
      <c r="J99" s="23">
        <f>'Total and digestible IAA'!AO99/$J$2</f>
        <v>1.0635898998573345</v>
      </c>
      <c r="K99" s="23">
        <f>'Total and digestible IAA'!AP99/$K$2</f>
        <v>1.4488981536628947</v>
      </c>
      <c r="L99" s="24">
        <f t="shared" si="1"/>
        <v>47.259171023316355</v>
      </c>
      <c r="M99" s="14" t="s">
        <v>355</v>
      </c>
    </row>
    <row r="100" spans="1:14" s="4" customFormat="1" x14ac:dyDescent="0.25">
      <c r="A100" s="4" t="s">
        <v>252</v>
      </c>
      <c r="B100" s="4" t="s">
        <v>298</v>
      </c>
      <c r="C100" s="23">
        <f>'Total and digestible IAA'!AH100/$C$2</f>
        <v>0.8443476155894456</v>
      </c>
      <c r="D100" s="23">
        <f>'Total and digestible IAA'!AI100/$D$2</f>
        <v>0.8935483870967742</v>
      </c>
      <c r="E100" s="23">
        <f>'Total and digestible IAA'!AJ100/$E$2</f>
        <v>1.0231481481481481</v>
      </c>
      <c r="F100" s="23">
        <f>'Total and digestible IAA'!AK100/$F$2</f>
        <v>0.9857837635615414</v>
      </c>
      <c r="G100" s="23">
        <f>'Total and digestible IAA'!AL100/$G$2</f>
        <v>1.038047794383077</v>
      </c>
      <c r="H100" s="23">
        <f>'Total and digestible IAA'!AM100/$H$2</f>
        <v>1.0053497942386831</v>
      </c>
      <c r="I100" s="23">
        <f>'Total and digestible IAA'!AN100/$I$2</f>
        <v>0.82720797720797734</v>
      </c>
      <c r="J100" s="23">
        <f>'Total and digestible IAA'!AO100/$J$2</f>
        <v>0.81690113886496318</v>
      </c>
      <c r="K100" s="23">
        <f>'Total and digestible IAA'!AP100/$K$2</f>
        <v>1.1140740740740742</v>
      </c>
      <c r="L100" s="24">
        <f t="shared" si="1"/>
        <v>81.69011388649632</v>
      </c>
      <c r="M100" s="14" t="s">
        <v>535</v>
      </c>
    </row>
    <row r="101" spans="1:14" x14ac:dyDescent="0.25">
      <c r="A101" s="5" t="s">
        <v>327</v>
      </c>
      <c r="B101" s="4" t="s">
        <v>298</v>
      </c>
      <c r="C101" s="23"/>
      <c r="D101" s="23">
        <f>'Total and digestible IAA'!AI101/$D$2</f>
        <v>1.3759919717956504</v>
      </c>
      <c r="E101" s="23">
        <f>'Total and digestible IAA'!AJ101/$E$2</f>
        <v>1.0169361440851412</v>
      </c>
      <c r="F101" s="23">
        <f>'Total and digestible IAA'!AK101/$F$2</f>
        <v>0.70330815316488648</v>
      </c>
      <c r="G101" s="23">
        <f>'Total and digestible IAA'!AL101/$G$2</f>
        <v>0.7001529611995605</v>
      </c>
      <c r="H101" s="23"/>
      <c r="I101" s="23"/>
      <c r="J101" s="23">
        <f>'Total and digestible IAA'!AO101/$J$2</f>
        <v>0.80311092918542781</v>
      </c>
      <c r="K101" s="23"/>
      <c r="L101" s="24">
        <f t="shared" si="1"/>
        <v>70.015296119956048</v>
      </c>
      <c r="M101" s="15" t="s">
        <v>536</v>
      </c>
      <c r="N101" s="5" t="s">
        <v>525</v>
      </c>
    </row>
    <row r="102" spans="1:14" s="4" customFormat="1" x14ac:dyDescent="0.25">
      <c r="A102" s="4" t="s">
        <v>328</v>
      </c>
      <c r="B102" s="4" t="s">
        <v>298</v>
      </c>
      <c r="C102" s="23">
        <f>'Total and digestible IAA'!AH102/$C$2</f>
        <v>1.354981549815498</v>
      </c>
      <c r="D102" s="23">
        <f>'Total and digestible IAA'!AI102/$D$2</f>
        <v>0.76467087251517663</v>
      </c>
      <c r="E102" s="23">
        <f>'Total and digestible IAA'!AJ102/$E$2</f>
        <v>1.1060885608856088</v>
      </c>
      <c r="F102" s="23">
        <f>'Total and digestible IAA'!AK102/$F$2</f>
        <v>0.83640836408364083</v>
      </c>
      <c r="G102" s="23">
        <f>'Total and digestible IAA'!AL102/$G$2</f>
        <v>0.72320838997863668</v>
      </c>
      <c r="H102" s="23">
        <f>'Total and digestible IAA'!AM102/$H$2</f>
        <v>0.99251059177258438</v>
      </c>
      <c r="I102" s="23">
        <f>'Total and digestible IAA'!AN102/$I$2</f>
        <v>1.2738007380073801</v>
      </c>
      <c r="J102" s="23">
        <f>'Total and digestible IAA'!AO102/$J$2</f>
        <v>1.0849738264824509</v>
      </c>
      <c r="K102" s="23">
        <f>'Total and digestible IAA'!AP102/$K$2</f>
        <v>0.8683394833948338</v>
      </c>
      <c r="L102" s="24">
        <f t="shared" si="1"/>
        <v>72.320838997863675</v>
      </c>
      <c r="M102" s="14" t="s">
        <v>8</v>
      </c>
    </row>
    <row r="103" spans="1:14" s="4" customFormat="1" x14ac:dyDescent="0.25">
      <c r="A103" s="4" t="s">
        <v>329</v>
      </c>
      <c r="B103" s="4" t="s">
        <v>298</v>
      </c>
      <c r="C103" s="23">
        <f>'Total and digestible IAA'!AH103/$C$2</f>
        <v>1.0693695805015233</v>
      </c>
      <c r="D103" s="23">
        <f>'Total and digestible IAA'!AI103/$D$2</f>
        <v>0.74412029302146254</v>
      </c>
      <c r="E103" s="23">
        <f>'Total and digestible IAA'!AJ103/$E$2</f>
        <v>1.1001743027888449</v>
      </c>
      <c r="F103" s="23">
        <f>'Total and digestible IAA'!AK103/$F$2</f>
        <v>0.83292285403839184</v>
      </c>
      <c r="G103" s="23">
        <f>'Total and digestible IAA'!AL103/$G$2</f>
        <v>0.69427552946110294</v>
      </c>
      <c r="H103" s="23">
        <f>'Total and digestible IAA'!AM103/$H$2</f>
        <v>1.0005754758742806</v>
      </c>
      <c r="I103" s="23">
        <f>'Total and digestible IAA'!AN103/$I$2</f>
        <v>1.2437787312289308</v>
      </c>
      <c r="J103" s="23">
        <f>'Total and digestible IAA'!AO103/$J$2</f>
        <v>1.0768090428981749</v>
      </c>
      <c r="K103" s="23">
        <f>'Total and digestible IAA'!AP103/$K$2</f>
        <v>0.85195219123505983</v>
      </c>
      <c r="L103" s="24">
        <f t="shared" si="1"/>
        <v>69.427552946110296</v>
      </c>
      <c r="M103" s="14" t="s">
        <v>8</v>
      </c>
    </row>
    <row r="104" spans="1:14" s="4" customFormat="1" x14ac:dyDescent="0.25">
      <c r="A104" s="4" t="s">
        <v>330</v>
      </c>
      <c r="B104" s="4" t="s">
        <v>298</v>
      </c>
      <c r="C104" s="23">
        <f>'Total and digestible IAA'!AH104/$C$2</f>
        <v>1.1109160081943223</v>
      </c>
      <c r="D104" s="23">
        <f>'Total and digestible IAA'!AI104/$D$2</f>
        <v>1.0938854116514203</v>
      </c>
      <c r="E104" s="23">
        <f>'Total and digestible IAA'!AJ104/$E$2</f>
        <v>0.87748756218905488</v>
      </c>
      <c r="F104" s="23">
        <f>'Total and digestible IAA'!AK104/$F$2</f>
        <v>0.74393185587215438</v>
      </c>
      <c r="G104" s="23">
        <f>'Total and digestible IAA'!AL104/$G$2</f>
        <v>0.85100811730819592</v>
      </c>
      <c r="H104" s="23">
        <f>'Total and digestible IAA'!AM104/$H$2</f>
        <v>1.3937718813340705</v>
      </c>
      <c r="I104" s="23">
        <f>'Total and digestible IAA'!AN104/$I$2</f>
        <v>0.94833524684270942</v>
      </c>
      <c r="J104" s="23">
        <f>'Total and digestible IAA'!AO104/$J$2</f>
        <v>0.86659724632650703</v>
      </c>
      <c r="K104" s="23">
        <f>'Total and digestible IAA'!AP104/$K$2</f>
        <v>0.92611940298507456</v>
      </c>
      <c r="L104" s="24">
        <f t="shared" si="1"/>
        <v>74.393185587215442</v>
      </c>
      <c r="M104" s="14" t="s">
        <v>526</v>
      </c>
    </row>
    <row r="105" spans="1:14" s="4" customFormat="1" x14ac:dyDescent="0.25">
      <c r="A105" s="4" t="s">
        <v>331</v>
      </c>
      <c r="B105" s="4" t="s">
        <v>298</v>
      </c>
      <c r="C105" s="23">
        <f>'Total and digestible IAA'!AH105/$C$2</f>
        <v>1.1109160081943223</v>
      </c>
      <c r="D105" s="23">
        <f>'Total and digestible IAA'!AI105/$D$2</f>
        <v>1.0938854116514203</v>
      </c>
      <c r="E105" s="23">
        <f>'Total and digestible IAA'!AJ105/$E$2</f>
        <v>0.87748756218905488</v>
      </c>
      <c r="F105" s="23">
        <f>'Total and digestible IAA'!AK105/$F$2</f>
        <v>0.74393185587215438</v>
      </c>
      <c r="G105" s="23">
        <f>'Total and digestible IAA'!AL105/$G$2</f>
        <v>0.85100811730819592</v>
      </c>
      <c r="H105" s="23">
        <f>'Total and digestible IAA'!AM105/$H$2</f>
        <v>1.3937718813340705</v>
      </c>
      <c r="I105" s="23">
        <f>'Total and digestible IAA'!AN105/$I$2</f>
        <v>0.94833524684270942</v>
      </c>
      <c r="J105" s="23">
        <f>'Total and digestible IAA'!AO105/$J$2</f>
        <v>0.86659724632650703</v>
      </c>
      <c r="K105" s="23">
        <f>'Total and digestible IAA'!AP105/$K$2</f>
        <v>0.92611940298507456</v>
      </c>
      <c r="L105" s="24">
        <f t="shared" si="1"/>
        <v>74.393185587215442</v>
      </c>
      <c r="M105" s="14" t="s">
        <v>526</v>
      </c>
    </row>
    <row r="106" spans="1:14" s="4" customFormat="1" x14ac:dyDescent="0.25">
      <c r="A106" s="4" t="s">
        <v>332</v>
      </c>
      <c r="B106" s="4" t="s">
        <v>298</v>
      </c>
      <c r="C106" s="23">
        <f>'Total and digestible IAA'!AH106/$C$2</f>
        <v>1.1492537313432836</v>
      </c>
      <c r="D106" s="23">
        <f>'Total and digestible IAA'!AI106/$D$2</f>
        <v>1.0987000481463649</v>
      </c>
      <c r="E106" s="23">
        <f>'Total and digestible IAA'!AJ106/$E$2</f>
        <v>1.2356187810945274</v>
      </c>
      <c r="F106" s="23">
        <f>'Total and digestible IAA'!AK106/$F$2</f>
        <v>0.97071460877431026</v>
      </c>
      <c r="G106" s="23">
        <f>'Total and digestible IAA'!AL106/$G$2</f>
        <v>0.94920136161298763</v>
      </c>
      <c r="H106" s="23">
        <f>'Total and digestible IAA'!AM106/$H$2</f>
        <v>0.88907315275474474</v>
      </c>
      <c r="I106" s="23">
        <f>'Total and digestible IAA'!AN106/$I$2</f>
        <v>1.4371412169919633</v>
      </c>
      <c r="J106" s="23">
        <f>'Total and digestible IAA'!AO106/$J$2</f>
        <v>0.942728219368275</v>
      </c>
      <c r="K106" s="23">
        <f>'Total and digestible IAA'!AP106/$K$2</f>
        <v>1.2039800995024874</v>
      </c>
      <c r="L106" s="24">
        <f t="shared" si="1"/>
        <v>88.907315275474474</v>
      </c>
      <c r="M106" s="14" t="s">
        <v>355</v>
      </c>
    </row>
    <row r="107" spans="1:14" s="4" customFormat="1" x14ac:dyDescent="0.25">
      <c r="A107" s="4" t="s">
        <v>333</v>
      </c>
      <c r="B107" s="4" t="s">
        <v>298</v>
      </c>
      <c r="C107" s="23">
        <f>'Total and digestible IAA'!AH107/$C$2</f>
        <v>1.1044776119402986</v>
      </c>
      <c r="D107" s="23">
        <f>'Total and digestible IAA'!AI107/$D$2</f>
        <v>1.0202214732787676</v>
      </c>
      <c r="E107" s="23">
        <f>'Total and digestible IAA'!AJ107/$E$2</f>
        <v>1.1774720149253732</v>
      </c>
      <c r="F107" s="23">
        <f>'Total and digestible IAA'!AK107/$F$2</f>
        <v>0.92503392130257811</v>
      </c>
      <c r="G107" s="23">
        <f>'Total and digestible IAA'!AL107/$G$2</f>
        <v>0.91647028017805698</v>
      </c>
      <c r="H107" s="23">
        <f>'Total and digestible IAA'!AM107/$H$2</f>
        <v>0.8349917081260364</v>
      </c>
      <c r="I107" s="23">
        <f>'Total and digestible IAA'!AN107/$I$2</f>
        <v>1.3788748564867972</v>
      </c>
      <c r="J107" s="23">
        <f>'Total and digestible IAA'!AO107/$J$2</f>
        <v>0.89783639939835702</v>
      </c>
      <c r="K107" s="23">
        <f>'Total and digestible IAA'!AP107/$K$2</f>
        <v>1.1629353233830846</v>
      </c>
      <c r="L107" s="24">
        <f t="shared" si="1"/>
        <v>83.499170812603637</v>
      </c>
      <c r="M107" s="14" t="s">
        <v>355</v>
      </c>
    </row>
    <row r="108" spans="1:14" s="4" customFormat="1" x14ac:dyDescent="0.25">
      <c r="A108" s="4" t="s">
        <v>334</v>
      </c>
      <c r="B108" s="4" t="s">
        <v>298</v>
      </c>
      <c r="C108" s="23">
        <f>'Total and digestible IAA'!AH108/$C$2</f>
        <v>1.2568433313919627</v>
      </c>
      <c r="D108" s="23">
        <f>'Total and digestible IAA'!AI108/$D$2</f>
        <v>0.97612583839029077</v>
      </c>
      <c r="E108" s="23">
        <f>'Total and digestible IAA'!AJ108/$E$2</f>
        <v>1.0761138613861387</v>
      </c>
      <c r="F108" s="23">
        <f>'Total and digestible IAA'!AK108/$F$2</f>
        <v>0.8693369336933694</v>
      </c>
      <c r="G108" s="23">
        <f>'Total and digestible IAA'!AL108/$G$2</f>
        <v>0.86108216084766376</v>
      </c>
      <c r="H108" s="23">
        <f>'Total and digestible IAA'!AM108/$H$2</f>
        <v>0.82728272827282734</v>
      </c>
      <c r="I108" s="23">
        <f>'Total and digestible IAA'!AN108/$I$2</f>
        <v>1.2786557501904037</v>
      </c>
      <c r="J108" s="23">
        <f>'Total and digestible IAA'!AO108/$J$2</f>
        <v>0.83064701819019104</v>
      </c>
      <c r="K108" s="23">
        <f>'Total and digestible IAA'!AP108/$K$2</f>
        <v>1.1027227722772277</v>
      </c>
      <c r="L108" s="24">
        <f t="shared" si="1"/>
        <v>82.728272827282737</v>
      </c>
      <c r="M108" s="14" t="s">
        <v>355</v>
      </c>
    </row>
    <row r="109" spans="1:14" s="4" customFormat="1" x14ac:dyDescent="0.25">
      <c r="A109" s="4" t="s">
        <v>335</v>
      </c>
      <c r="B109" s="4" t="s">
        <v>298</v>
      </c>
      <c r="C109" s="23">
        <f>'Total and digestible IAA'!AH109/$C$2</f>
        <v>1.2180629827688652</v>
      </c>
      <c r="D109" s="23">
        <f>'Total and digestible IAA'!AI109/$D$2</f>
        <v>0.97051156728576105</v>
      </c>
      <c r="E109" s="23">
        <f>'Total and digestible IAA'!AJ109/$E$2</f>
        <v>1.0657354797979797</v>
      </c>
      <c r="F109" s="23">
        <f>'Total and digestible IAA'!AK109/$F$2</f>
        <v>0.83513161922252821</v>
      </c>
      <c r="G109" s="23">
        <f>'Total and digestible IAA'!AL109/$G$2</f>
        <v>0.85007974481658699</v>
      </c>
      <c r="H109" s="23">
        <f>'Total and digestible IAA'!AM109/$H$2</f>
        <v>0.81200897867564514</v>
      </c>
      <c r="I109" s="23">
        <f>'Total and digestible IAA'!AN109/$I$2</f>
        <v>1.2528166278166279</v>
      </c>
      <c r="J109" s="23">
        <f>'Total and digestible IAA'!AO109/$J$2</f>
        <v>0.80761099365750544</v>
      </c>
      <c r="K109" s="23">
        <f>'Total and digestible IAA'!AP109/$K$2</f>
        <v>1.0772727272727276</v>
      </c>
      <c r="L109" s="24">
        <f t="shared" si="1"/>
        <v>80.761099365750539</v>
      </c>
      <c r="M109" s="14" t="s">
        <v>355</v>
      </c>
    </row>
    <row r="110" spans="1:14" x14ac:dyDescent="0.25">
      <c r="A110" s="5" t="s">
        <v>183</v>
      </c>
      <c r="B110" s="4" t="s">
        <v>298</v>
      </c>
      <c r="C110" s="23">
        <f>'Total and digestible IAA'!AH110/$C$2</f>
        <v>1.5576632025022705</v>
      </c>
      <c r="D110" s="23">
        <f>'Total and digestible IAA'!AI110/$D$2</f>
        <v>1.1148121507220716</v>
      </c>
      <c r="E110" s="23">
        <f>'Total and digestible IAA'!AJ110/$E$2</f>
        <v>1.3494318181818179</v>
      </c>
      <c r="F110" s="23">
        <f>'Total and digestible IAA'!AK110/$F$2</f>
        <v>1.103617651645096</v>
      </c>
      <c r="G110" s="23">
        <f>'Total and digestible IAA'!AL110/$G$2</f>
        <v>1.0158887785501489</v>
      </c>
      <c r="H110" s="23">
        <f>'Total and digestible IAA'!AM110/$H$2</f>
        <v>1.0444698557906105</v>
      </c>
      <c r="I110" s="23">
        <f>'Total and digestible IAA'!AN110/$I$2</f>
        <v>1.570424858160707</v>
      </c>
      <c r="J110" s="23">
        <f>'Total and digestible IAA'!AO110/$J$2</f>
        <v>1.0424428577127129</v>
      </c>
      <c r="K110" s="23">
        <f>'Total and digestible IAA'!AP110/$K$2</f>
        <v>1.2894511149228129</v>
      </c>
      <c r="L110" s="24">
        <f t="shared" si="1"/>
        <v>101.58887785501489</v>
      </c>
      <c r="M110" s="15" t="s">
        <v>8</v>
      </c>
    </row>
    <row r="111" spans="1:14" x14ac:dyDescent="0.25">
      <c r="A111" s="5" t="s">
        <v>185</v>
      </c>
      <c r="B111" s="4" t="s">
        <v>298</v>
      </c>
      <c r="C111" s="23">
        <f>'Total and digestible IAA'!AH111/$C$2</f>
        <v>1.5734870317002883</v>
      </c>
      <c r="D111" s="23">
        <f>'Total and digestible IAA'!AI111/$D$2</f>
        <v>1.0231012364042018</v>
      </c>
      <c r="E111" s="23">
        <f>'Total and digestible IAA'!AJ111/$E$2</f>
        <v>1.2784582132564841</v>
      </c>
      <c r="F111" s="23">
        <f>'Total and digestible IAA'!AK111/$F$2</f>
        <v>1.074578639420138</v>
      </c>
      <c r="G111" s="23">
        <f>'Total and digestible IAA'!AL111/$G$2</f>
        <v>1.0265433035037159</v>
      </c>
      <c r="H111" s="23">
        <f>'Total and digestible IAA'!AM111/$H$2</f>
        <v>0.99220834667520563</v>
      </c>
      <c r="I111" s="23">
        <f>'Total and digestible IAA'!AN111/$I$2</f>
        <v>1.5226113943693194</v>
      </c>
      <c r="J111" s="23">
        <f>'Total and digestible IAA'!AO111/$J$2</f>
        <v>1.0103210240600498</v>
      </c>
      <c r="K111" s="23">
        <f>'Total and digestible IAA'!AP111/$K$2</f>
        <v>1.2525216138328532</v>
      </c>
      <c r="L111" s="24">
        <f t="shared" si="1"/>
        <v>99.220834667520563</v>
      </c>
      <c r="M111" s="15" t="s">
        <v>355</v>
      </c>
    </row>
    <row r="112" spans="1:14" x14ac:dyDescent="0.25">
      <c r="A112" s="5" t="s">
        <v>187</v>
      </c>
      <c r="B112" s="4" t="s">
        <v>298</v>
      </c>
      <c r="C112" s="23">
        <f>'Total and digestible IAA'!AH112/$C$2</f>
        <v>1.6363256202955117</v>
      </c>
      <c r="D112" s="23">
        <f>'Total and digestible IAA'!AI112/$D$2</f>
        <v>0.99755389084237889</v>
      </c>
      <c r="E112" s="23">
        <f>'Total and digestible IAA'!AJ112/$E$2</f>
        <v>1.2668838862559242</v>
      </c>
      <c r="F112" s="23">
        <f>'Total and digestible IAA'!AK112/$F$2</f>
        <v>1.0817894585667098</v>
      </c>
      <c r="G112" s="23">
        <f>'Total and digestible IAA'!AL112/$G$2</f>
        <v>1.027770848923256</v>
      </c>
      <c r="H112" s="23">
        <f>'Total and digestible IAA'!AM112/$H$2</f>
        <v>0.99982446901878175</v>
      </c>
      <c r="I112" s="23">
        <f>'Total and digestible IAA'!AN112/$I$2</f>
        <v>1.522694130514036</v>
      </c>
      <c r="J112" s="23">
        <f>'Total and digestible IAA'!AO112/$J$2</f>
        <v>1.0117932326683565</v>
      </c>
      <c r="K112" s="23">
        <f>'Total and digestible IAA'!AP112/$K$2</f>
        <v>1.2381516587677726</v>
      </c>
      <c r="L112" s="24">
        <f t="shared" si="1"/>
        <v>99.755389084237891</v>
      </c>
      <c r="M112" s="15" t="s">
        <v>355</v>
      </c>
    </row>
    <row r="113" spans="1:13" s="4" customFormat="1" x14ac:dyDescent="0.25">
      <c r="A113" s="4" t="s">
        <v>246</v>
      </c>
      <c r="B113" s="4" t="s">
        <v>298</v>
      </c>
      <c r="C113" s="23">
        <f>'Total and digestible IAA'!AH113/$C$2</f>
        <v>3.0657217536579449</v>
      </c>
      <c r="D113" s="23">
        <f>'Total and digestible IAA'!AI113/$D$2</f>
        <v>1.0978085794925596</v>
      </c>
      <c r="E113" s="23">
        <f>'Total and digestible IAA'!AJ113/$E$2</f>
        <v>1.364764658726523</v>
      </c>
      <c r="F113" s="23">
        <f>'Total and digestible IAA'!AK113/$F$2</f>
        <v>1.0357375865850442</v>
      </c>
      <c r="G113" s="23">
        <f>'Total and digestible IAA'!AL113/$G$2</f>
        <v>0.90692833779363657</v>
      </c>
      <c r="H113" s="23">
        <f>'Total and digestible IAA'!AM113/$H$2</f>
        <v>1.0823874722179807</v>
      </c>
      <c r="I113" s="23">
        <f>'Total and digestible IAA'!AN113/$I$2</f>
        <v>1.4105852919412241</v>
      </c>
      <c r="J113" s="23">
        <f>'Total and digestible IAA'!AO113/$J$2</f>
        <v>1.0015660122085033</v>
      </c>
      <c r="K113" s="23">
        <f>'Total and digestible IAA'!AP113/$K$2</f>
        <v>1.2881814017407236</v>
      </c>
      <c r="L113" s="24">
        <f t="shared" si="1"/>
        <v>90.692833779363653</v>
      </c>
      <c r="M113" s="14" t="s">
        <v>8</v>
      </c>
    </row>
    <row r="114" spans="1:13" s="4" customFormat="1" x14ac:dyDescent="0.25">
      <c r="A114" s="4" t="s">
        <v>267</v>
      </c>
      <c r="B114" s="4" t="s">
        <v>298</v>
      </c>
      <c r="C114" s="23">
        <f>'Total and digestible IAA'!AH114/$C$2</f>
        <v>1.1567532040749262</v>
      </c>
      <c r="D114" s="23">
        <f>'Total and digestible IAA'!AI114/$D$2</f>
        <v>0.99261128131194809</v>
      </c>
      <c r="E114" s="23">
        <f>'Total and digestible IAA'!AJ114/$E$2</f>
        <v>1.2664106145251397</v>
      </c>
      <c r="F114" s="23">
        <f>'Total and digestible IAA'!AK114/$F$2</f>
        <v>0.98461571017436944</v>
      </c>
      <c r="G114" s="23">
        <f>'Total and digestible IAA'!AL114/$G$2</f>
        <v>0.96324610408703315</v>
      </c>
      <c r="H114" s="23">
        <f>'Total and digestible IAA'!AM114/$H$2</f>
        <v>0.8038795779019241</v>
      </c>
      <c r="I114" s="23">
        <f>'Total and digestible IAA'!AN114/$I$2</f>
        <v>1.4202621400945421</v>
      </c>
      <c r="J114" s="23">
        <f>'Total and digestible IAA'!AO114/$J$2</f>
        <v>0.93761205664544645</v>
      </c>
      <c r="K114" s="23">
        <f>'Total and digestible IAA'!AP114/$K$2</f>
        <v>1.136564245810056</v>
      </c>
      <c r="L114" s="24">
        <f t="shared" si="1"/>
        <v>80.387957790192416</v>
      </c>
      <c r="M114" s="14" t="s">
        <v>355</v>
      </c>
    </row>
    <row r="115" spans="1:13" s="4" customFormat="1" x14ac:dyDescent="0.25">
      <c r="A115" s="4" t="s">
        <v>56</v>
      </c>
      <c r="B115" s="4" t="s">
        <v>298</v>
      </c>
      <c r="C115" s="23">
        <f>'Total and digestible IAA'!AH115/$C$2</f>
        <v>1.3911764705882355</v>
      </c>
      <c r="D115" s="23">
        <f>'Total and digestible IAA'!AI115/$D$2</f>
        <v>1.0084677419354839</v>
      </c>
      <c r="E115" s="23">
        <f>'Total and digestible IAA'!AJ115/$E$2</f>
        <v>1.0582031250000001</v>
      </c>
      <c r="F115" s="23">
        <f>'Total and digestible IAA'!AK115/$F$2</f>
        <v>0.75662878787878785</v>
      </c>
      <c r="G115" s="23">
        <f>'Total and digestible IAA'!AL115/$G$2</f>
        <v>0.53453947368421051</v>
      </c>
      <c r="H115" s="23">
        <f>'Total and digestible IAA'!AM115/$H$2</f>
        <v>1.3009259259259258</v>
      </c>
      <c r="I115" s="23">
        <f>'Total and digestible IAA'!AN115/$I$2</f>
        <v>1.1100961538461538</v>
      </c>
      <c r="J115" s="23">
        <f>'Total and digestible IAA'!AO115/$J$2</f>
        <v>0.89127906976744176</v>
      </c>
      <c r="K115" s="23">
        <f>'Total and digestible IAA'!AP115/$K$2</f>
        <v>1.0624999999999998</v>
      </c>
      <c r="L115" s="24">
        <f t="shared" si="1"/>
        <v>53.453947368421048</v>
      </c>
      <c r="M115" s="14" t="s">
        <v>8</v>
      </c>
    </row>
    <row r="116" spans="1:13" s="4" customFormat="1" x14ac:dyDescent="0.25">
      <c r="A116" s="4" t="s">
        <v>245</v>
      </c>
      <c r="B116" s="4" t="s">
        <v>298</v>
      </c>
      <c r="C116" s="23">
        <f>'Total and digestible IAA'!AH116/$C$2</f>
        <v>2.7290545066613738</v>
      </c>
      <c r="D116" s="23">
        <f>'Total and digestible IAA'!AI116/$D$2</f>
        <v>1.0754955714888232</v>
      </c>
      <c r="E116" s="23">
        <f>'Total and digestible IAA'!AJ116/$E$2</f>
        <v>1.3836066005904686</v>
      </c>
      <c r="F116" s="23">
        <f>'Total and digestible IAA'!AK116/$F$2</f>
        <v>1.1030060197078333</v>
      </c>
      <c r="G116" s="23">
        <f>'Total and digestible IAA'!AL116/$G$2</f>
        <v>0.93103065550844644</v>
      </c>
      <c r="H116" s="23">
        <f>'Total and digestible IAA'!AM116/$H$2</f>
        <v>0.75373728853273347</v>
      </c>
      <c r="I116" s="23">
        <f>'Total and digestible IAA'!AN116/$I$2</f>
        <v>1.4841514453492524</v>
      </c>
      <c r="J116" s="23">
        <f>'Total and digestible IAA'!AO116/$J$2</f>
        <v>1.0249428658303334</v>
      </c>
      <c r="K116" s="23">
        <f>'Total and digestible IAA'!AP116/$K$2</f>
        <v>1.2714255588359342</v>
      </c>
      <c r="L116" s="24">
        <f t="shared" si="1"/>
        <v>75.373728853273349</v>
      </c>
      <c r="M116" s="14" t="s">
        <v>355</v>
      </c>
    </row>
    <row r="117" spans="1:13" s="6" customFormat="1" x14ac:dyDescent="0.25">
      <c r="C117" s="36"/>
      <c r="D117" s="36"/>
      <c r="E117" s="36"/>
      <c r="F117" s="36"/>
      <c r="G117" s="36"/>
      <c r="H117" s="36"/>
      <c r="I117" s="36"/>
      <c r="J117" s="36"/>
      <c r="K117" s="36"/>
      <c r="L117" s="37"/>
      <c r="M117" s="16"/>
    </row>
    <row r="118" spans="1:13" s="4" customFormat="1" x14ac:dyDescent="0.25">
      <c r="A118" s="4" t="s">
        <v>93</v>
      </c>
      <c r="B118" s="5" t="s">
        <v>123</v>
      </c>
      <c r="C118" s="23">
        <f>'Total and digestible IAA'!AH118/$C$2</f>
        <v>1.0926586993636507</v>
      </c>
      <c r="D118" s="23">
        <f>'Total and digestible IAA'!AI118/$D$2</f>
        <v>0.64677844922972172</v>
      </c>
      <c r="E118" s="23">
        <f>'Total and digestible IAA'!AJ118/$E$2</f>
        <v>0.7771273087071241</v>
      </c>
      <c r="F118" s="23">
        <f>'Total and digestible IAA'!AK118/$F$2</f>
        <v>0.681338450467738</v>
      </c>
      <c r="G118" s="23">
        <f>'Total and digestible IAA'!AL118/$G$2</f>
        <v>0.43179188075730229</v>
      </c>
      <c r="H118" s="23">
        <f>'Total and digestible IAA'!AM118/$H$2</f>
        <v>0.98700283396853317</v>
      </c>
      <c r="I118" s="23">
        <f>'Total and digestible IAA'!AN118/$I$2</f>
        <v>0.79860970164400236</v>
      </c>
      <c r="J118" s="23">
        <f>'Total and digestible IAA'!AO118/$J$2</f>
        <v>0.79370436276615319</v>
      </c>
      <c r="K118" s="23">
        <f>'Total and digestible IAA'!AP118/$K$2</f>
        <v>0.8282321899736147</v>
      </c>
      <c r="L118" s="24">
        <f t="shared" si="1"/>
        <v>43.179188075730231</v>
      </c>
      <c r="M118" s="14" t="s">
        <v>8</v>
      </c>
    </row>
    <row r="119" spans="1:13" s="4" customFormat="1" x14ac:dyDescent="0.25">
      <c r="A119" s="4" t="s">
        <v>73</v>
      </c>
      <c r="B119" s="5" t="s">
        <v>123</v>
      </c>
      <c r="C119" s="23">
        <f>'Total and digestible IAA'!AH119/$C$2</f>
        <v>1.1477761836441893</v>
      </c>
      <c r="D119" s="23">
        <f>'Total and digestible IAA'!AI119/$D$2</f>
        <v>1.0267505900865459</v>
      </c>
      <c r="E119" s="23">
        <f>'Total and digestible IAA'!AJ119/$E$2</f>
        <v>0.97499999999999998</v>
      </c>
      <c r="F119" s="23">
        <f>'Total and digestible IAA'!AK119/$F$2</f>
        <v>0.8424242424242423</v>
      </c>
      <c r="G119" s="23">
        <f>'Total and digestible IAA'!AL119/$G$2</f>
        <v>0.69319640564826723</v>
      </c>
      <c r="H119" s="23">
        <f>'Total and digestible IAA'!AM119/$H$2</f>
        <v>1.3615176151761519</v>
      </c>
      <c r="I119" s="23">
        <f>'Total and digestible IAA'!AN119/$I$2</f>
        <v>1.050375234521576</v>
      </c>
      <c r="J119" s="23">
        <f>'Total and digestible IAA'!AO119/$J$2</f>
        <v>0.90845150311968248</v>
      </c>
      <c r="K119" s="23">
        <f>'Total and digestible IAA'!AP119/$K$2</f>
        <v>1.1575609756097562</v>
      </c>
      <c r="L119" s="24">
        <f t="shared" si="1"/>
        <v>69.319640564826727</v>
      </c>
      <c r="M119" s="14" t="s">
        <v>8</v>
      </c>
    </row>
    <row r="120" spans="1:13" s="4" customFormat="1" x14ac:dyDescent="0.25">
      <c r="A120" s="4" t="s">
        <v>79</v>
      </c>
      <c r="B120" s="5" t="s">
        <v>123</v>
      </c>
      <c r="C120" s="23">
        <f>'Total and digestible IAA'!AH120/$C$2</f>
        <v>0.86956521739130432</v>
      </c>
      <c r="D120" s="23">
        <f>'Total and digestible IAA'!AI120/$D$2</f>
        <v>0.75958391771856004</v>
      </c>
      <c r="E120" s="23">
        <f>'Total and digestible IAA'!AJ120/$E$2</f>
        <v>0.81272644927536219</v>
      </c>
      <c r="F120" s="23">
        <f>'Total and digestible IAA'!AK120/$F$2</f>
        <v>0.7134387351778656</v>
      </c>
      <c r="G120" s="23">
        <f>'Total and digestible IAA'!AL120/$G$2</f>
        <v>0.49923722349351651</v>
      </c>
      <c r="H120" s="23">
        <f>'Total and digestible IAA'!AM120/$H$2</f>
        <v>0.5152979066022545</v>
      </c>
      <c r="I120" s="23">
        <f>'Total and digestible IAA'!AN120/$I$2</f>
        <v>1.0171404682274248</v>
      </c>
      <c r="J120" s="23">
        <f>'Total and digestible IAA'!AO120/$J$2</f>
        <v>0.63700707785642063</v>
      </c>
      <c r="K120" s="23">
        <f>'Total and digestible IAA'!AP120/$K$2</f>
        <v>0.58985507246376812</v>
      </c>
      <c r="L120" s="24">
        <f t="shared" si="1"/>
        <v>49.92372234935165</v>
      </c>
      <c r="M120" s="14" t="s">
        <v>8</v>
      </c>
    </row>
    <row r="121" spans="1:13" s="4" customFormat="1" x14ac:dyDescent="0.25">
      <c r="A121" s="4" t="s">
        <v>81</v>
      </c>
      <c r="B121" s="5" t="s">
        <v>123</v>
      </c>
      <c r="C121" s="23">
        <f>'Total and digestible IAA'!AH121/$C$2</f>
        <v>1.08718487394958</v>
      </c>
      <c r="D121" s="23">
        <f>'Total and digestible IAA'!AI121/$D$2</f>
        <v>0.7043490783410139</v>
      </c>
      <c r="E121" s="23">
        <f>'Total and digestible IAA'!AJ121/$E$2</f>
        <v>0.73046875</v>
      </c>
      <c r="F121" s="23">
        <f>'Total and digestible IAA'!AK121/$F$2</f>
        <v>0.71354166666666663</v>
      </c>
      <c r="G121" s="23">
        <f>'Total and digestible IAA'!AL121/$G$2</f>
        <v>0.26315789473684215</v>
      </c>
      <c r="H121" s="23">
        <f>'Total and digestible IAA'!AM121/$H$2</f>
        <v>0.76355820105820116</v>
      </c>
      <c r="I121" s="23">
        <f>'Total and digestible IAA'!AN121/$I$2</f>
        <v>0.92273351648351642</v>
      </c>
      <c r="J121" s="23">
        <f>'Total and digestible IAA'!AO121/$J$2</f>
        <v>0.85029069767441856</v>
      </c>
      <c r="K121" s="23">
        <f>'Total and digestible IAA'!AP121/$K$2</f>
        <v>0.76607142857142863</v>
      </c>
      <c r="L121" s="24">
        <f t="shared" si="1"/>
        <v>26.315789473684216</v>
      </c>
      <c r="M121" s="14" t="s">
        <v>8</v>
      </c>
    </row>
    <row r="122" spans="1:13" s="4" customFormat="1" x14ac:dyDescent="0.25">
      <c r="A122" s="4" t="s">
        <v>83</v>
      </c>
      <c r="B122" s="5" t="s">
        <v>123</v>
      </c>
      <c r="C122" s="23">
        <f>'Total and digestible IAA'!AH122/$C$2</f>
        <v>1.075414781297134</v>
      </c>
      <c r="D122" s="23">
        <f>'Total and digestible IAA'!AI122/$D$2</f>
        <v>0.68348497380755457</v>
      </c>
      <c r="E122" s="23">
        <f>'Total and digestible IAA'!AJ122/$E$2</f>
        <v>0.73010149572649574</v>
      </c>
      <c r="F122" s="23">
        <f>'Total and digestible IAA'!AK122/$F$2</f>
        <v>0.71296296296296302</v>
      </c>
      <c r="G122" s="23">
        <f>'Total and digestible IAA'!AL122/$G$2</f>
        <v>0.25611036137351928</v>
      </c>
      <c r="H122" s="23">
        <f>'Total and digestible IAA'!AM122/$H$2</f>
        <v>0.75482747704969932</v>
      </c>
      <c r="I122" s="23">
        <f>'Total and digestible IAA'!AN122/$I$2</f>
        <v>0.92225509533201833</v>
      </c>
      <c r="J122" s="23">
        <f>'Total and digestible IAA'!AO122/$J$2</f>
        <v>0.8527131782945736</v>
      </c>
      <c r="K122" s="23">
        <f>'Total and digestible IAA'!AP122/$K$2</f>
        <v>0.76666666666666661</v>
      </c>
      <c r="L122" s="24">
        <f t="shared" si="1"/>
        <v>25.611036137351928</v>
      </c>
      <c r="M122" s="14" t="s">
        <v>8</v>
      </c>
    </row>
    <row r="123" spans="1:13" s="4" customFormat="1" x14ac:dyDescent="0.25">
      <c r="A123" s="4" t="s">
        <v>286</v>
      </c>
      <c r="B123" s="5" t="s">
        <v>123</v>
      </c>
      <c r="C123" s="23">
        <f>'Total and digestible IAA'!AH123/$C$2</f>
        <v>0.52151009657594383</v>
      </c>
      <c r="D123" s="23">
        <f>'Total and digestible IAA'!AI123/$D$2</f>
        <v>0.83052479537794899</v>
      </c>
      <c r="E123" s="23">
        <f>'Total and digestible IAA'!AJ123/$E$2</f>
        <v>0.82206156716417911</v>
      </c>
      <c r="F123" s="23">
        <f>'Total and digestible IAA'!AK123/$F$2</f>
        <v>1.330958842152872</v>
      </c>
      <c r="G123" s="23">
        <f>'Total and digestible IAA'!AL123/$G$2</f>
        <v>0.33778476040848388</v>
      </c>
      <c r="H123" s="23">
        <f>'Total and digestible IAA'!AM123/$H$2</f>
        <v>1.1243781094527361</v>
      </c>
      <c r="I123" s="23">
        <f>'Total and digestible IAA'!AN123/$I$2</f>
        <v>1.2558840413318024</v>
      </c>
      <c r="J123" s="23">
        <f>'Total and digestible IAA'!AO123/$J$2</f>
        <v>0.84970496355432135</v>
      </c>
      <c r="K123" s="23">
        <f>'Total and digestible IAA'!AP123/$K$2</f>
        <v>1.1350746268656715</v>
      </c>
      <c r="L123" s="24">
        <f t="shared" si="1"/>
        <v>33.778476040848389</v>
      </c>
      <c r="M123" s="14" t="s">
        <v>8</v>
      </c>
    </row>
    <row r="124" spans="1:13" s="4" customFormat="1" x14ac:dyDescent="0.25">
      <c r="A124" s="4" t="s">
        <v>85</v>
      </c>
      <c r="B124" s="5" t="s">
        <v>123</v>
      </c>
      <c r="C124" s="23">
        <f>'Total and digestible IAA'!AH124/$C$2</f>
        <v>1.0954676952748312</v>
      </c>
      <c r="D124" s="23">
        <f>'Total and digestible IAA'!AI124/$D$2</f>
        <v>0.74651859686233024</v>
      </c>
      <c r="E124" s="23">
        <f>'Total and digestible IAA'!AJ124/$E$2</f>
        <v>0.75922131147540983</v>
      </c>
      <c r="F124" s="23">
        <f>'Total and digestible IAA'!AK124/$F$2</f>
        <v>0.68132141082960762</v>
      </c>
      <c r="G124" s="23">
        <f>'Total and digestible IAA'!AL124/$G$2</f>
        <v>0.50273224043715847</v>
      </c>
      <c r="H124" s="23">
        <f>'Total and digestible IAA'!AM124/$H$2</f>
        <v>0.85883424408014564</v>
      </c>
      <c r="I124" s="23">
        <f>'Total and digestible IAA'!AN124/$I$2</f>
        <v>1.2276691887347626</v>
      </c>
      <c r="J124" s="23">
        <f>'Total and digestible IAA'!AO124/$J$2</f>
        <v>0.7570212225187446</v>
      </c>
      <c r="K124" s="23">
        <f>'Total and digestible IAA'!AP124/$K$2</f>
        <v>1.173224043715847</v>
      </c>
      <c r="L124" s="24">
        <f t="shared" si="1"/>
        <v>50.27322404371585</v>
      </c>
      <c r="M124" s="14" t="s">
        <v>8</v>
      </c>
    </row>
    <row r="125" spans="1:13" s="4" customFormat="1" x14ac:dyDescent="0.25">
      <c r="A125" s="4" t="s">
        <v>87</v>
      </c>
      <c r="B125" s="5" t="s">
        <v>123</v>
      </c>
      <c r="C125" s="23">
        <f>'Total and digestible IAA'!AH125/$C$2</f>
        <v>1.3272139625080801</v>
      </c>
      <c r="D125" s="23">
        <f>'Total and digestible IAA'!AI125/$D$2</f>
        <v>0.83714994682736621</v>
      </c>
      <c r="E125" s="23">
        <f>'Total and digestible IAA'!AJ125/$E$2</f>
        <v>0.82087912087912085</v>
      </c>
      <c r="F125" s="23">
        <f>'Total and digestible IAA'!AK125/$F$2</f>
        <v>0.72447552447552432</v>
      </c>
      <c r="G125" s="23">
        <f>'Total and digestible IAA'!AL125/$G$2</f>
        <v>0.53333333333333321</v>
      </c>
      <c r="H125" s="23">
        <f>'Total and digestible IAA'!AM125/$H$2</f>
        <v>0.98665038665038673</v>
      </c>
      <c r="I125" s="23">
        <f>'Total and digestible IAA'!AN125/$I$2</f>
        <v>1.3900253592561287</v>
      </c>
      <c r="J125" s="23">
        <f>'Total and digestible IAA'!AO125/$J$2</f>
        <v>0.88014311270125212</v>
      </c>
      <c r="K125" s="23">
        <f>'Total and digestible IAA'!AP125/$K$2</f>
        <v>1.3345054945054946</v>
      </c>
      <c r="L125" s="24">
        <f t="shared" si="1"/>
        <v>53.333333333333321</v>
      </c>
      <c r="M125" s="14" t="s">
        <v>8</v>
      </c>
    </row>
    <row r="126" spans="1:13" s="4" customFormat="1" x14ac:dyDescent="0.25">
      <c r="A126" s="4" t="s">
        <v>89</v>
      </c>
      <c r="B126" s="5" t="s">
        <v>123</v>
      </c>
      <c r="C126" s="23">
        <f>'Total and digestible IAA'!AH126/$C$2</f>
        <v>1.2102905044081516</v>
      </c>
      <c r="D126" s="23">
        <f>'Total and digestible IAA'!AI126/$D$2</f>
        <v>0.80557977332170883</v>
      </c>
      <c r="E126" s="23">
        <f>'Total and digestible IAA'!AJ126/$E$2</f>
        <v>0.79852579852579852</v>
      </c>
      <c r="F126" s="23">
        <f>'Total and digestible IAA'!AK126/$F$2</f>
        <v>0.71126498399225657</v>
      </c>
      <c r="G126" s="23">
        <f>'Total and digestible IAA'!AL126/$G$2</f>
        <v>0.508039139618087</v>
      </c>
      <c r="H126" s="23">
        <f>'Total and digestible IAA'!AM126/$H$2</f>
        <v>0.84939484939484933</v>
      </c>
      <c r="I126" s="23">
        <f>'Total and digestible IAA'!AN126/$I$2</f>
        <v>1.3224815724815724</v>
      </c>
      <c r="J126" s="23">
        <f>'Total and digestible IAA'!AO126/$J$2</f>
        <v>0.83772355865379133</v>
      </c>
      <c r="K126" s="23">
        <f>'Total and digestible IAA'!AP126/$K$2</f>
        <v>1.2589680589680587</v>
      </c>
      <c r="L126" s="24">
        <f t="shared" si="1"/>
        <v>50.803913961808703</v>
      </c>
      <c r="M126" s="14" t="s">
        <v>8</v>
      </c>
    </row>
    <row r="127" spans="1:13" s="4" customFormat="1" x14ac:dyDescent="0.25">
      <c r="A127" s="4" t="s">
        <v>91</v>
      </c>
      <c r="B127" s="5" t="s">
        <v>123</v>
      </c>
      <c r="C127" s="23">
        <f>'Total and digestible IAA'!AH127/$C$2</f>
        <v>1.2520650813516896</v>
      </c>
      <c r="D127" s="23">
        <f>'Total and digestible IAA'!AI127/$D$2</f>
        <v>0.77199725463280722</v>
      </c>
      <c r="E127" s="23">
        <f>'Total and digestible IAA'!AJ127/$E$2</f>
        <v>0.76755319148936174</v>
      </c>
      <c r="F127" s="23">
        <f>'Total and digestible IAA'!AK127/$F$2</f>
        <v>0.68858800773694384</v>
      </c>
      <c r="G127" s="23">
        <f>'Total and digestible IAA'!AL127/$G$2</f>
        <v>0.49559537140724141</v>
      </c>
      <c r="H127" s="23">
        <f>'Total and digestible IAA'!AM127/$H$2</f>
        <v>0.89156816390858951</v>
      </c>
      <c r="I127" s="23">
        <f>'Total and digestible IAA'!AN127/$I$2</f>
        <v>1.3053191489361704</v>
      </c>
      <c r="J127" s="23">
        <f>'Total and digestible IAA'!AO127/$J$2</f>
        <v>0.84314695695200403</v>
      </c>
      <c r="K127" s="23">
        <f>'Total and digestible IAA'!AP127/$K$2</f>
        <v>1.1920212765957445</v>
      </c>
      <c r="L127" s="24">
        <f t="shared" si="1"/>
        <v>49.559537140724139</v>
      </c>
      <c r="M127" s="14" t="s">
        <v>8</v>
      </c>
    </row>
    <row r="128" spans="1:13" s="4" customFormat="1" x14ac:dyDescent="0.25">
      <c r="A128" s="4" t="s">
        <v>95</v>
      </c>
      <c r="B128" s="5" t="s">
        <v>123</v>
      </c>
      <c r="C128" s="23">
        <f>'Total and digestible IAA'!AH128/$C$2</f>
        <v>0.57516339869281052</v>
      </c>
      <c r="D128" s="23">
        <f>'Total and digestible IAA'!AI128/$D$2</f>
        <v>0.57650951199338285</v>
      </c>
      <c r="E128" s="23">
        <f>'Total and digestible IAA'!AJ128/$E$2</f>
        <v>0.70673076923076927</v>
      </c>
      <c r="F128" s="23">
        <f>'Total and digestible IAA'!AK128/$F$2</f>
        <v>0.62988862988862981</v>
      </c>
      <c r="G128" s="23">
        <f>'Total and digestible IAA'!AL128/$G$2</f>
        <v>0.32418653471285053</v>
      </c>
      <c r="H128" s="23">
        <f>'Total and digestible IAA'!AM128/$H$2</f>
        <v>0.44887622665400451</v>
      </c>
      <c r="I128" s="23">
        <f>'Total and digestible IAA'!AN128/$I$2</f>
        <v>0.69559500328731094</v>
      </c>
      <c r="J128" s="23">
        <f>'Total and digestible IAA'!AO128/$J$2</f>
        <v>0.51600079507056251</v>
      </c>
      <c r="K128" s="23">
        <f>'Total and digestible IAA'!AP128/$K$2</f>
        <v>0.62564102564102564</v>
      </c>
      <c r="L128" s="24">
        <f t="shared" si="1"/>
        <v>32.418653471285054</v>
      </c>
      <c r="M128" s="14" t="s">
        <v>8</v>
      </c>
    </row>
    <row r="129" spans="1:13" s="4" customFormat="1" x14ac:dyDescent="0.25">
      <c r="A129" s="4" t="s">
        <v>58</v>
      </c>
      <c r="B129" s="5" t="s">
        <v>123</v>
      </c>
      <c r="C129" s="23">
        <f>'Total and digestible IAA'!AH129/$C$2</f>
        <v>0.97228974234321841</v>
      </c>
      <c r="D129" s="23">
        <f>'Total and digestible IAA'!AI129/$D$2</f>
        <v>0.70554518794988008</v>
      </c>
      <c r="E129" s="23">
        <f>'Total and digestible IAA'!AJ129/$E$2</f>
        <v>0.83651859504132231</v>
      </c>
      <c r="F129" s="23">
        <f>'Total and digestible IAA'!AK129/$F$2</f>
        <v>0.82222013523666404</v>
      </c>
      <c r="G129" s="23">
        <f>'Total and digestible IAA'!AL129/$G$2</f>
        <v>0.47556908800927938</v>
      </c>
      <c r="H129" s="23">
        <f>'Total and digestible IAA'!AM129/$H$2</f>
        <v>0.67791551882460965</v>
      </c>
      <c r="I129" s="23">
        <f>'Total and digestible IAA'!AN129/$I$2</f>
        <v>1.3811586141131593</v>
      </c>
      <c r="J129" s="23">
        <f>'Total and digestible IAA'!AO129/$J$2</f>
        <v>0.75115318085719784</v>
      </c>
      <c r="K129" s="23">
        <f>'Total and digestible IAA'!AP129/$K$2</f>
        <v>0.97190082644628095</v>
      </c>
      <c r="L129" s="24">
        <f t="shared" si="1"/>
        <v>47.556908800927935</v>
      </c>
      <c r="M129" s="14" t="s">
        <v>8</v>
      </c>
    </row>
    <row r="130" spans="1:13" s="4" customFormat="1" x14ac:dyDescent="0.25">
      <c r="A130" s="4" t="s">
        <v>59</v>
      </c>
      <c r="B130" s="5" t="s">
        <v>123</v>
      </c>
      <c r="C130" s="23">
        <f>'Total and digestible IAA'!AH130/$C$2</f>
        <v>1.0211679608552284</v>
      </c>
      <c r="D130" s="23">
        <f>'Total and digestible IAA'!AI130/$D$2</f>
        <v>0.76836026366446952</v>
      </c>
      <c r="E130" s="23">
        <f>'Total and digestible IAA'!AJ130/$E$2</f>
        <v>0.92540687160940327</v>
      </c>
      <c r="F130" s="23">
        <f>'Total and digestible IAA'!AK130/$F$2</f>
        <v>0.88854183790892649</v>
      </c>
      <c r="G130" s="23">
        <f>'Total and digestible IAA'!AL130/$G$2</f>
        <v>0.50531391770565659</v>
      </c>
      <c r="H130" s="23">
        <f>'Total and digestible IAA'!AM130/$H$2</f>
        <v>0.59821847163619324</v>
      </c>
      <c r="I130" s="23">
        <f>'Total and digestible IAA'!AN130/$I$2</f>
        <v>1.5428084573654191</v>
      </c>
      <c r="J130" s="23">
        <f>'Total and digestible IAA'!AO130/$J$2</f>
        <v>0.827957441439926</v>
      </c>
      <c r="K130" s="23">
        <f>'Total and digestible IAA'!AP130/$K$2</f>
        <v>1.0090415913200723</v>
      </c>
      <c r="L130" s="24">
        <f t="shared" si="1"/>
        <v>50.531391770565662</v>
      </c>
      <c r="M130" s="14" t="s">
        <v>8</v>
      </c>
    </row>
    <row r="131" spans="1:13" s="4" customFormat="1" x14ac:dyDescent="0.25">
      <c r="A131" s="4" t="s">
        <v>61</v>
      </c>
      <c r="B131" s="5" t="s">
        <v>123</v>
      </c>
      <c r="C131" s="23">
        <f>'Total and digestible IAA'!AH131/$C$2</f>
        <v>0.90036014405762299</v>
      </c>
      <c r="D131" s="23">
        <f>'Total and digestible IAA'!AI131/$D$2</f>
        <v>0.77233826081752344</v>
      </c>
      <c r="E131" s="23">
        <f>'Total and digestible IAA'!AJ131/$E$2</f>
        <v>0.92810760667903525</v>
      </c>
      <c r="F131" s="23">
        <f>'Total and digestible IAA'!AK131/$F$2</f>
        <v>0.89048181255973469</v>
      </c>
      <c r="G131" s="23">
        <f>'Total and digestible IAA'!AL131/$G$2</f>
        <v>0.50984604368063025</v>
      </c>
      <c r="H131" s="23">
        <f>'Total and digestible IAA'!AM131/$H$2</f>
        <v>0.70418470418470425</v>
      </c>
      <c r="I131" s="23">
        <f>'Total and digestible IAA'!AN131/$I$2</f>
        <v>1.5422077922077919</v>
      </c>
      <c r="J131" s="23">
        <f>'Total and digestible IAA'!AO131/$J$2</f>
        <v>0.8335850196315312</v>
      </c>
      <c r="K131" s="23">
        <f>'Total and digestible IAA'!AP131/$K$2</f>
        <v>1.0185528756957329</v>
      </c>
      <c r="L131" s="24">
        <f t="shared" si="1"/>
        <v>50.984604368063025</v>
      </c>
      <c r="M131" s="14" t="s">
        <v>8</v>
      </c>
    </row>
    <row r="132" spans="1:13" s="4" customFormat="1" x14ac:dyDescent="0.25">
      <c r="A132" s="4" t="s">
        <v>98</v>
      </c>
      <c r="B132" s="5" t="s">
        <v>123</v>
      </c>
      <c r="C132" s="23">
        <f>'Total and digestible IAA'!AH132/$C$2</f>
        <v>1.4221073044602457</v>
      </c>
      <c r="D132" s="23">
        <f>'Total and digestible IAA'!AI132/$D$2</f>
        <v>0.8869195320808223</v>
      </c>
      <c r="E132" s="23">
        <f>'Total and digestible IAA'!AJ132/$E$2</f>
        <v>1.0512534340659341</v>
      </c>
      <c r="F132" s="23">
        <f>'Total and digestible IAA'!AK132/$F$2</f>
        <v>0.72261072261072268</v>
      </c>
      <c r="G132" s="23">
        <f>'Total and digestible IAA'!AL132/$G$2</f>
        <v>0.53759398496240618</v>
      </c>
      <c r="H132" s="23">
        <f>'Total and digestible IAA'!AM132/$H$2</f>
        <v>1.1201668701668703</v>
      </c>
      <c r="I132" s="23">
        <f>'Total and digestible IAA'!AN132/$I$2</f>
        <v>1.1251056635672021</v>
      </c>
      <c r="J132" s="23">
        <f>'Total and digestible IAA'!AO132/$J$2</f>
        <v>0.91010733452593928</v>
      </c>
      <c r="K132" s="23">
        <f>'Total and digestible IAA'!AP132/$K$2</f>
        <v>1.0526098901098899</v>
      </c>
      <c r="L132" s="24">
        <f t="shared" ref="L132:L195" si="2">MIN(C132:K132)*100</f>
        <v>53.759398496240621</v>
      </c>
      <c r="M132" s="14" t="s">
        <v>8</v>
      </c>
    </row>
    <row r="133" spans="1:13" s="4" customFormat="1" x14ac:dyDescent="0.25">
      <c r="A133" s="4" t="s">
        <v>99</v>
      </c>
      <c r="B133" s="5" t="s">
        <v>123</v>
      </c>
      <c r="C133" s="23">
        <f>'Total and digestible IAA'!AH133/$C$2</f>
        <v>1.543369890329013</v>
      </c>
      <c r="D133" s="23">
        <f>'Total and digestible IAA'!AI133/$D$2</f>
        <v>0.95425551303080014</v>
      </c>
      <c r="E133" s="23">
        <f>'Total and digestible IAA'!AJ133/$E$2</f>
        <v>1.1405367231638419</v>
      </c>
      <c r="F133" s="23">
        <f>'Total and digestible IAA'!AK133/$F$2</f>
        <v>0.78034583119328882</v>
      </c>
      <c r="G133" s="23">
        <f>'Total and digestible IAA'!AL133/$G$2</f>
        <v>0.53731787094855787</v>
      </c>
      <c r="H133" s="23">
        <f>'Total and digestible IAA'!AM133/$H$2</f>
        <v>1.1738857501569366</v>
      </c>
      <c r="I133" s="23">
        <f>'Total and digestible IAA'!AN133/$I$2</f>
        <v>1.2006736201651456</v>
      </c>
      <c r="J133" s="23">
        <f>'Total and digestible IAA'!AO133/$J$2</f>
        <v>0.99329917225068975</v>
      </c>
      <c r="K133" s="23">
        <f>'Total and digestible IAA'!AP133/$K$2</f>
        <v>1.0887005649717514</v>
      </c>
      <c r="L133" s="24">
        <f t="shared" si="2"/>
        <v>53.73178709485579</v>
      </c>
      <c r="M133" s="14" t="s">
        <v>8</v>
      </c>
    </row>
    <row r="134" spans="1:13" s="4" customFormat="1" x14ac:dyDescent="0.25">
      <c r="A134" s="4" t="s">
        <v>125</v>
      </c>
      <c r="B134" s="5" t="s">
        <v>123</v>
      </c>
      <c r="C134" s="23">
        <f>'Total and digestible IAA'!AH134/$C$2</f>
        <v>0.60767263427109985</v>
      </c>
      <c r="D134" s="23">
        <f>'Total and digestible IAA'!AI134/$D$2</f>
        <v>1.0555399719495091</v>
      </c>
      <c r="E134" s="23">
        <f>'Total and digestible IAA'!AJ134/$E$2</f>
        <v>1.2173913043478262</v>
      </c>
      <c r="F134" s="23">
        <f>'Total and digestible IAA'!AK134/$F$2</f>
        <v>1.0434782608695654</v>
      </c>
      <c r="G134" s="23">
        <f>'Total and digestible IAA'!AL134/$G$2</f>
        <v>7.4752097635392839E-2</v>
      </c>
      <c r="H134" s="23">
        <f>'Total and digestible IAA'!AM134/$H$2</f>
        <v>0.56618357487922699</v>
      </c>
      <c r="I134" s="23">
        <f>'Total and digestible IAA'!AN134/$I$2</f>
        <v>1.1528428093645484</v>
      </c>
      <c r="J134" s="23">
        <f>'Total and digestible IAA'!AO134/$J$2</f>
        <v>0.9342770475227502</v>
      </c>
      <c r="K134" s="23">
        <f>'Total and digestible IAA'!AP134/$K$2</f>
        <v>0.51217391304347815</v>
      </c>
      <c r="L134" s="24">
        <f t="shared" si="2"/>
        <v>7.4752097635392838</v>
      </c>
      <c r="M134" s="14" t="s">
        <v>8</v>
      </c>
    </row>
    <row r="135" spans="1:13" s="4" customFormat="1" x14ac:dyDescent="0.25">
      <c r="A135" s="4" t="s">
        <v>127</v>
      </c>
      <c r="B135" s="5" t="s">
        <v>123</v>
      </c>
      <c r="C135" s="23">
        <f>'Total and digestible IAA'!AH135/$C$2</f>
        <v>0.65432914738929282</v>
      </c>
      <c r="D135" s="23">
        <f>'Total and digestible IAA'!AI135/$D$2</f>
        <v>1.0764769844146429</v>
      </c>
      <c r="E135" s="23">
        <f>'Total and digestible IAA'!AJ135/$E$2</f>
        <v>1.2324438202247192</v>
      </c>
      <c r="F135" s="23">
        <f>'Total and digestible IAA'!AK135/$F$2</f>
        <v>1.0607763023493362</v>
      </c>
      <c r="G135" s="23">
        <f>'Total and digestible IAA'!AL135/$G$2</f>
        <v>7.8848807411787902E-2</v>
      </c>
      <c r="H135" s="23">
        <f>'Total and digestible IAA'!AM135/$H$2</f>
        <v>0.57012068248023295</v>
      </c>
      <c r="I135" s="23">
        <f>'Total and digestible IAA'!AN135/$I$2</f>
        <v>1.1646499567847881</v>
      </c>
      <c r="J135" s="23">
        <f>'Total and digestible IAA'!AO135/$J$2</f>
        <v>0.95636268617716225</v>
      </c>
      <c r="K135" s="23">
        <f>'Total and digestible IAA'!AP135/$K$2</f>
        <v>0.5308988764044944</v>
      </c>
      <c r="L135" s="24">
        <f t="shared" si="2"/>
        <v>7.8848807411787902</v>
      </c>
      <c r="M135" s="14" t="s">
        <v>8</v>
      </c>
    </row>
    <row r="136" spans="1:13" s="4" customFormat="1" x14ac:dyDescent="0.25">
      <c r="A136" s="4" t="s">
        <v>129</v>
      </c>
      <c r="B136" s="5" t="s">
        <v>123</v>
      </c>
      <c r="C136" s="23">
        <f>'Total and digestible IAA'!AH136/$C$2</f>
        <v>0.70014347202295557</v>
      </c>
      <c r="D136" s="23">
        <f>'Total and digestible IAA'!AI136/$D$2</f>
        <v>1.1959087332808811</v>
      </c>
      <c r="E136" s="23">
        <f>'Total and digestible IAA'!AJ136/$E$2</f>
        <v>1.3338414634146343</v>
      </c>
      <c r="F136" s="23">
        <f>'Total and digestible IAA'!AK136/$F$2</f>
        <v>1.1282335550628233</v>
      </c>
      <c r="G136" s="23">
        <f>'Total and digestible IAA'!AL136/$G$2</f>
        <v>8.2727143060904285E-2</v>
      </c>
      <c r="H136" s="23">
        <f>'Total and digestible IAA'!AM136/$H$2</f>
        <v>0.6329418849744054</v>
      </c>
      <c r="I136" s="23">
        <f>'Total and digestible IAA'!AN136/$I$2</f>
        <v>1.2482801751094432</v>
      </c>
      <c r="J136" s="23">
        <f>'Total and digestible IAA'!AO136/$J$2</f>
        <v>1.0357345433919456</v>
      </c>
      <c r="K136" s="23">
        <f>'Total and digestible IAA'!AP136/$K$2</f>
        <v>0.55284552845528456</v>
      </c>
      <c r="L136" s="24">
        <f t="shared" si="2"/>
        <v>8.2727143060904282</v>
      </c>
      <c r="M136" s="14" t="s">
        <v>8</v>
      </c>
    </row>
    <row r="137" spans="1:13" s="4" customFormat="1" x14ac:dyDescent="0.25">
      <c r="A137" s="4" t="s">
        <v>131</v>
      </c>
      <c r="B137" s="5" t="s">
        <v>123</v>
      </c>
      <c r="C137" s="23">
        <f>'Total and digestible IAA'!AH137/$C$2</f>
        <v>0.74239350912778912</v>
      </c>
      <c r="D137" s="23">
        <f>'Total and digestible IAA'!AI137/$D$2</f>
        <v>1.2013348164627364</v>
      </c>
      <c r="E137" s="23">
        <f>'Total and digestible IAA'!AJ137/$E$2</f>
        <v>1.3389008620689655</v>
      </c>
      <c r="F137" s="23">
        <f>'Total and digestible IAA'!AK137/$F$2</f>
        <v>1.1314002089864157</v>
      </c>
      <c r="G137" s="23">
        <f>'Total and digestible IAA'!AL137/$G$2</f>
        <v>8.7719298245614016E-2</v>
      </c>
      <c r="H137" s="23">
        <f>'Total and digestible IAA'!AM137/$H$2</f>
        <v>0.629948914431673</v>
      </c>
      <c r="I137" s="23">
        <f>'Total and digestible IAA'!AN137/$I$2</f>
        <v>1.2513262599469497</v>
      </c>
      <c r="J137" s="23">
        <f>'Total and digestible IAA'!AO137/$J$2</f>
        <v>1.0320769847634321</v>
      </c>
      <c r="K137" s="23">
        <f>'Total and digestible IAA'!AP137/$K$2</f>
        <v>0.55689655172413788</v>
      </c>
      <c r="L137" s="24">
        <f t="shared" si="2"/>
        <v>8.7719298245614024</v>
      </c>
      <c r="M137" s="14" t="s">
        <v>8</v>
      </c>
    </row>
    <row r="138" spans="1:13" s="4" customFormat="1" x14ac:dyDescent="0.25">
      <c r="A138" s="4" t="s">
        <v>133</v>
      </c>
      <c r="B138" s="5" t="s">
        <v>123</v>
      </c>
      <c r="C138" s="23">
        <f>'Total and digestible IAA'!AH138/$C$2</f>
        <v>0.39584775086505197</v>
      </c>
      <c r="D138" s="23">
        <f>'Total and digestible IAA'!AI138/$D$2</f>
        <v>0.53282732447817838</v>
      </c>
      <c r="E138" s="23">
        <f>'Total and digestible IAA'!AJ138/$E$2</f>
        <v>0.7279411764705882</v>
      </c>
      <c r="F138" s="23">
        <f>'Total and digestible IAA'!AK138/$F$2</f>
        <v>0.66131907308377891</v>
      </c>
      <c r="G138" s="23">
        <f>'Total and digestible IAA'!AL138/$G$2</f>
        <v>0.19091847265221878</v>
      </c>
      <c r="H138" s="23">
        <f>'Total and digestible IAA'!AM138/$H$2</f>
        <v>0.65947712418300664</v>
      </c>
      <c r="I138" s="23">
        <f>'Total and digestible IAA'!AN138/$I$2</f>
        <v>0.89524886877828058</v>
      </c>
      <c r="J138" s="23">
        <f>'Total and digestible IAA'!AO138/$J$2</f>
        <v>0.76744186046511631</v>
      </c>
      <c r="K138" s="23">
        <f>'Total and digestible IAA'!AP138/$K$2</f>
        <v>0.6638235294117647</v>
      </c>
      <c r="L138" s="24">
        <f t="shared" si="2"/>
        <v>19.09184726522188</v>
      </c>
      <c r="M138" s="14" t="s">
        <v>8</v>
      </c>
    </row>
    <row r="139" spans="1:13" s="4" customFormat="1" x14ac:dyDescent="0.25">
      <c r="A139" s="4" t="s">
        <v>135</v>
      </c>
      <c r="B139" s="5" t="s">
        <v>123</v>
      </c>
      <c r="C139" s="23">
        <f>'Total and digestible IAA'!AH139/$C$2</f>
        <v>0.40115718418514951</v>
      </c>
      <c r="D139" s="23">
        <f>'Total and digestible IAA'!AI139/$D$2</f>
        <v>0.54997355896351141</v>
      </c>
      <c r="E139" s="23">
        <f>'Total and digestible IAA'!AJ139/$E$2</f>
        <v>0.74385245901639341</v>
      </c>
      <c r="F139" s="23">
        <f>'Total and digestible IAA'!AK139/$F$2</f>
        <v>0.68968372247060772</v>
      </c>
      <c r="G139" s="23">
        <f>'Total and digestible IAA'!AL139/$G$2</f>
        <v>0.19509155402166622</v>
      </c>
      <c r="H139" s="23">
        <f>'Total and digestible IAA'!AM139/$H$2</f>
        <v>0.68245294474802665</v>
      </c>
      <c r="I139" s="23">
        <f>'Total and digestible IAA'!AN139/$I$2</f>
        <v>0.94398907103825147</v>
      </c>
      <c r="J139" s="23">
        <f>'Total and digestible IAA'!AO139/$J$2</f>
        <v>0.76324818909645464</v>
      </c>
      <c r="K139" s="23">
        <f>'Total and digestible IAA'!AP139/$K$2</f>
        <v>0.78333333333333333</v>
      </c>
      <c r="L139" s="24">
        <f t="shared" si="2"/>
        <v>19.509155402166623</v>
      </c>
      <c r="M139" s="14" t="s">
        <v>8</v>
      </c>
    </row>
    <row r="140" spans="1:13" s="4" customFormat="1" x14ac:dyDescent="0.25">
      <c r="A140" s="4" t="s">
        <v>76</v>
      </c>
      <c r="B140" s="5" t="s">
        <v>123</v>
      </c>
      <c r="C140" s="23">
        <f>'Total and digestible IAA'!AH140/$C$2</f>
        <v>0.98237039622970879</v>
      </c>
      <c r="D140" s="23">
        <f>'Total and digestible IAA'!AI140/$D$2</f>
        <v>1.0693979132765385</v>
      </c>
      <c r="E140" s="23">
        <f>'Total and digestible IAA'!AJ140/$E$2</f>
        <v>0.98367952522255198</v>
      </c>
      <c r="F140" s="23">
        <f>'Total and digestible IAA'!AK140/$F$2</f>
        <v>0.84794532865749483</v>
      </c>
      <c r="G140" s="23">
        <f>'Total and digestible IAA'!AL140/$G$2</f>
        <v>0.73757093029309173</v>
      </c>
      <c r="H140" s="23">
        <f>'Total and digestible IAA'!AM140/$H$2</f>
        <v>1.3772942081547423</v>
      </c>
      <c r="I140" s="23">
        <f>'Total and digestible IAA'!AN140/$I$2</f>
        <v>1.07783611047706</v>
      </c>
      <c r="J140" s="23">
        <f>'Total and digestible IAA'!AO140/$J$2</f>
        <v>0.91926023048788919</v>
      </c>
      <c r="K140" s="23">
        <f>'Total and digestible IAA'!AP140/$K$2</f>
        <v>1.1476261127596439</v>
      </c>
      <c r="L140" s="24">
        <f t="shared" si="2"/>
        <v>73.757093029309175</v>
      </c>
      <c r="M140" s="14" t="s">
        <v>8</v>
      </c>
    </row>
    <row r="141" spans="1:13" s="4" customFormat="1" x14ac:dyDescent="0.25">
      <c r="A141" s="4" t="s">
        <v>78</v>
      </c>
      <c r="B141" s="5" t="s">
        <v>123</v>
      </c>
      <c r="C141" s="23">
        <f>'Total and digestible IAA'!AH141/$C$2</f>
        <v>1.1610313416705265</v>
      </c>
      <c r="D141" s="23">
        <f>'Total and digestible IAA'!AI141/$D$2</f>
        <v>1.0414020828041657</v>
      </c>
      <c r="E141" s="23">
        <f>'Total and digestible IAA'!AJ141/$E$2</f>
        <v>0.9788385826771655</v>
      </c>
      <c r="F141" s="23">
        <f>'Total and digestible IAA'!AK141/$F$2</f>
        <v>0.84784856438399747</v>
      </c>
      <c r="G141" s="23">
        <f>'Total and digestible IAA'!AL141/$G$2</f>
        <v>0.70451719850808125</v>
      </c>
      <c r="H141" s="23">
        <f>'Total and digestible IAA'!AM141/$H$2</f>
        <v>1.3677456984543599</v>
      </c>
      <c r="I141" s="23">
        <f>'Total and digestible IAA'!AN141/$I$2</f>
        <v>1.051938219261054</v>
      </c>
      <c r="J141" s="23">
        <f>'Total and digestible IAA'!AO141/$J$2</f>
        <v>0.91649880974180553</v>
      </c>
      <c r="K141" s="23">
        <f>'Total and digestible IAA'!AP141/$K$2</f>
        <v>1.1574803149606301</v>
      </c>
      <c r="L141" s="24">
        <f t="shared" si="2"/>
        <v>70.451719850808132</v>
      </c>
      <c r="M141" s="14" t="s">
        <v>8</v>
      </c>
    </row>
    <row r="142" spans="1:13" s="4" customFormat="1" x14ac:dyDescent="0.25">
      <c r="A142" s="4" t="s">
        <v>102</v>
      </c>
      <c r="B142" s="5" t="s">
        <v>123</v>
      </c>
      <c r="C142" s="23">
        <f>'Total and digestible IAA'!AH142/$C$2</f>
        <v>0.92604669362201653</v>
      </c>
      <c r="D142" s="23">
        <f>'Total and digestible IAA'!AI142/$D$2</f>
        <v>0.84664902367498762</v>
      </c>
      <c r="E142" s="23">
        <f>'Total and digestible IAA'!AJ142/$E$2</f>
        <v>0.94581485587583147</v>
      </c>
      <c r="F142" s="23">
        <f>'Total and digestible IAA'!AK142/$F$2</f>
        <v>0.86541691863199632</v>
      </c>
      <c r="G142" s="23">
        <f>'Total and digestible IAA'!AL142/$G$2</f>
        <v>0.35461158439335588</v>
      </c>
      <c r="H142" s="23">
        <f>'Total and digestible IAA'!AM142/$H$2</f>
        <v>1.513016342284635</v>
      </c>
      <c r="I142" s="23">
        <f>'Total and digestible IAA'!AN142/$I$2</f>
        <v>1.3049206890670306</v>
      </c>
      <c r="J142" s="23">
        <f>'Total and digestible IAA'!AO142/$J$2</f>
        <v>0.89568400969421957</v>
      </c>
      <c r="K142" s="23">
        <f>'Total and digestible IAA'!AP142/$K$2</f>
        <v>1.0301552106430154</v>
      </c>
      <c r="L142" s="24">
        <f t="shared" si="2"/>
        <v>35.461158439335591</v>
      </c>
      <c r="M142" s="14" t="s">
        <v>8</v>
      </c>
    </row>
    <row r="143" spans="1:13" s="4" customFormat="1" x14ac:dyDescent="0.25">
      <c r="A143" s="4" t="s">
        <v>137</v>
      </c>
      <c r="B143" s="5" t="s">
        <v>123</v>
      </c>
      <c r="C143" s="23">
        <f>'Total and digestible IAA'!AH143/$C$2</f>
        <v>1.1424836601307191</v>
      </c>
      <c r="D143" s="23">
        <f>'Total and digestible IAA'!AI143/$D$2</f>
        <v>0.82867383512544801</v>
      </c>
      <c r="E143" s="23">
        <f>'Total and digestible IAA'!AJ143/$E$2</f>
        <v>1.0416666666666667</v>
      </c>
      <c r="F143" s="23">
        <f>'Total and digestible IAA'!AK143/$F$2</f>
        <v>0.88148148148148131</v>
      </c>
      <c r="G143" s="23">
        <f>'Total and digestible IAA'!AL143/$G$2</f>
        <v>0.46146848602988955</v>
      </c>
      <c r="H143" s="23">
        <f>'Total and digestible IAA'!AM143/$H$2</f>
        <v>0.99917695473251034</v>
      </c>
      <c r="I143" s="23">
        <f>'Total and digestible IAA'!AN143/$I$2</f>
        <v>1.0061253561253563</v>
      </c>
      <c r="J143" s="23">
        <f>'Total and digestible IAA'!AO143/$J$2</f>
        <v>0.94315245478036158</v>
      </c>
      <c r="K143" s="23">
        <f>'Total and digestible IAA'!AP143/$K$2</f>
        <v>1.0277777777777781</v>
      </c>
      <c r="L143" s="24">
        <f t="shared" si="2"/>
        <v>46.146848602988953</v>
      </c>
      <c r="M143" s="14" t="s">
        <v>8</v>
      </c>
    </row>
    <row r="144" spans="1:13" s="4" customFormat="1" x14ac:dyDescent="0.25">
      <c r="A144" s="4" t="s">
        <v>63</v>
      </c>
      <c r="B144" s="5" t="s">
        <v>123</v>
      </c>
      <c r="C144" s="23">
        <f>'Total and digestible IAA'!AH144/$C$2</f>
        <v>1.4035043804755944</v>
      </c>
      <c r="D144" s="23">
        <f>'Total and digestible IAA'!AI144/$D$2</f>
        <v>1.0927247769389157</v>
      </c>
      <c r="E144" s="23">
        <f>'Total and digestible IAA'!AJ144/$E$2</f>
        <v>1.2925531914893618</v>
      </c>
      <c r="F144" s="23">
        <f>'Total and digestible IAA'!AK144/$F$2</f>
        <v>1.0357833655705995</v>
      </c>
      <c r="G144" s="23">
        <f>'Total and digestible IAA'!AL144/$G$2</f>
        <v>0.98096304591265415</v>
      </c>
      <c r="H144" s="23">
        <f>'Total and digestible IAA'!AM144/$H$2</f>
        <v>0.97935382190701348</v>
      </c>
      <c r="I144" s="23">
        <f>'Total and digestible IAA'!AN144/$I$2</f>
        <v>1.5073240589198038</v>
      </c>
      <c r="J144" s="23">
        <f>'Total and digestible IAA'!AO144/$J$2</f>
        <v>0.9840672934190996</v>
      </c>
      <c r="K144" s="23">
        <f>'Total and digestible IAA'!AP144/$K$2</f>
        <v>1.2294680851063831</v>
      </c>
      <c r="L144" s="24">
        <f t="shared" si="2"/>
        <v>97.935382190701347</v>
      </c>
      <c r="M144" s="14" t="s">
        <v>537</v>
      </c>
    </row>
    <row r="145" spans="1:14" s="4" customFormat="1" x14ac:dyDescent="0.25">
      <c r="A145" s="4" t="s">
        <v>64</v>
      </c>
      <c r="B145" s="5" t="s">
        <v>123</v>
      </c>
      <c r="C145" s="23">
        <f>'Total and digestible IAA'!AH145/$C$2</f>
        <v>1.4383838383838381</v>
      </c>
      <c r="D145" s="23">
        <f>'Total and digestible IAA'!AI145/$D$2</f>
        <v>1.0704463994786575</v>
      </c>
      <c r="E145" s="23">
        <f>'Total and digestible IAA'!AJ145/$E$2</f>
        <v>1.2754419191919193</v>
      </c>
      <c r="F145" s="23">
        <f>'Total and digestible IAA'!AK145/$F$2</f>
        <v>1.0270278543005815</v>
      </c>
      <c r="G145" s="23">
        <f>'Total and digestible IAA'!AL145/$G$2</f>
        <v>0.97153996101364526</v>
      </c>
      <c r="H145" s="23">
        <f>'Total and digestible IAA'!AM145/$H$2</f>
        <v>0.97890011223344553</v>
      </c>
      <c r="I145" s="23">
        <f>'Total and digestible IAA'!AN145/$I$2</f>
        <v>1.4928127428127429</v>
      </c>
      <c r="J145" s="23">
        <f>'Total and digestible IAA'!AO145/$J$2</f>
        <v>0.98811369509043923</v>
      </c>
      <c r="K145" s="23">
        <f>'Total and digestible IAA'!AP145/$K$2</f>
        <v>1.2090909090909092</v>
      </c>
      <c r="L145" s="24">
        <f t="shared" si="2"/>
        <v>97.153996101364527</v>
      </c>
      <c r="M145" s="14" t="s">
        <v>8</v>
      </c>
    </row>
    <row r="146" spans="1:14" s="4" customFormat="1" x14ac:dyDescent="0.25">
      <c r="A146" s="4" t="s">
        <v>67</v>
      </c>
      <c r="B146" s="5" t="s">
        <v>123</v>
      </c>
      <c r="C146" s="23">
        <f>'Total and digestible IAA'!AH146/$C$2</f>
        <v>1.4531424737195258</v>
      </c>
      <c r="D146" s="23">
        <f>'Total and digestible IAA'!AI146/$D$2</f>
        <v>1.0724273273641605</v>
      </c>
      <c r="E146" s="23">
        <f>'Total and digestible IAA'!AJ146/$E$2</f>
        <v>1.2690114068441063</v>
      </c>
      <c r="F146" s="23">
        <f>'Total and digestible IAA'!AK146/$F$2</f>
        <v>1.0305910819218804</v>
      </c>
      <c r="G146" s="23">
        <f>'Total and digestible IAA'!AL146/$G$2</f>
        <v>0.98158895337202334</v>
      </c>
      <c r="H146" s="23">
        <f>'Total and digestible IAA'!AM146/$H$2</f>
        <v>0.977115899169131</v>
      </c>
      <c r="I146" s="23">
        <f>'Total and digestible IAA'!AN146/$I$2</f>
        <v>1.4907502193623867</v>
      </c>
      <c r="J146" s="23">
        <f>'Total and digestible IAA'!AO146/$J$2</f>
        <v>0.98434874878415413</v>
      </c>
      <c r="K146" s="23">
        <f>'Total and digestible IAA'!AP146/$K$2</f>
        <v>1.21967680608365</v>
      </c>
      <c r="L146" s="24">
        <f t="shared" si="2"/>
        <v>97.711589916913098</v>
      </c>
      <c r="M146" s="14" t="s">
        <v>537</v>
      </c>
    </row>
    <row r="147" spans="1:14" s="4" customFormat="1" x14ac:dyDescent="0.25">
      <c r="A147" s="4" t="s">
        <v>69</v>
      </c>
      <c r="B147" s="5" t="s">
        <v>123</v>
      </c>
      <c r="C147" s="23">
        <f>'Total and digestible IAA'!AH147/$C$2</f>
        <v>1.4531424737195258</v>
      </c>
      <c r="D147" s="23">
        <f>'Total and digestible IAA'!AI147/$D$2</f>
        <v>1.0724273273641605</v>
      </c>
      <c r="E147" s="23">
        <f>'Total and digestible IAA'!AJ147/$E$2</f>
        <v>1.2690114068441063</v>
      </c>
      <c r="F147" s="23">
        <f>'Total and digestible IAA'!AK147/$F$2</f>
        <v>1.0305910819218804</v>
      </c>
      <c r="G147" s="23">
        <f>'Total and digestible IAA'!AL147/$G$2</f>
        <v>0.98158895337202334</v>
      </c>
      <c r="H147" s="23">
        <f>'Total and digestible IAA'!AM147/$H$2</f>
        <v>0.977115899169131</v>
      </c>
      <c r="I147" s="23">
        <f>'Total and digestible IAA'!AN147/$I$2</f>
        <v>1.4907502193623867</v>
      </c>
      <c r="J147" s="23">
        <f>'Total and digestible IAA'!AO147/$J$2</f>
        <v>0.98434874878415413</v>
      </c>
      <c r="K147" s="23">
        <f>'Total and digestible IAA'!AP147/$K$2</f>
        <v>1.21967680608365</v>
      </c>
      <c r="L147" s="24">
        <f t="shared" si="2"/>
        <v>97.711589916913098</v>
      </c>
      <c r="M147" s="14" t="s">
        <v>537</v>
      </c>
    </row>
    <row r="148" spans="1:14" s="4" customFormat="1" x14ac:dyDescent="0.25">
      <c r="A148" s="4" t="s">
        <v>71</v>
      </c>
      <c r="B148" s="5" t="s">
        <v>123</v>
      </c>
      <c r="C148" s="23">
        <f>'Total and digestible IAA'!AH148/$C$2</f>
        <v>1.4933930093776642</v>
      </c>
      <c r="D148" s="23">
        <f>'Total and digestible IAA'!AI148/$D$2</f>
        <v>1.0870149602618047</v>
      </c>
      <c r="E148" s="23">
        <f>'Total and digestible IAA'!AJ148/$E$2</f>
        <v>1.2930819746376814</v>
      </c>
      <c r="F148" s="23">
        <f>'Total and digestible IAA'!AK148/$F$2</f>
        <v>1.0540733421168202</v>
      </c>
      <c r="G148" s="23">
        <f>'Total and digestible IAA'!AL148/$G$2</f>
        <v>1.002923976608187</v>
      </c>
      <c r="H148" s="23">
        <f>'Total and digestible IAA'!AM148/$H$2</f>
        <v>1.0071792807300053</v>
      </c>
      <c r="I148" s="23">
        <f>'Total and digestible IAA'!AN148/$I$2</f>
        <v>1.5227842809364547</v>
      </c>
      <c r="J148" s="23">
        <f>'Total and digestible IAA'!AO148/$J$2</f>
        <v>1.0085945399393326</v>
      </c>
      <c r="K148" s="23">
        <f>'Total and digestible IAA'!AP148/$K$2</f>
        <v>1.2249999999999999</v>
      </c>
      <c r="L148" s="24">
        <f t="shared" si="2"/>
        <v>100.29239766081869</v>
      </c>
      <c r="M148" s="14" t="s">
        <v>8</v>
      </c>
    </row>
    <row r="149" spans="1:14" s="4" customFormat="1" x14ac:dyDescent="0.25">
      <c r="A149" s="4" t="s">
        <v>265</v>
      </c>
      <c r="B149" s="5" t="s">
        <v>123</v>
      </c>
      <c r="C149" s="23">
        <f>'Total and digestible IAA'!AH149/$C$2</f>
        <v>1.4603722320336912</v>
      </c>
      <c r="D149" s="23">
        <f>'Total and digestible IAA'!AI149/$D$2</f>
        <v>1.0613126722789239</v>
      </c>
      <c r="E149" s="23">
        <f>'Total and digestible IAA'!AJ149/$E$2</f>
        <v>1.3165127020785219</v>
      </c>
      <c r="F149" s="23">
        <f>'Total and digestible IAA'!AK149/$F$2</f>
        <v>1.0374413884806493</v>
      </c>
      <c r="G149" s="23">
        <f>'Total and digestible IAA'!AL149/$G$2</f>
        <v>0.99051902273003523</v>
      </c>
      <c r="H149" s="23">
        <f>'Total and digestible IAA'!AM149/$H$2</f>
        <v>0.86115815584637756</v>
      </c>
      <c r="I149" s="23">
        <f>'Total and digestible IAA'!AN149/$I$2</f>
        <v>1.5033265233611652</v>
      </c>
      <c r="J149" s="23">
        <f>'Total and digestible IAA'!AO149/$J$2</f>
        <v>0.98500456522906688</v>
      </c>
      <c r="K149" s="23">
        <f>'Total and digestible IAA'!AP149/$K$2</f>
        <v>1.1597459584295613</v>
      </c>
      <c r="L149" s="24">
        <f t="shared" si="2"/>
        <v>86.115815584637758</v>
      </c>
      <c r="M149" s="14" t="s">
        <v>355</v>
      </c>
    </row>
    <row r="150" spans="1:14" s="4" customFormat="1" x14ac:dyDescent="0.25">
      <c r="A150" s="4" t="s">
        <v>266</v>
      </c>
      <c r="B150" s="5" t="s">
        <v>123</v>
      </c>
      <c r="C150" s="23">
        <f>'Total and digestible IAA'!AH150/$C$2</f>
        <v>1.4917495906285425</v>
      </c>
      <c r="D150" s="23">
        <f>'Total and digestible IAA'!AI150/$D$2</f>
        <v>1.0714719900531879</v>
      </c>
      <c r="E150" s="23">
        <f>'Total and digestible IAA'!AJ150/$E$2</f>
        <v>1.4102516059957175</v>
      </c>
      <c r="F150" s="23">
        <f>'Total and digestible IAA'!AK150/$F$2</f>
        <v>1.0914930893517616</v>
      </c>
      <c r="G150" s="23">
        <f>'Total and digestible IAA'!AL150/$G$2</f>
        <v>1.0241406514144034</v>
      </c>
      <c r="H150" s="23">
        <f>'Total and digestible IAA'!AM150/$H$2</f>
        <v>0.90816083749702603</v>
      </c>
      <c r="I150" s="23">
        <f>'Total and digestible IAA'!AN150/$I$2</f>
        <v>1.5551597759841873</v>
      </c>
      <c r="J150" s="23">
        <f>'Total and digestible IAA'!AO150/$J$2</f>
        <v>1.0656242219012997</v>
      </c>
      <c r="K150" s="23">
        <f>'Total and digestible IAA'!AP150/$K$2</f>
        <v>1.2375160599571735</v>
      </c>
      <c r="L150" s="24">
        <f t="shared" si="2"/>
        <v>90.816083749702599</v>
      </c>
      <c r="M150" s="14" t="s">
        <v>355</v>
      </c>
    </row>
    <row r="151" spans="1:14" s="4" customFormat="1" x14ac:dyDescent="0.25">
      <c r="A151" s="4" t="s">
        <v>103</v>
      </c>
      <c r="B151" s="5" t="s">
        <v>123</v>
      </c>
      <c r="C151" s="23">
        <f>'Total and digestible IAA'!AH151/$C$2</f>
        <v>1.2627450980392156</v>
      </c>
      <c r="D151" s="23">
        <f>'Total and digestible IAA'!AI151/$D$2</f>
        <v>0.94354838709677424</v>
      </c>
      <c r="E151" s="23">
        <f>'Total and digestible IAA'!AJ151/$E$2</f>
        <v>1.0846354166666667</v>
      </c>
      <c r="F151" s="23">
        <f>'Total and digestible IAA'!AK151/$F$2</f>
        <v>0.78703703703703698</v>
      </c>
      <c r="G151" s="23">
        <f>'Total and digestible IAA'!AL151/$G$2</f>
        <v>0.51549707602339179</v>
      </c>
      <c r="H151" s="23">
        <f>'Total and digestible IAA'!AM151/$H$2</f>
        <v>1.2812757201646092</v>
      </c>
      <c r="I151" s="23">
        <f>'Total and digestible IAA'!AN151/$I$2</f>
        <v>1.1336538461538461</v>
      </c>
      <c r="J151" s="23">
        <f>'Total and digestible IAA'!AO151/$J$2</f>
        <v>0.94366925064599494</v>
      </c>
      <c r="K151" s="23">
        <f>'Total and digestible IAA'!AP151/$K$2</f>
        <v>1.0033333333333332</v>
      </c>
      <c r="L151" s="24">
        <f t="shared" si="2"/>
        <v>51.549707602339176</v>
      </c>
      <c r="M151" s="14" t="s">
        <v>8</v>
      </c>
    </row>
    <row r="152" spans="1:14" s="4" customFormat="1" x14ac:dyDescent="0.25">
      <c r="A152" s="4" t="s">
        <v>105</v>
      </c>
      <c r="B152" s="5" t="s">
        <v>123</v>
      </c>
      <c r="C152" s="23">
        <f>'Total and digestible IAA'!AH152/$C$2</f>
        <v>1.1627906976744187</v>
      </c>
      <c r="D152" s="23">
        <f>'Total and digestible IAA'!AI152/$D$2</f>
        <v>0.86709177294323581</v>
      </c>
      <c r="E152" s="23">
        <f>'Total and digestible IAA'!AJ152/$E$2</f>
        <v>0.99200581395348841</v>
      </c>
      <c r="F152" s="23">
        <f>'Total and digestible IAA'!AK152/$F$2</f>
        <v>0.72374911909795636</v>
      </c>
      <c r="G152" s="23">
        <f>'Total and digestible IAA'!AL152/$G$2</f>
        <v>0.50129198966408262</v>
      </c>
      <c r="H152" s="23">
        <f>'Total and digestible IAA'!AM152/$H$2</f>
        <v>1.1708297444731552</v>
      </c>
      <c r="I152" s="23">
        <f>'Total and digestible IAA'!AN152/$I$2</f>
        <v>1.0816935002981514</v>
      </c>
      <c r="J152" s="23">
        <f>'Total and digestible IAA'!AO152/$J$2</f>
        <v>0.84946818099873811</v>
      </c>
      <c r="K152" s="23">
        <f>'Total and digestible IAA'!AP152/$K$2</f>
        <v>0.98895348837209307</v>
      </c>
      <c r="L152" s="24">
        <f t="shared" si="2"/>
        <v>50.129198966408261</v>
      </c>
      <c r="M152" s="14" t="s">
        <v>8</v>
      </c>
    </row>
    <row r="153" spans="1:14" s="4" customFormat="1" x14ac:dyDescent="0.25">
      <c r="A153" s="4" t="s">
        <v>107</v>
      </c>
      <c r="B153" s="5" t="s">
        <v>123</v>
      </c>
      <c r="C153" s="23">
        <f>'Total and digestible IAA'!AH153/$C$2</f>
        <v>1.2475247524752475</v>
      </c>
      <c r="D153" s="23">
        <f>'Total and digestible IAA'!AI153/$D$2</f>
        <v>0.95592462472053652</v>
      </c>
      <c r="E153" s="23">
        <f>'Total and digestible IAA'!AJ153/$E$2</f>
        <v>1.0785891089108912</v>
      </c>
      <c r="F153" s="23">
        <f>'Total and digestible IAA'!AK153/$F$2</f>
        <v>0.79057905790579053</v>
      </c>
      <c r="G153" s="23">
        <f>'Total and digestible IAA'!AL153/$G$2</f>
        <v>0.51902032308494006</v>
      </c>
      <c r="H153" s="23">
        <f>'Total and digestible IAA'!AM153/$H$2</f>
        <v>1.2703520352035202</v>
      </c>
      <c r="I153" s="23">
        <f>'Total and digestible IAA'!AN153/$I$2</f>
        <v>1.1267136329017517</v>
      </c>
      <c r="J153" s="23">
        <f>'Total and digestible IAA'!AO153/$J$2</f>
        <v>0.95078286898457287</v>
      </c>
      <c r="K153" s="23">
        <f>'Total and digestible IAA'!AP153/$K$2</f>
        <v>1.0084158415841584</v>
      </c>
      <c r="L153" s="24">
        <f t="shared" si="2"/>
        <v>51.902032308494007</v>
      </c>
      <c r="M153" s="14" t="s">
        <v>8</v>
      </c>
    </row>
    <row r="154" spans="1:14" s="4" customFormat="1" x14ac:dyDescent="0.25">
      <c r="A154" s="4" t="s">
        <v>109</v>
      </c>
      <c r="B154" s="5" t="s">
        <v>123</v>
      </c>
      <c r="C154" s="23">
        <f>'Total and digestible IAA'!AH154/$C$2</f>
        <v>1.1209043878137575</v>
      </c>
      <c r="D154" s="23">
        <f>'Total and digestible IAA'!AI154/$D$2</f>
        <v>0.85909425239045922</v>
      </c>
      <c r="E154" s="23">
        <f>'Total and digestible IAA'!AJ154/$E$2</f>
        <v>0.99246742671009769</v>
      </c>
      <c r="F154" s="23">
        <f>'Total and digestible IAA'!AK154/$F$2</f>
        <v>0.72909880564603702</v>
      </c>
      <c r="G154" s="23">
        <f>'Total and digestible IAA'!AL154/$G$2</f>
        <v>0.48642779587404994</v>
      </c>
      <c r="H154" s="23">
        <f>'Total and digestible IAA'!AM154/$H$2</f>
        <v>1.1675714802750636</v>
      </c>
      <c r="I154" s="23">
        <f>'Total and digestible IAA'!AN154/$I$2</f>
        <v>1.0813079428714607</v>
      </c>
      <c r="J154" s="23">
        <f>'Total and digestible IAA'!AO154/$J$2</f>
        <v>0.85781380198469814</v>
      </c>
      <c r="K154" s="23">
        <f>'Total and digestible IAA'!AP154/$K$2</f>
        <v>0.97622149837133565</v>
      </c>
      <c r="L154" s="24">
        <f t="shared" si="2"/>
        <v>48.642779587404995</v>
      </c>
      <c r="M154" s="14" t="s">
        <v>8</v>
      </c>
    </row>
    <row r="155" spans="1:14" s="6" customFormat="1" x14ac:dyDescent="0.25">
      <c r="C155" s="36"/>
      <c r="D155" s="36"/>
      <c r="E155" s="36"/>
      <c r="F155" s="36"/>
      <c r="G155" s="36"/>
      <c r="H155" s="36"/>
      <c r="I155" s="36"/>
      <c r="J155" s="36"/>
      <c r="K155" s="36"/>
      <c r="L155" s="37"/>
      <c r="M155" s="16"/>
    </row>
    <row r="156" spans="1:14" x14ac:dyDescent="0.25">
      <c r="A156" s="5" t="s">
        <v>192</v>
      </c>
      <c r="B156" s="5" t="s">
        <v>212</v>
      </c>
      <c r="C156" s="23">
        <f>'Total and digestible IAA'!AH156/$C$2</f>
        <v>0.98490369599167094</v>
      </c>
      <c r="D156" s="23">
        <f>'Total and digestible IAA'!AI156/$D$2</f>
        <v>1.18988486059568</v>
      </c>
      <c r="E156" s="23">
        <f>'Total and digestible IAA'!AJ156/$E$2</f>
        <v>1.161827064896755</v>
      </c>
      <c r="F156" s="23">
        <f>'Total and digestible IAA'!AK156/$F$2</f>
        <v>0.99713953696254587</v>
      </c>
      <c r="G156" s="23">
        <f>'Total and digestible IAA'!AL156/$G$2</f>
        <v>1.1938363608135385</v>
      </c>
      <c r="H156" s="23">
        <f>'Total and digestible IAA'!AM156/$H$2</f>
        <v>1.1864962307440183</v>
      </c>
      <c r="I156" s="23">
        <f>'Total and digestible IAA'!AN156/$I$2</f>
        <v>1.2105457227138643</v>
      </c>
      <c r="J156" s="23">
        <f>'Total and digestible IAA'!AO156/$J$2</f>
        <v>1.0434245729573985</v>
      </c>
      <c r="K156" s="23">
        <f>'Total and digestible IAA'!AP156/$K$2</f>
        <v>1.1551622418879057</v>
      </c>
      <c r="L156" s="24">
        <f t="shared" si="2"/>
        <v>98.490369599167096</v>
      </c>
      <c r="M156" s="15" t="s">
        <v>6</v>
      </c>
    </row>
    <row r="157" spans="1:14" x14ac:dyDescent="0.25">
      <c r="A157" s="5" t="s">
        <v>196</v>
      </c>
      <c r="B157" s="5" t="s">
        <v>212</v>
      </c>
      <c r="C157" s="23">
        <f>'Total and digestible IAA'!AH157/$C$2</f>
        <v>1.0515017888343456</v>
      </c>
      <c r="D157" s="23">
        <f>'Total and digestible IAA'!AI157/$D$2</f>
        <v>1.2299128530364558</v>
      </c>
      <c r="E157" s="23">
        <f>'Total and digestible IAA'!AJ157/$E$2</f>
        <v>1.2044289250353608</v>
      </c>
      <c r="F157" s="23">
        <f>'Total and digestible IAA'!AK157/$F$2</f>
        <v>1.0213449916420214</v>
      </c>
      <c r="G157" s="23">
        <f>'Total and digestible IAA'!AL157/$G$2</f>
        <v>1.225415022705278</v>
      </c>
      <c r="H157" s="23">
        <f>'Total and digestible IAA'!AM157/$H$2</f>
        <v>1.2102257844832105</v>
      </c>
      <c r="I157" s="23">
        <f>'Total and digestible IAA'!AN157/$I$2</f>
        <v>1.2287019910782289</v>
      </c>
      <c r="J157" s="23">
        <f>'Total and digestible IAA'!AO157/$J$2</f>
        <v>1.0652281174961353</v>
      </c>
      <c r="K157" s="23">
        <f>'Total and digestible IAA'!AP157/$K$2</f>
        <v>1.1140735502121639</v>
      </c>
      <c r="L157" s="24">
        <f t="shared" si="2"/>
        <v>102.13449916420214</v>
      </c>
      <c r="M157" s="15" t="s">
        <v>526</v>
      </c>
    </row>
    <row r="158" spans="1:14" x14ac:dyDescent="0.25">
      <c r="A158" s="5" t="s">
        <v>198</v>
      </c>
      <c r="B158" s="5" t="s">
        <v>212</v>
      </c>
      <c r="C158" s="23">
        <f>'Total and digestible IAA'!AH158/$C$2</f>
        <v>1.1141868512110726</v>
      </c>
      <c r="D158" s="23">
        <f>'Total and digestible IAA'!AI158/$D$2</f>
        <v>1.2566844919786095</v>
      </c>
      <c r="E158" s="23">
        <f>'Total and digestible IAA'!AJ158/$E$2</f>
        <v>1.2370487967914436</v>
      </c>
      <c r="F158" s="23">
        <f>'Total and digestible IAA'!AK158/$F$2</f>
        <v>1.0333616917841517</v>
      </c>
      <c r="G158" s="23">
        <f>'Total and digestible IAA'!AL158/$G$2</f>
        <v>1.2566844919786095</v>
      </c>
      <c r="H158" s="23">
        <f>'Total and digestible IAA'!AM158/$H$2</f>
        <v>1.2466825113883937</v>
      </c>
      <c r="I158" s="23">
        <f>'Total and digestible IAA'!AN158/$I$2</f>
        <v>1.2480974907445497</v>
      </c>
      <c r="J158" s="23">
        <f>'Total and digestible IAA'!AO158/$J$2</f>
        <v>1.0756124860092029</v>
      </c>
      <c r="K158" s="23">
        <f>'Total and digestible IAA'!AP158/$K$2</f>
        <v>1.0946524064171124</v>
      </c>
      <c r="L158" s="24">
        <f t="shared" si="2"/>
        <v>103.33616917841518</v>
      </c>
      <c r="M158" s="15" t="s">
        <v>526</v>
      </c>
    </row>
    <row r="159" spans="1:14" x14ac:dyDescent="0.25">
      <c r="A159" s="5" t="s">
        <v>25</v>
      </c>
      <c r="B159" s="5" t="s">
        <v>212</v>
      </c>
      <c r="C159" s="23"/>
      <c r="D159" s="23"/>
      <c r="E159" s="23"/>
      <c r="F159" s="23"/>
      <c r="G159" s="23"/>
      <c r="H159" s="23"/>
      <c r="I159" s="23"/>
      <c r="J159" s="23"/>
      <c r="K159" s="23"/>
      <c r="L159" s="24"/>
      <c r="M159" s="15"/>
    </row>
    <row r="160" spans="1:14" x14ac:dyDescent="0.25">
      <c r="A160" s="5" t="s">
        <v>279</v>
      </c>
      <c r="B160" s="5" t="s">
        <v>212</v>
      </c>
      <c r="C160" s="23"/>
      <c r="D160" s="23">
        <f>'Total and digestible IAA'!AI160/$D$2</f>
        <v>0.60824516129032258</v>
      </c>
      <c r="E160" s="23">
        <f>'Total and digestible IAA'!AJ160/$E$2</f>
        <v>0.35096250000000001</v>
      </c>
      <c r="F160" s="23">
        <f>'Total and digestible IAA'!AK160/$F$2</f>
        <v>0.35019696969696973</v>
      </c>
      <c r="G160" s="23">
        <f>'Total and digestible IAA'!AL160/$G$2</f>
        <v>0.8694736842105264</v>
      </c>
      <c r="H160" s="23">
        <f>'Total and digestible IAA'!AM160/$H$2</f>
        <v>0.46201481481481477</v>
      </c>
      <c r="I160" s="23">
        <f>'Total and digestible IAA'!AN160/$I$2</f>
        <v>0.27381538461538468</v>
      </c>
      <c r="J160" s="23">
        <f>'Total and digestible IAA'!AO160/$J$2</f>
        <v>0.30767441860465117</v>
      </c>
      <c r="K160" s="23">
        <f>'Total and digestible IAA'!AP160/$K$2</f>
        <v>0.59736</v>
      </c>
      <c r="L160" s="24">
        <f t="shared" si="2"/>
        <v>27.381538461538469</v>
      </c>
      <c r="M160" s="15" t="s">
        <v>356</v>
      </c>
      <c r="N160" s="5" t="s">
        <v>529</v>
      </c>
    </row>
    <row r="161" spans="1:14" x14ac:dyDescent="0.25">
      <c r="A161" s="5" t="s">
        <v>207</v>
      </c>
      <c r="B161" s="5" t="s">
        <v>212</v>
      </c>
      <c r="C161" s="23">
        <f>'Total and digestible IAA'!AH161/$C$2</f>
        <v>0.86455644613503591</v>
      </c>
      <c r="D161" s="23">
        <f>'Total and digestible IAA'!AI161/$D$2</f>
        <v>0.86470982641734329</v>
      </c>
      <c r="E161" s="23">
        <f>'Total and digestible IAA'!AJ161/$E$2</f>
        <v>0.92934468822170901</v>
      </c>
      <c r="F161" s="23">
        <f>'Total and digestible IAA'!AK161/$F$2</f>
        <v>0.73976485408356085</v>
      </c>
      <c r="G161" s="23">
        <f>'Total and digestible IAA'!AL161/$G$2</f>
        <v>0.65070296989587129</v>
      </c>
      <c r="H161" s="23">
        <f>'Total and digestible IAA'!AM161/$H$2</f>
        <v>0.91018732358224252</v>
      </c>
      <c r="I161" s="23">
        <f>'Total and digestible IAA'!AN161/$I$2</f>
        <v>1.4205898028068931</v>
      </c>
      <c r="J161" s="23">
        <f>'Total and digestible IAA'!AO161/$J$2</f>
        <v>0.8312476502497449</v>
      </c>
      <c r="K161" s="23">
        <f>'Total and digestible IAA'!AP161/$K$2</f>
        <v>0.83013856812933029</v>
      </c>
      <c r="L161" s="24">
        <f t="shared" si="2"/>
        <v>65.070296989587135</v>
      </c>
      <c r="M161" s="15" t="s">
        <v>8</v>
      </c>
    </row>
    <row r="162" spans="1:14" s="6" customFormat="1" x14ac:dyDescent="0.25">
      <c r="C162" s="36"/>
      <c r="D162" s="36"/>
      <c r="E162" s="36"/>
      <c r="F162" s="36"/>
      <c r="G162" s="36"/>
      <c r="H162" s="36"/>
      <c r="I162" s="36"/>
      <c r="J162" s="36"/>
      <c r="K162" s="36"/>
      <c r="L162" s="37"/>
      <c r="M162" s="16"/>
    </row>
    <row r="163" spans="1:14" x14ac:dyDescent="0.25">
      <c r="A163" s="5" t="s">
        <v>232</v>
      </c>
      <c r="B163" s="5" t="s">
        <v>24</v>
      </c>
      <c r="C163" s="23"/>
      <c r="D163" s="23">
        <f>'Total and digestible IAA'!AI163/$D$2</f>
        <v>1.4123500168205434</v>
      </c>
      <c r="E163" s="23">
        <f>'Total and digestible IAA'!AJ163/$E$2</f>
        <v>1.2597769409038237</v>
      </c>
      <c r="F163" s="23">
        <f>'Total and digestible IAA'!AK163/$F$2</f>
        <v>1.1122827346465816</v>
      </c>
      <c r="G163" s="23">
        <f>'Total and digestible IAA'!AL163/$G$2</f>
        <v>1.2216259071781423</v>
      </c>
      <c r="H163" s="23"/>
      <c r="I163" s="23">
        <f>'Total and digestible IAA'!AN163/$I$2</f>
        <v>1.2350632854978163</v>
      </c>
      <c r="J163" s="23">
        <f>'Total and digestible IAA'!AO163/$J$2</f>
        <v>0.99208008838826145</v>
      </c>
      <c r="K163" s="23">
        <f>'Total and digestible IAA'!AP163/$K$2</f>
        <v>1.6042873696407878</v>
      </c>
      <c r="L163" s="24">
        <f t="shared" si="2"/>
        <v>99.208008838826146</v>
      </c>
      <c r="M163" s="5" t="s">
        <v>535</v>
      </c>
      <c r="N163" s="5" t="s">
        <v>530</v>
      </c>
    </row>
    <row r="164" spans="1:14" x14ac:dyDescent="0.25">
      <c r="A164" s="5" t="s">
        <v>233</v>
      </c>
      <c r="B164" s="5" t="s">
        <v>24</v>
      </c>
      <c r="C164" s="23"/>
      <c r="D164" s="23">
        <f>'Total and digestible IAA'!AI164/$D$2</f>
        <v>1.3310027014142698</v>
      </c>
      <c r="E164" s="23">
        <f>'Total and digestible IAA'!AJ164/$E$2</f>
        <v>1.1785714285714286</v>
      </c>
      <c r="F164" s="23">
        <f>'Total and digestible IAA'!AK164/$F$2</f>
        <v>1.0691894312583967</v>
      </c>
      <c r="G164" s="23">
        <f>'Total and digestible IAA'!AL164/$G$2</f>
        <v>1.2534353124189785</v>
      </c>
      <c r="H164" s="23"/>
      <c r="I164" s="23">
        <f>'Total and digestible IAA'!AN164/$I$2</f>
        <v>1.2051439939370974</v>
      </c>
      <c r="J164" s="23">
        <f>'Total and digestible IAA'!AO164/$J$2</f>
        <v>0.94587008821170815</v>
      </c>
      <c r="K164" s="23">
        <f>'Total and digestible IAA'!AP164/$K$2</f>
        <v>1.7978448275862067</v>
      </c>
      <c r="L164" s="24">
        <f t="shared" si="2"/>
        <v>94.587008821170812</v>
      </c>
      <c r="M164" s="5" t="s">
        <v>535</v>
      </c>
      <c r="N164" s="5" t="s">
        <v>530</v>
      </c>
    </row>
    <row r="165" spans="1:14" x14ac:dyDescent="0.25">
      <c r="A165" s="5" t="s">
        <v>234</v>
      </c>
      <c r="B165" s="5" t="s">
        <v>24</v>
      </c>
      <c r="C165" s="23"/>
      <c r="D165" s="23">
        <f>'Total and digestible IAA'!AI165/$D$2</f>
        <v>1.2013574660633481</v>
      </c>
      <c r="E165" s="23">
        <f>'Total and digestible IAA'!AJ165/$E$2</f>
        <v>1.105132918552036</v>
      </c>
      <c r="F165" s="23">
        <f>'Total and digestible IAA'!AK165/$F$2</f>
        <v>0.9658233922939804</v>
      </c>
      <c r="G165" s="23">
        <f>'Total and digestible IAA'!AL165/$G$2</f>
        <v>1.114432007620862</v>
      </c>
      <c r="H165" s="23"/>
      <c r="I165" s="23">
        <f>'Total and digestible IAA'!AN165/$I$2</f>
        <v>1.0894100243647755</v>
      </c>
      <c r="J165" s="23">
        <f>'Total and digestible IAA'!AO165/$J$2</f>
        <v>0.79872145638219516</v>
      </c>
      <c r="K165" s="23">
        <f>'Total and digestible IAA'!AP165/$K$2</f>
        <v>1.6240950226244344</v>
      </c>
      <c r="L165" s="24">
        <f t="shared" si="2"/>
        <v>79.872145638219521</v>
      </c>
      <c r="M165" s="5" t="s">
        <v>535</v>
      </c>
      <c r="N165" s="5" t="s">
        <v>530</v>
      </c>
    </row>
    <row r="166" spans="1:14" x14ac:dyDescent="0.25">
      <c r="A166" s="5" t="s">
        <v>235</v>
      </c>
      <c r="B166" s="5" t="s">
        <v>24</v>
      </c>
      <c r="C166" s="23"/>
      <c r="D166" s="23">
        <f>'Total and digestible IAA'!AI166/$D$2</f>
        <v>1.4338286242204943</v>
      </c>
      <c r="E166" s="23">
        <f>'Total and digestible IAA'!AJ166/$E$2</f>
        <v>1.233890214797136</v>
      </c>
      <c r="F166" s="23">
        <f>'Total and digestible IAA'!AK166/$F$2</f>
        <v>1.0900954653937946</v>
      </c>
      <c r="G166" s="23">
        <f>'Total and digestible IAA'!AL166/$G$2</f>
        <v>1.1212787338274086</v>
      </c>
      <c r="H166" s="23"/>
      <c r="I166" s="23">
        <f>'Total and digestible IAA'!AN166/$I$2</f>
        <v>1.2018312832751972</v>
      </c>
      <c r="J166" s="23">
        <f>'Total and digestible IAA'!AO166/$J$2</f>
        <v>0.98995393239718044</v>
      </c>
      <c r="K166" s="23">
        <f>'Total and digestible IAA'!AP166/$K$2</f>
        <v>1.8081742243436749</v>
      </c>
      <c r="L166" s="24">
        <f t="shared" si="2"/>
        <v>98.995393239718041</v>
      </c>
      <c r="M166" s="5" t="s">
        <v>535</v>
      </c>
      <c r="N166" s="5" t="s">
        <v>530</v>
      </c>
    </row>
    <row r="167" spans="1:14" x14ac:dyDescent="0.25">
      <c r="A167" s="5" t="s">
        <v>236</v>
      </c>
      <c r="B167" s="5" t="s">
        <v>24</v>
      </c>
      <c r="C167" s="23"/>
      <c r="D167" s="23">
        <f>'Total and digestible IAA'!AI167/$D$2</f>
        <v>1.2171127888355067</v>
      </c>
      <c r="E167" s="23">
        <f>'Total and digestible IAA'!AJ167/$E$2</f>
        <v>1.1373005319148937</v>
      </c>
      <c r="F167" s="23">
        <f>'Total and digestible IAA'!AK167/$F$2</f>
        <v>0.98226950354609932</v>
      </c>
      <c r="G167" s="23">
        <f>'Total and digestible IAA'!AL167/$G$2</f>
        <v>1.1127286300858528</v>
      </c>
      <c r="H167" s="23"/>
      <c r="I167" s="23">
        <f>'Total and digestible IAA'!AN167/$I$2</f>
        <v>1.1138388797963266</v>
      </c>
      <c r="J167" s="23">
        <f>'Total and digestible IAA'!AO167/$J$2</f>
        <v>0.89708065314200869</v>
      </c>
      <c r="K167" s="23">
        <f>'Total and digestible IAA'!AP167/$K$2</f>
        <v>1.6969267139479907</v>
      </c>
      <c r="L167" s="24">
        <f t="shared" si="2"/>
        <v>89.708065314200866</v>
      </c>
      <c r="M167" s="5" t="s">
        <v>535</v>
      </c>
      <c r="N167" s="5" t="s">
        <v>530</v>
      </c>
    </row>
    <row r="168" spans="1:14" x14ac:dyDescent="0.25">
      <c r="A168" s="5" t="s">
        <v>190</v>
      </c>
      <c r="B168" s="5" t="s">
        <v>24</v>
      </c>
      <c r="C168" s="23">
        <f>'Total and digestible IAA'!AH168/$C$2</f>
        <v>1.2964040739970901</v>
      </c>
      <c r="D168" s="23">
        <f>'Total and digestible IAA'!AI168/$D$2</f>
        <v>1.0710133363729626</v>
      </c>
      <c r="E168" s="23">
        <f>'Total and digestible IAA'!AJ168/$E$2</f>
        <v>1.2174249116607774</v>
      </c>
      <c r="F168" s="23">
        <f>'Total and digestible IAA'!AK168/$F$2</f>
        <v>0.95248420601777506</v>
      </c>
      <c r="G168" s="23">
        <f>'Total and digestible IAA'!AL168/$G$2</f>
        <v>0.86070299423470353</v>
      </c>
      <c r="H168" s="23">
        <f>'Total and digestible IAA'!AM168/$H$2</f>
        <v>0.70599397984557011</v>
      </c>
      <c r="I168" s="23">
        <f>'Total and digestible IAA'!AN168/$I$2</f>
        <v>1.6837455830388692</v>
      </c>
      <c r="J168" s="23">
        <f>'Total and digestible IAA'!AO168/$J$2</f>
        <v>1.2365847645657</v>
      </c>
      <c r="K168" s="23">
        <f>'Total and digestible IAA'!AP168/$K$2</f>
        <v>1.9812720848056533</v>
      </c>
      <c r="L168" s="24">
        <f t="shared" si="2"/>
        <v>70.599397984557015</v>
      </c>
      <c r="M168" s="15" t="s">
        <v>355</v>
      </c>
    </row>
    <row r="169" spans="1:14" x14ac:dyDescent="0.25">
      <c r="A169" s="5" t="s">
        <v>191</v>
      </c>
      <c r="B169" s="5" t="s">
        <v>24</v>
      </c>
      <c r="C169" s="23">
        <f>'Total and digestible IAA'!AH169/$C$2</f>
        <v>1.3510805782166884</v>
      </c>
      <c r="D169" s="23">
        <f>'Total and digestible IAA'!AI169/$D$2</f>
        <v>1.0857075582764306</v>
      </c>
      <c r="E169" s="23">
        <f>'Total and digestible IAA'!AJ169/$E$2</f>
        <v>1.1377737226277371</v>
      </c>
      <c r="F169" s="23">
        <f>'Total and digestible IAA'!AK169/$F$2</f>
        <v>0.9204821942048218</v>
      </c>
      <c r="G169" s="23">
        <f>'Total and digestible IAA'!AL169/$G$2</f>
        <v>0.88385196568062496</v>
      </c>
      <c r="H169" s="23">
        <f>'Total and digestible IAA'!AM169/$H$2</f>
        <v>0.80165810579435892</v>
      </c>
      <c r="I169" s="23">
        <f>'Total and digestible IAA'!AN169/$I$2</f>
        <v>1.6581040613887328</v>
      </c>
      <c r="J169" s="23">
        <f>'Total and digestible IAA'!AO169/$J$2</f>
        <v>1.1553216771346122</v>
      </c>
      <c r="K169" s="23">
        <f>'Total and digestible IAA'!AP169/$K$2</f>
        <v>1.2613138686131389</v>
      </c>
      <c r="L169" s="24">
        <f t="shared" si="2"/>
        <v>80.165810579435899</v>
      </c>
      <c r="M169" s="15" t="s">
        <v>355</v>
      </c>
    </row>
    <row r="170" spans="1:14" x14ac:dyDescent="0.25">
      <c r="A170" s="5" t="s">
        <v>262</v>
      </c>
      <c r="B170" s="5" t="s">
        <v>24</v>
      </c>
      <c r="C170" s="23"/>
      <c r="D170" s="23">
        <f>'Total and digestible IAA'!AI170/$D$2</f>
        <v>0.9556170945288528</v>
      </c>
      <c r="E170" s="23">
        <f>'Total and digestible IAA'!AJ170/$E$2</f>
        <v>1.2025087006960558</v>
      </c>
      <c r="F170" s="23">
        <f>'Total and digestible IAA'!AK170/$F$2</f>
        <v>0.82008015186669492</v>
      </c>
      <c r="G170" s="23">
        <f>'Total and digestible IAA'!AL170/$G$2</f>
        <v>0.80231204461269179</v>
      </c>
      <c r="H170" s="23">
        <f>'Total and digestible IAA'!AM170/$H$2</f>
        <v>0.73851508120649656</v>
      </c>
      <c r="I170" s="23">
        <f>'Total and digestible IAA'!AN170/$I$2</f>
        <v>1.5113198286632161</v>
      </c>
      <c r="J170" s="23">
        <f>'Total and digestible IAA'!AO170/$J$2</f>
        <v>1.0738358603572007</v>
      </c>
      <c r="K170" s="23">
        <f>'Total and digestible IAA'!AP170/$K$2</f>
        <v>1.1372157772621809</v>
      </c>
      <c r="L170" s="24">
        <f t="shared" si="2"/>
        <v>73.851508120649655</v>
      </c>
      <c r="M170" s="15" t="s">
        <v>355</v>
      </c>
      <c r="N170" s="5" t="s">
        <v>529</v>
      </c>
    </row>
    <row r="171" spans="1:14" x14ac:dyDescent="0.25">
      <c r="A171" s="5" t="s">
        <v>214</v>
      </c>
      <c r="B171" s="5" t="s">
        <v>24</v>
      </c>
      <c r="C171" s="23">
        <f>'Total and digestible IAA'!AH171/$C$2</f>
        <v>0.63267973856209148</v>
      </c>
      <c r="D171" s="23">
        <f>'Total and digestible IAA'!AI171/$D$2</f>
        <v>0.97777777777777775</v>
      </c>
      <c r="E171" s="23">
        <f>'Total and digestible IAA'!AJ171/$E$2</f>
        <v>0.90625</v>
      </c>
      <c r="F171" s="23">
        <f>'Total and digestible IAA'!AK171/$F$2</f>
        <v>0.85185185185185186</v>
      </c>
      <c r="G171" s="23">
        <f>'Total and digestible IAA'!AL171/$G$2</f>
        <v>1.2062378167641326</v>
      </c>
      <c r="H171" s="23">
        <f>'Total and digestible IAA'!AM171/$H$2</f>
        <v>0.79794238683127572</v>
      </c>
      <c r="I171" s="23">
        <f>'Total and digestible IAA'!AN171/$I$2</f>
        <v>0.49145299145299148</v>
      </c>
      <c r="J171" s="23">
        <f>'Total and digestible IAA'!AO171/$J$2</f>
        <v>0.82790697674418612</v>
      </c>
      <c r="K171" s="23">
        <f>'Total and digestible IAA'!AP171/$K$2</f>
        <v>1.4311111111111112</v>
      </c>
      <c r="L171" s="24">
        <f t="shared" si="2"/>
        <v>49.145299145299148</v>
      </c>
      <c r="M171" s="15" t="s">
        <v>356</v>
      </c>
    </row>
    <row r="172" spans="1:14" x14ac:dyDescent="0.25">
      <c r="A172" s="5" t="s">
        <v>215</v>
      </c>
      <c r="B172" s="5" t="s">
        <v>24</v>
      </c>
      <c r="C172" s="23">
        <f>'Total and digestible IAA'!AH172/$C$2</f>
        <v>1.9482352941176471E-2</v>
      </c>
      <c r="D172" s="23">
        <f>'Total and digestible IAA'!AI172/$D$2</f>
        <v>0.43516129032258061</v>
      </c>
      <c r="E172" s="23">
        <f>'Total and digestible IAA'!AJ172/$E$2</f>
        <v>0.47281250000000002</v>
      </c>
      <c r="F172" s="23">
        <f>'Total and digestible IAA'!AK172/$F$2</f>
        <v>0.39500000000000002</v>
      </c>
      <c r="G172" s="23">
        <f>'Total and digestible IAA'!AL172/$G$2</f>
        <v>0.60350877192982455</v>
      </c>
      <c r="H172" s="23">
        <f>'Total and digestible IAA'!AM172/$H$2</f>
        <v>0.26666666666666666</v>
      </c>
      <c r="I172" s="23">
        <f>'Total and digestible IAA'!AN172/$I$2</f>
        <v>0.41134615384615386</v>
      </c>
      <c r="J172" s="23">
        <f>'Total and digestible IAA'!AO172/$J$2</f>
        <v>0.48372093023255813</v>
      </c>
      <c r="K172" s="23">
        <f>'Total and digestible IAA'!AP172/$K$2</f>
        <v>0.29199999999999998</v>
      </c>
      <c r="L172" s="24">
        <f t="shared" si="2"/>
        <v>1.9482352941176471</v>
      </c>
      <c r="M172" s="15" t="s">
        <v>6</v>
      </c>
    </row>
    <row r="173" spans="1:14" x14ac:dyDescent="0.25">
      <c r="A173" s="5" t="s">
        <v>211</v>
      </c>
      <c r="B173" s="5" t="s">
        <v>24</v>
      </c>
      <c r="C173" s="23"/>
      <c r="D173" s="23"/>
      <c r="E173" s="23"/>
      <c r="F173" s="23"/>
      <c r="G173" s="23"/>
      <c r="H173" s="23"/>
      <c r="I173" s="23"/>
      <c r="J173" s="23"/>
      <c r="K173" s="23"/>
      <c r="L173" s="24"/>
      <c r="M173" s="15"/>
    </row>
    <row r="174" spans="1:14" x14ac:dyDescent="0.25">
      <c r="A174" s="5" t="s">
        <v>210</v>
      </c>
      <c r="B174" s="5" t="s">
        <v>24</v>
      </c>
      <c r="C174" s="23"/>
      <c r="D174" s="23"/>
      <c r="E174" s="23"/>
      <c r="F174" s="23"/>
      <c r="G174" s="23"/>
      <c r="H174" s="23"/>
      <c r="I174" s="23"/>
      <c r="J174" s="23"/>
      <c r="K174" s="23"/>
      <c r="L174" s="24"/>
      <c r="M174" s="15"/>
    </row>
    <row r="175" spans="1:14" x14ac:dyDescent="0.25">
      <c r="A175" s="5" t="s">
        <v>237</v>
      </c>
      <c r="B175" s="5" t="s">
        <v>24</v>
      </c>
      <c r="C175" s="23"/>
      <c r="D175" s="23"/>
      <c r="E175" s="23"/>
      <c r="F175" s="23"/>
      <c r="G175" s="23"/>
      <c r="H175" s="23"/>
      <c r="I175" s="23"/>
      <c r="J175" s="23"/>
      <c r="K175" s="23"/>
      <c r="L175" s="24"/>
      <c r="M175" s="15"/>
    </row>
    <row r="176" spans="1:14" x14ac:dyDescent="0.25">
      <c r="A176" s="5" t="s">
        <v>261</v>
      </c>
      <c r="B176" s="5" t="s">
        <v>24</v>
      </c>
      <c r="C176" s="23"/>
      <c r="D176" s="23">
        <f>'Total and digestible IAA'!AI176/$D$2</f>
        <v>1.3001280565888167</v>
      </c>
      <c r="E176" s="23">
        <f>'Total and digestible IAA'!AJ176/$E$2</f>
        <v>1.35890831758034</v>
      </c>
      <c r="F176" s="23">
        <f>'Total and digestible IAA'!AK176/$F$2</f>
        <v>0.92814916652345769</v>
      </c>
      <c r="G176" s="23">
        <f>'Total and digestible IAA'!AL176/$G$2</f>
        <v>1.1660332305243259</v>
      </c>
      <c r="H176" s="23">
        <f>'Total and digestible IAA'!AM176/$H$2</f>
        <v>1.2336483931947071</v>
      </c>
      <c r="I176" s="23">
        <f>'Total and digestible IAA'!AN176/$I$2</f>
        <v>2.3302312054675003</v>
      </c>
      <c r="J176" s="23">
        <f>'Total and digestible IAA'!AO176/$J$2</f>
        <v>1.0841429639073283</v>
      </c>
      <c r="K176" s="23">
        <f>'Total and digestible IAA'!AP176/$K$2</f>
        <v>1.3634782608695653</v>
      </c>
      <c r="L176" s="24">
        <f t="shared" si="2"/>
        <v>92.814916652345772</v>
      </c>
      <c r="M176" s="15" t="s">
        <v>526</v>
      </c>
      <c r="N176" s="5" t="s">
        <v>529</v>
      </c>
    </row>
    <row r="177" spans="1:14" x14ac:dyDescent="0.25">
      <c r="A177" s="5" t="s">
        <v>26</v>
      </c>
      <c r="B177" s="5" t="s">
        <v>24</v>
      </c>
      <c r="C177" s="23">
        <f>'Total and digestible IAA'!AH177/$C$2</f>
        <v>1.6855742296918765</v>
      </c>
      <c r="D177" s="23">
        <f>'Total and digestible IAA'!AI177/$D$2</f>
        <v>1.4976958525345623</v>
      </c>
      <c r="E177" s="23">
        <f>'Total and digestible IAA'!AJ177/$E$2</f>
        <v>1.6741071428571428</v>
      </c>
      <c r="F177" s="23">
        <f>'Total and digestible IAA'!AK177/$F$2</f>
        <v>1.5016233766233766</v>
      </c>
      <c r="G177" s="23">
        <f>'Total and digestible IAA'!AL177/$G$2</f>
        <v>1.0150375939849623</v>
      </c>
      <c r="H177" s="23">
        <f>'Total and digestible IAA'!AM177/$H$2</f>
        <v>2.982804232804233</v>
      </c>
      <c r="I177" s="23">
        <f>'Total and digestible IAA'!AN177/$I$2</f>
        <v>1.8406593406593408</v>
      </c>
      <c r="J177" s="23">
        <f>'Total and digestible IAA'!AO177/$J$2</f>
        <v>1.8355481727574752</v>
      </c>
      <c r="K177" s="23">
        <f>'Total and digestible IAA'!AP177/$K$2</f>
        <v>1.4464285714285714</v>
      </c>
      <c r="L177" s="24">
        <f t="shared" si="2"/>
        <v>101.50375939849623</v>
      </c>
      <c r="M177" s="15" t="s">
        <v>8</v>
      </c>
    </row>
    <row r="178" spans="1:14" x14ac:dyDescent="0.25">
      <c r="A178" s="5" t="s">
        <v>276</v>
      </c>
      <c r="B178" s="5" t="s">
        <v>24</v>
      </c>
      <c r="C178" s="23"/>
      <c r="D178" s="23">
        <f>'Total and digestible IAA'!AI178/$D$2</f>
        <v>1.1003870967741933</v>
      </c>
      <c r="E178" s="23">
        <f>'Total and digestible IAA'!AJ178/$E$2</f>
        <v>0.85569687499999991</v>
      </c>
      <c r="F178" s="23">
        <f>'Total and digestible IAA'!AK178/$F$2</f>
        <v>0.86768181818181822</v>
      </c>
      <c r="G178" s="23">
        <f>'Total and digestible IAA'!AL178/$G$2</f>
        <v>0.8525789473684211</v>
      </c>
      <c r="H178" s="23">
        <f>'Total and digestible IAA'!AM178/$H$2</f>
        <v>0.90241666666666664</v>
      </c>
      <c r="I178" s="23">
        <f>'Total and digestible IAA'!AN178/$I$2</f>
        <v>1.0937596153846156</v>
      </c>
      <c r="J178" s="23">
        <f>'Total and digestible IAA'!AO178/$J$2</f>
        <v>0.89597209302325587</v>
      </c>
      <c r="K178" s="23">
        <f>'Total and digestible IAA'!AP178/$K$2</f>
        <v>0.60196000000000005</v>
      </c>
      <c r="L178" s="24">
        <f t="shared" si="2"/>
        <v>60.196000000000005</v>
      </c>
      <c r="M178" s="15" t="s">
        <v>9</v>
      </c>
      <c r="N178" s="5" t="s">
        <v>529</v>
      </c>
    </row>
    <row r="179" spans="1:14" x14ac:dyDescent="0.25">
      <c r="A179" s="5" t="s">
        <v>277</v>
      </c>
      <c r="B179" s="5" t="s">
        <v>24</v>
      </c>
      <c r="C179" s="23"/>
      <c r="D179" s="23">
        <f>'Total and digestible IAA'!AI179/$D$2</f>
        <v>0.86232903225806445</v>
      </c>
      <c r="E179" s="23">
        <f>'Total and digestible IAA'!AJ179/$E$2</f>
        <v>0.46068749999999992</v>
      </c>
      <c r="F179" s="23">
        <f>'Total and digestible IAA'!AK179/$F$2</f>
        <v>0.4689651515151515</v>
      </c>
      <c r="G179" s="23">
        <f>'Total and digestible IAA'!AL179/$G$2</f>
        <v>1.5212842105263158</v>
      </c>
      <c r="H179" s="23">
        <f>'Total and digestible IAA'!AM179/$H$2</f>
        <v>1.1669851851851853</v>
      </c>
      <c r="I179" s="23">
        <f>'Total and digestible IAA'!AN179/$I$2</f>
        <v>0.50661923076923077</v>
      </c>
      <c r="J179" s="23">
        <f>'Total and digestible IAA'!AO179/$J$2</f>
        <v>0.57660930232558139</v>
      </c>
      <c r="K179" s="23">
        <f>'Total and digestible IAA'!AP179/$K$2</f>
        <v>0.37996000000000002</v>
      </c>
      <c r="L179" s="24">
        <f t="shared" si="2"/>
        <v>37.996000000000002</v>
      </c>
      <c r="M179" s="15" t="s">
        <v>9</v>
      </c>
      <c r="N179" s="5" t="s">
        <v>529</v>
      </c>
    </row>
    <row r="180" spans="1:14" x14ac:dyDescent="0.25">
      <c r="A180" s="5" t="s">
        <v>278</v>
      </c>
      <c r="B180" s="5" t="s">
        <v>24</v>
      </c>
      <c r="C180" s="23"/>
      <c r="D180" s="23">
        <f>'Total and digestible IAA'!AI180/$D$2</f>
        <v>0.93483870967741922</v>
      </c>
      <c r="E180" s="23">
        <f>'Total and digestible IAA'!AJ180/$E$2</f>
        <v>0.76589999999999991</v>
      </c>
      <c r="F180" s="23">
        <f>'Total and digestible IAA'!AK180/$F$2</f>
        <v>0.76309545454545458</v>
      </c>
      <c r="G180" s="23">
        <f>'Total and digestible IAA'!AL180/$G$2</f>
        <v>0.45267368421052628</v>
      </c>
      <c r="H180" s="23">
        <f>'Total and digestible IAA'!AM180/$H$2</f>
        <v>0.80763777777777768</v>
      </c>
      <c r="I180" s="23">
        <f>'Total and digestible IAA'!AN180/$I$2</f>
        <v>1.0091384615384613</v>
      </c>
      <c r="J180" s="23">
        <f>'Total and digestible IAA'!AO180/$J$2</f>
        <v>0.74814651162790691</v>
      </c>
      <c r="K180" s="23">
        <f>'Total and digestible IAA'!AP180/$K$2</f>
        <v>1.1950149999999999</v>
      </c>
      <c r="L180" s="24">
        <f t="shared" si="2"/>
        <v>45.26736842105263</v>
      </c>
      <c r="M180" s="15" t="s">
        <v>8</v>
      </c>
      <c r="N180" s="5" t="s">
        <v>529</v>
      </c>
    </row>
    <row r="181" spans="1:14" x14ac:dyDescent="0.25">
      <c r="A181" s="5" t="s">
        <v>200</v>
      </c>
      <c r="B181" s="5" t="s">
        <v>24</v>
      </c>
      <c r="C181" s="23">
        <f>'Total and digestible IAA'!AH181/$C$2</f>
        <v>0.5978434931141241</v>
      </c>
      <c r="D181" s="23">
        <f>'Total and digestible IAA'!AI181/$D$2</f>
        <v>0.88332064867396509</v>
      </c>
      <c r="E181" s="23">
        <f>'Total and digestible IAA'!AJ181/$E$2</f>
        <v>0.76701451905626139</v>
      </c>
      <c r="F181" s="23">
        <f>'Total and digestible IAA'!AK181/$F$2</f>
        <v>0.78067425617334862</v>
      </c>
      <c r="G181" s="23">
        <f>'Total and digestible IAA'!AL181/$G$2</f>
        <v>0.74620307574744482</v>
      </c>
      <c r="H181" s="23">
        <f>'Total and digestible IAA'!AM181/$H$2</f>
        <v>0.6851515762586543</v>
      </c>
      <c r="I181" s="23">
        <f>'Total and digestible IAA'!AN181/$I$2</f>
        <v>0.91557308390339232</v>
      </c>
      <c r="J181" s="23">
        <f>'Total and digestible IAA'!AO181/$J$2</f>
        <v>0.86177351960494653</v>
      </c>
      <c r="K181" s="23">
        <f>'Total and digestible IAA'!AP181/$K$2</f>
        <v>0.78856624319419244</v>
      </c>
      <c r="L181" s="24">
        <f t="shared" si="2"/>
        <v>59.784349311412413</v>
      </c>
      <c r="M181" s="15" t="s">
        <v>6</v>
      </c>
    </row>
    <row r="182" spans="1:14" x14ac:dyDescent="0.25">
      <c r="A182" s="5" t="s">
        <v>202</v>
      </c>
      <c r="B182" s="5" t="s">
        <v>24</v>
      </c>
      <c r="C182" s="23">
        <f>'Total and digestible IAA'!AH182/$C$2</f>
        <v>0.75703324808184158</v>
      </c>
      <c r="D182" s="23">
        <f>'Total and digestible IAA'!AI182/$D$2</f>
        <v>0.99354838709677418</v>
      </c>
      <c r="E182" s="23">
        <f>'Total and digestible IAA'!AJ182/$E$2</f>
        <v>1.0169021739130435</v>
      </c>
      <c r="F182" s="23">
        <f>'Total and digestible IAA'!AK182/$F$2</f>
        <v>0.84532279314888015</v>
      </c>
      <c r="G182" s="23">
        <f>'Total and digestible IAA'!AL182/$G$2</f>
        <v>0.63633867276887868</v>
      </c>
      <c r="H182" s="23">
        <f>'Total and digestible IAA'!AM182/$H$2</f>
        <v>1.0937198067632847</v>
      </c>
      <c r="I182" s="23">
        <f>'Total and digestible IAA'!AN182/$I$2</f>
        <v>0.98595317725752518</v>
      </c>
      <c r="J182" s="23">
        <f>'Total and digestible IAA'!AO182/$J$2</f>
        <v>0.95854398382204253</v>
      </c>
      <c r="K182" s="23">
        <f>'Total and digestible IAA'!AP182/$K$2</f>
        <v>0.67173913043478273</v>
      </c>
      <c r="L182" s="24">
        <f t="shared" si="2"/>
        <v>63.633867276887869</v>
      </c>
      <c r="M182" s="15" t="s">
        <v>8</v>
      </c>
    </row>
    <row r="183" spans="1:14" x14ac:dyDescent="0.25">
      <c r="A183" s="5" t="s">
        <v>204</v>
      </c>
      <c r="B183" s="5" t="s">
        <v>24</v>
      </c>
      <c r="C183" s="23">
        <f>'Total and digestible IAA'!AH183/$C$2</f>
        <v>0.58562091503267977</v>
      </c>
      <c r="D183" s="23">
        <f>'Total and digestible IAA'!AI183/$D$2</f>
        <v>0.99722819593787337</v>
      </c>
      <c r="E183" s="23">
        <f>'Total and digestible IAA'!AJ183/$E$2</f>
        <v>1.0336574074074074</v>
      </c>
      <c r="F183" s="23">
        <f>'Total and digestible IAA'!AK183/$F$2</f>
        <v>0.87982042648709313</v>
      </c>
      <c r="G183" s="23">
        <f>'Total and digestible IAA'!AL183/$G$2</f>
        <v>0.67992202729044859</v>
      </c>
      <c r="H183" s="23">
        <f>'Total and digestible IAA'!AM183/$H$2</f>
        <v>0.86096021947873791</v>
      </c>
      <c r="I183" s="23">
        <f>'Total and digestible IAA'!AN183/$I$2</f>
        <v>1.0682905982905984</v>
      </c>
      <c r="J183" s="23">
        <f>'Total and digestible IAA'!AO183/$J$2</f>
        <v>0.96192937123169675</v>
      </c>
      <c r="K183" s="23">
        <f>'Total and digestible IAA'!AP183/$K$2</f>
        <v>0.63466666666666671</v>
      </c>
      <c r="L183" s="24">
        <f t="shared" si="2"/>
        <v>58.562091503267979</v>
      </c>
      <c r="M183" s="15" t="s">
        <v>6</v>
      </c>
    </row>
    <row r="184" spans="1:14" x14ac:dyDescent="0.25">
      <c r="A184" s="5" t="s">
        <v>206</v>
      </c>
      <c r="B184" s="5" t="s">
        <v>24</v>
      </c>
      <c r="C184" s="23">
        <f>'Total and digestible IAA'!AH184/$C$2</f>
        <v>0.59109775296980105</v>
      </c>
      <c r="D184" s="23">
        <f>'Total and digestible IAA'!AI184/$D$2</f>
        <v>1.006239698610784</v>
      </c>
      <c r="E184" s="23">
        <f>'Total and digestible IAA'!AJ184/$E$2</f>
        <v>1.0255094282238442</v>
      </c>
      <c r="F184" s="23">
        <f>'Total and digestible IAA'!AK184/$F$2</f>
        <v>0.89327582393275817</v>
      </c>
      <c r="G184" s="23">
        <f>'Total and digestible IAA'!AL184/$G$2</f>
        <v>0.71882870192512904</v>
      </c>
      <c r="H184" s="23">
        <f>'Total and digestible IAA'!AM184/$H$2</f>
        <v>1.1302153735243758</v>
      </c>
      <c r="I184" s="23">
        <f>'Total and digestible IAA'!AN184/$I$2</f>
        <v>1.0993589743589742</v>
      </c>
      <c r="J184" s="23">
        <f>'Total and digestible IAA'!AO184/$J$2</f>
        <v>0.90307248344932955</v>
      </c>
      <c r="K184" s="23">
        <f>'Total and digestible IAA'!AP184/$K$2</f>
        <v>0.66593673965936762</v>
      </c>
      <c r="L184" s="24">
        <f t="shared" si="2"/>
        <v>59.109775296980104</v>
      </c>
      <c r="M184" s="15" t="s">
        <v>6</v>
      </c>
    </row>
    <row r="185" spans="1:14" x14ac:dyDescent="0.25">
      <c r="A185" s="5" t="s">
        <v>213</v>
      </c>
      <c r="B185" s="5" t="s">
        <v>24</v>
      </c>
      <c r="C185" s="23">
        <f>'Total and digestible IAA'!AH185/$C$2</f>
        <v>1.7014260249554367</v>
      </c>
      <c r="D185" s="23">
        <f>'Total and digestible IAA'!AI185/$D$2</f>
        <v>1.0909090909090911</v>
      </c>
      <c r="E185" s="23">
        <f>'Total and digestible IAA'!AJ185/$E$2</f>
        <v>1.0340909090909089</v>
      </c>
      <c r="F185" s="23">
        <f>'Total and digestible IAA'!AK185/$F$2</f>
        <v>1.1512855831037649</v>
      </c>
      <c r="G185" s="23">
        <f>'Total and digestible IAA'!AL185/$G$2</f>
        <v>1.3782562466772994</v>
      </c>
      <c r="H185" s="23">
        <f>'Total and digestible IAA'!AM185/$H$2</f>
        <v>0.86644219977553316</v>
      </c>
      <c r="I185" s="23">
        <f>'Total and digestible IAA'!AN185/$I$2</f>
        <v>0.97435897435897434</v>
      </c>
      <c r="J185" s="23">
        <f>'Total and digestible IAA'!AO185/$J$2</f>
        <v>1.3745595489781537</v>
      </c>
      <c r="K185" s="23">
        <f>'Total and digestible IAA'!AP185/$K$2</f>
        <v>1.3666666666666667</v>
      </c>
      <c r="L185" s="24">
        <f t="shared" si="2"/>
        <v>86.64421997755332</v>
      </c>
      <c r="M185" s="15" t="s">
        <v>355</v>
      </c>
    </row>
    <row r="186" spans="1:14" x14ac:dyDescent="0.25">
      <c r="A186" s="5" t="s">
        <v>216</v>
      </c>
      <c r="B186" s="5" t="s">
        <v>24</v>
      </c>
      <c r="C186" s="23">
        <f>'Total and digestible IAA'!AH186/$C$2</f>
        <v>0.76018099547511309</v>
      </c>
      <c r="D186" s="23">
        <f>'Total and digestible IAA'!AI186/$D$2</f>
        <v>0.85814722911497099</v>
      </c>
      <c r="E186" s="23">
        <f>'Total and digestible IAA'!AJ186/$E$2</f>
        <v>0.82011217948717952</v>
      </c>
      <c r="F186" s="23">
        <f>'Total and digestible IAA'!AK186/$F$2</f>
        <v>0.92929292929292928</v>
      </c>
      <c r="G186" s="23">
        <f>'Total and digestible IAA'!AL186/$G$2</f>
        <v>1.161043634727845</v>
      </c>
      <c r="H186" s="23">
        <f>'Total and digestible IAA'!AM186/$H$2</f>
        <v>0.81101614434947766</v>
      </c>
      <c r="I186" s="23">
        <f>'Total and digestible IAA'!AN186/$I$2</f>
        <v>0.51602564102564108</v>
      </c>
      <c r="J186" s="23">
        <f>'Total and digestible IAA'!AO186/$J$2</f>
        <v>0.91830649970184863</v>
      </c>
      <c r="K186" s="23">
        <f>'Total and digestible IAA'!AP186/$K$2</f>
        <v>0.77179487179487172</v>
      </c>
      <c r="L186" s="24">
        <f t="shared" si="2"/>
        <v>51.602564102564109</v>
      </c>
      <c r="M186" s="15" t="s">
        <v>356</v>
      </c>
    </row>
    <row r="187" spans="1:14" x14ac:dyDescent="0.25">
      <c r="A187" s="5" t="s">
        <v>217</v>
      </c>
      <c r="B187" s="5" t="s">
        <v>24</v>
      </c>
      <c r="C187" s="23">
        <f>'Total and digestible IAA'!AH187/$C$2</f>
        <v>0.42094376212023271</v>
      </c>
      <c r="D187" s="23">
        <f>'Total and digestible IAA'!AI187/$D$2</f>
        <v>0.80645161290322576</v>
      </c>
      <c r="E187" s="23">
        <f>'Total and digestible IAA'!AJ187/$E$2</f>
        <v>0.74175824175824179</v>
      </c>
      <c r="F187" s="23">
        <f>'Total and digestible IAA'!AK187/$F$2</f>
        <v>0.74325674325674329</v>
      </c>
      <c r="G187" s="23">
        <f>'Total and digestible IAA'!AL187/$G$2</f>
        <v>1.0936957779063043</v>
      </c>
      <c r="H187" s="23">
        <f>'Total and digestible IAA'!AM187/$H$2</f>
        <v>0.72242572242572245</v>
      </c>
      <c r="I187" s="23">
        <f>'Total and digestible IAA'!AN187/$I$2</f>
        <v>0.42772612003381233</v>
      </c>
      <c r="J187" s="23">
        <f>'Total and digestible IAA'!AO187/$J$2</f>
        <v>0.73600817786864303</v>
      </c>
      <c r="K187" s="23">
        <f>'Total and digestible IAA'!AP187/$K$2</f>
        <v>1.1725274725274724</v>
      </c>
      <c r="L187" s="24">
        <f t="shared" si="2"/>
        <v>42.094376212023271</v>
      </c>
      <c r="M187" s="15" t="s">
        <v>6</v>
      </c>
    </row>
    <row r="188" spans="1:14" s="6" customFormat="1" x14ac:dyDescent="0.25">
      <c r="C188" s="36"/>
      <c r="D188" s="36"/>
      <c r="E188" s="36"/>
      <c r="F188" s="36"/>
      <c r="G188" s="36"/>
      <c r="H188" s="36"/>
      <c r="I188" s="36"/>
      <c r="J188" s="36"/>
      <c r="K188" s="36"/>
      <c r="L188" s="37"/>
      <c r="M188" s="16"/>
    </row>
    <row r="189" spans="1:14" s="4" customFormat="1" x14ac:dyDescent="0.25">
      <c r="A189" s="4" t="s">
        <v>281</v>
      </c>
      <c r="B189" s="5" t="s">
        <v>28</v>
      </c>
      <c r="C189" s="23">
        <f>'Total and digestible IAA'!AH189/$C$2</f>
        <v>1.4788181327576901</v>
      </c>
      <c r="D189" s="23">
        <f>'Total and digestible IAA'!AI189/$D$2</f>
        <v>1.2762651672092333</v>
      </c>
      <c r="E189" s="23">
        <f>'Total and digestible IAA'!AJ189/$E$2</f>
        <v>1.5584862385321099</v>
      </c>
      <c r="F189" s="23">
        <f>'Total and digestible IAA'!AK189/$F$2</f>
        <v>1.4258757297748126</v>
      </c>
      <c r="G189" s="23">
        <f>'Total and digestible IAA'!AL189/$G$2</f>
        <v>1.3621841300498954</v>
      </c>
      <c r="H189" s="23">
        <f>'Total and digestible IAA'!AM189/$H$2</f>
        <v>1.2132178049609239</v>
      </c>
      <c r="I189" s="23">
        <f>'Total and digestible IAA'!AN189/$I$2</f>
        <v>2.0337420606916017</v>
      </c>
      <c r="J189" s="23">
        <f>'Total and digestible IAA'!AO189/$J$2</f>
        <v>1.4796244932792832</v>
      </c>
      <c r="K189" s="23">
        <f>'Total and digestible IAA'!AP189/$K$2</f>
        <v>1.5017201834862384</v>
      </c>
      <c r="L189" s="24">
        <f t="shared" si="2"/>
        <v>121.32178049609239</v>
      </c>
      <c r="M189" s="14" t="s">
        <v>355</v>
      </c>
    </row>
    <row r="190" spans="1:14" x14ac:dyDescent="0.25">
      <c r="A190" s="5" t="s">
        <v>30</v>
      </c>
      <c r="B190" s="5" t="s">
        <v>28</v>
      </c>
      <c r="C190" s="23"/>
      <c r="D190" s="23"/>
      <c r="E190" s="23"/>
      <c r="F190" s="23"/>
      <c r="G190" s="23"/>
      <c r="H190" s="23"/>
      <c r="I190" s="23"/>
      <c r="J190" s="23"/>
      <c r="K190" s="23"/>
      <c r="L190" s="24"/>
      <c r="M190" s="15"/>
    </row>
    <row r="191" spans="1:14" x14ac:dyDescent="0.25">
      <c r="A191" s="5" t="s">
        <v>282</v>
      </c>
      <c r="B191" s="5" t="s">
        <v>28</v>
      </c>
      <c r="C191" s="23">
        <f>'Total and digestible IAA'!AH191/$C$2</f>
        <v>1.3835294117647059</v>
      </c>
      <c r="D191" s="23">
        <f>'Total and digestible IAA'!AI191/$D$2</f>
        <v>1.5896774193548386</v>
      </c>
      <c r="E191" s="23">
        <f>'Total and digestible IAA'!AJ191/$E$2</f>
        <v>1.4681250000000001</v>
      </c>
      <c r="F191" s="23">
        <f>'Total and digestible IAA'!AK191/$F$2</f>
        <v>1.1733333333333333</v>
      </c>
      <c r="G191" s="23">
        <f>'Total and digestible IAA'!AL191/$G$2</f>
        <v>1.0105263157894739</v>
      </c>
      <c r="H191" s="23">
        <f>'Total and digestible IAA'!AM191/$H$2</f>
        <v>1.1646913580246916</v>
      </c>
      <c r="I191" s="23">
        <f>'Total and digestible IAA'!AN191/$I$2</f>
        <v>0.8946153846153847</v>
      </c>
      <c r="J191" s="23">
        <f>'Total and digestible IAA'!AO191/$J$2</f>
        <v>1.0505426356589147</v>
      </c>
      <c r="K191" s="23">
        <f>'Total and digestible IAA'!AP191/$K$2</f>
        <v>0.72000000000000008</v>
      </c>
      <c r="L191" s="24">
        <f t="shared" si="2"/>
        <v>72.000000000000014</v>
      </c>
      <c r="M191" s="15" t="s">
        <v>9</v>
      </c>
    </row>
    <row r="192" spans="1:14" x14ac:dyDescent="0.25">
      <c r="A192" s="5" t="s">
        <v>29</v>
      </c>
      <c r="B192" s="5" t="s">
        <v>28</v>
      </c>
      <c r="C192" s="23">
        <f>'Total and digestible IAA'!AH192/$C$2</f>
        <v>1.3875598086124401</v>
      </c>
      <c r="D192" s="23">
        <f>'Total and digestible IAA'!AI192/$D$2</f>
        <v>1.5891341256366724</v>
      </c>
      <c r="E192" s="23">
        <f>'Total and digestible IAA'!AJ192/$E$2</f>
        <v>1.486842105263158</v>
      </c>
      <c r="F192" s="23">
        <f>'Total and digestible IAA'!AK192/$F$2</f>
        <v>1.1738437001594897</v>
      </c>
      <c r="G192" s="23">
        <f>'Total and digestible IAA'!AL192/$G$2</f>
        <v>1.0123394610929237</v>
      </c>
      <c r="H192" s="23">
        <f>'Total and digestible IAA'!AM192/$H$2</f>
        <v>1.16675527201843</v>
      </c>
      <c r="I192" s="23">
        <f>'Total and digestible IAA'!AN192/$I$2</f>
        <v>0.88176297386823699</v>
      </c>
      <c r="J192" s="23">
        <f>'Total and digestible IAA'!AO192/$J$2</f>
        <v>1.047735618115055</v>
      </c>
      <c r="K192" s="23">
        <f>'Total and digestible IAA'!AP192/$K$2</f>
        <v>0.70263157894736827</v>
      </c>
      <c r="L192" s="24">
        <f t="shared" si="2"/>
        <v>70.263157894736821</v>
      </c>
      <c r="M192" s="15" t="s">
        <v>9</v>
      </c>
    </row>
    <row r="193" spans="1:13" x14ac:dyDescent="0.25">
      <c r="A193" s="5" t="s">
        <v>284</v>
      </c>
      <c r="B193" s="5" t="s">
        <v>28</v>
      </c>
      <c r="C193" s="23">
        <f>'Total and digestible IAA'!AH193/$C$2</f>
        <v>1.4029850746268657</v>
      </c>
      <c r="D193" s="23">
        <f>'Total and digestible IAA'!AI193/$D$2</f>
        <v>1.5930669234472798</v>
      </c>
      <c r="E193" s="23">
        <f>'Total and digestible IAA'!AJ193/$E$2</f>
        <v>1.4858208955223882</v>
      </c>
      <c r="F193" s="23">
        <f>'Total and digestible IAA'!AK193/$F$2</f>
        <v>1.1741293532338308</v>
      </c>
      <c r="G193" s="23">
        <f>'Total and digestible IAA'!AL193/$G$2</f>
        <v>1.0198481277821418</v>
      </c>
      <c r="H193" s="23">
        <f>'Total and digestible IAA'!AM193/$H$2</f>
        <v>1.1667219458264235</v>
      </c>
      <c r="I193" s="23">
        <f>'Total and digestible IAA'!AN193/$I$2</f>
        <v>0.87898966704936865</v>
      </c>
      <c r="J193" s="23">
        <f>'Total and digestible IAA'!AO193/$J$2</f>
        <v>1.0565081568899688</v>
      </c>
      <c r="K193" s="23">
        <f>'Total and digestible IAA'!AP193/$K$2</f>
        <v>0.7011940298507463</v>
      </c>
      <c r="L193" s="24">
        <f t="shared" si="2"/>
        <v>70.119402985074629</v>
      </c>
      <c r="M193" s="15" t="s">
        <v>9</v>
      </c>
    </row>
    <row r="194" spans="1:13" s="4" customFormat="1" x14ac:dyDescent="0.25">
      <c r="A194" s="4" t="s">
        <v>116</v>
      </c>
      <c r="B194" s="5" t="s">
        <v>28</v>
      </c>
      <c r="C194" s="23">
        <f>'Total and digestible IAA'!AH194/$C$2</f>
        <v>1.4898692810457517</v>
      </c>
      <c r="D194" s="23">
        <f>'Total and digestible IAA'!AI194/$D$2</f>
        <v>1.2801971326164874</v>
      </c>
      <c r="E194" s="23">
        <f>'Total and digestible IAA'!AJ194/$E$2</f>
        <v>1.4972222222222222</v>
      </c>
      <c r="F194" s="23">
        <f>'Total and digestible IAA'!AK194/$F$2</f>
        <v>1.3616161616161617</v>
      </c>
      <c r="G194" s="23">
        <f>'Total and digestible IAA'!AL194/$G$2</f>
        <v>1.3377680311890838</v>
      </c>
      <c r="H194" s="23">
        <f>'Total and digestible IAA'!AM194/$H$2</f>
        <v>1.2598765432098762</v>
      </c>
      <c r="I194" s="23">
        <f>'Total and digestible IAA'!AN194/$I$2</f>
        <v>1.698450854700855</v>
      </c>
      <c r="J194" s="23">
        <f>'Total and digestible IAA'!AO194/$J$2</f>
        <v>1.2763565891472868</v>
      </c>
      <c r="K194" s="23">
        <f>'Total and digestible IAA'!AP194/$K$2</f>
        <v>1.3062499999999999</v>
      </c>
      <c r="L194" s="24">
        <f t="shared" si="2"/>
        <v>125.98765432098762</v>
      </c>
      <c r="M194" s="14" t="s">
        <v>355</v>
      </c>
    </row>
    <row r="195" spans="1:13" x14ac:dyDescent="0.25">
      <c r="A195" s="5" t="s">
        <v>27</v>
      </c>
      <c r="B195" s="5" t="s">
        <v>28</v>
      </c>
      <c r="C195" s="23">
        <f>'Total and digestible IAA'!AH195/$C$2</f>
        <v>1.3529411764705881</v>
      </c>
      <c r="D195" s="23">
        <f>'Total and digestible IAA'!AI195/$D$2</f>
        <v>1.2803552011598405</v>
      </c>
      <c r="E195" s="23">
        <f>'Total and digestible IAA'!AJ195/$E$2</f>
        <v>1.4128335674157304</v>
      </c>
      <c r="F195" s="23">
        <f>'Total and digestible IAA'!AK195/$F$2</f>
        <v>1.3949182839632277</v>
      </c>
      <c r="G195" s="23">
        <f>'Total and digestible IAA'!AL195/$G$2</f>
        <v>1.3151981076286219</v>
      </c>
      <c r="H195" s="23">
        <f>'Total and digestible IAA'!AM195/$H$2</f>
        <v>1.2064086558468583</v>
      </c>
      <c r="I195" s="23">
        <f>'Total and digestible IAA'!AN195/$I$2</f>
        <v>1.7171024200518583</v>
      </c>
      <c r="J195" s="23">
        <f>'Total and digestible IAA'!AO195/$J$2</f>
        <v>1.2876927096942774</v>
      </c>
      <c r="K195" s="23">
        <f>'Total and digestible IAA'!AP195/$K$2</f>
        <v>1.3202247191011234</v>
      </c>
      <c r="L195" s="24">
        <f t="shared" si="2"/>
        <v>120.64086558468583</v>
      </c>
      <c r="M195" s="14" t="s">
        <v>355</v>
      </c>
    </row>
    <row r="196" spans="1:13" x14ac:dyDescent="0.25">
      <c r="A196" s="5" t="s">
        <v>287</v>
      </c>
      <c r="B196" s="5" t="s">
        <v>28</v>
      </c>
      <c r="C196" s="23"/>
      <c r="D196" s="23"/>
      <c r="E196" s="23"/>
      <c r="F196" s="23"/>
      <c r="G196" s="23"/>
      <c r="H196" s="23"/>
      <c r="I196" s="23"/>
      <c r="J196" s="23"/>
      <c r="K196" s="23"/>
      <c r="L196" s="24"/>
      <c r="M196" s="15"/>
    </row>
    <row r="197" spans="1:13" s="4" customFormat="1" x14ac:dyDescent="0.25">
      <c r="A197" s="4" t="s">
        <v>117</v>
      </c>
      <c r="B197" s="5" t="s">
        <v>28</v>
      </c>
      <c r="C197" s="23">
        <f>'Total and digestible IAA'!AH197/$C$2</f>
        <v>1.5275590551181102</v>
      </c>
      <c r="D197" s="23">
        <f>'Total and digestible IAA'!AI197/$D$2</f>
        <v>1.3609347218694436</v>
      </c>
      <c r="E197" s="23">
        <f>'Total and digestible IAA'!AJ197/$E$2</f>
        <v>1.5110728346456692</v>
      </c>
      <c r="F197" s="23">
        <f>'Total and digestible IAA'!AK197/$F$2</f>
        <v>1.3424003817704604</v>
      </c>
      <c r="G197" s="23">
        <f>'Total and digestible IAA'!AL197/$G$2</f>
        <v>1.2110098079845284</v>
      </c>
      <c r="H197" s="23">
        <f>'Total and digestible IAA'!AM197/$H$2</f>
        <v>1.0888013998250219</v>
      </c>
      <c r="I197" s="23">
        <f>'Total and digestible IAA'!AN197/$I$2</f>
        <v>1.5655663234403394</v>
      </c>
      <c r="J197" s="23">
        <f>'Total and digestible IAA'!AO197/$J$2</f>
        <v>1.2550814869071598</v>
      </c>
      <c r="K197" s="23">
        <f>'Total and digestible IAA'!AP197/$K$2</f>
        <v>1.3366141732283465</v>
      </c>
      <c r="L197" s="24">
        <f t="shared" ref="L197:L214" si="3">MIN(C197:K197)*100</f>
        <v>108.88013998250219</v>
      </c>
      <c r="M197" s="14" t="s">
        <v>355</v>
      </c>
    </row>
    <row r="198" spans="1:13" s="4" customFormat="1" x14ac:dyDescent="0.25">
      <c r="A198" s="4" t="s">
        <v>111</v>
      </c>
      <c r="B198" s="5" t="s">
        <v>28</v>
      </c>
      <c r="C198" s="23">
        <f>'Total and digestible IAA'!AH198/$C$2</f>
        <v>1.411764705882353</v>
      </c>
      <c r="D198" s="23">
        <f>'Total and digestible IAA'!AI198/$D$2</f>
        <v>1.3709677419354835</v>
      </c>
      <c r="E198" s="23">
        <f>'Total and digestible IAA'!AJ198/$E$2</f>
        <v>1.2801724137931036</v>
      </c>
      <c r="F198" s="23">
        <f>'Total and digestible IAA'!AK198/$F$2</f>
        <v>0.92711598746081503</v>
      </c>
      <c r="G198" s="23">
        <f>'Total and digestible IAA'!AL198/$G$2</f>
        <v>1.1575922565033272</v>
      </c>
      <c r="H198" s="23">
        <f>'Total and digestible IAA'!AM198/$H$2</f>
        <v>0.9731800766283526</v>
      </c>
      <c r="I198" s="23">
        <f>'Total and digestible IAA'!AN198/$I$2</f>
        <v>0.50729442970822292</v>
      </c>
      <c r="J198" s="23">
        <f>'Total and digestible IAA'!AO198/$J$2</f>
        <v>0.87209302325581395</v>
      </c>
      <c r="K198" s="23">
        <f>'Total and digestible IAA'!AP198/$K$2</f>
        <v>0.86293103448275876</v>
      </c>
      <c r="L198" s="24">
        <f t="shared" si="3"/>
        <v>50.729442970822291</v>
      </c>
      <c r="M198" s="14" t="s">
        <v>356</v>
      </c>
    </row>
    <row r="199" spans="1:13" s="4" customFormat="1" x14ac:dyDescent="0.25">
      <c r="A199" s="4" t="s">
        <v>112</v>
      </c>
      <c r="B199" s="5" t="s">
        <v>28</v>
      </c>
      <c r="C199" s="23">
        <f>'Total and digestible IAA'!AH199/$C$2</f>
        <v>1.4307400379506641</v>
      </c>
      <c r="D199" s="23">
        <f>'Total and digestible IAA'!AI199/$D$2</f>
        <v>1.4741588622962194</v>
      </c>
      <c r="E199" s="23">
        <f>'Total and digestible IAA'!AJ199/$E$2</f>
        <v>1.4193548387096775</v>
      </c>
      <c r="F199" s="23">
        <f>'Total and digestible IAA'!AK199/$F$2</f>
        <v>1.0822743564679047</v>
      </c>
      <c r="G199" s="23">
        <f>'Total and digestible IAA'!AL199/$G$2</f>
        <v>1.1584606677985285</v>
      </c>
      <c r="H199" s="23">
        <f>'Total and digestible IAA'!AM199/$H$2</f>
        <v>1.0720828355236958</v>
      </c>
      <c r="I199" s="23">
        <f>'Total and digestible IAA'!AN199/$I$2</f>
        <v>0.68858560794044665</v>
      </c>
      <c r="J199" s="23">
        <f>'Total and digestible IAA'!AO199/$J$2</f>
        <v>0.97899474868717185</v>
      </c>
      <c r="K199" s="23">
        <f>'Total and digestible IAA'!AP199/$K$2</f>
        <v>0.88064516129032255</v>
      </c>
      <c r="L199" s="24">
        <f t="shared" si="3"/>
        <v>68.858560794044664</v>
      </c>
      <c r="M199" s="14" t="s">
        <v>356</v>
      </c>
    </row>
    <row r="200" spans="1:13" s="4" customFormat="1" x14ac:dyDescent="0.25">
      <c r="A200" s="4" t="s">
        <v>113</v>
      </c>
      <c r="B200" s="5" t="s">
        <v>28</v>
      </c>
      <c r="C200" s="23">
        <f>'Total and digestible IAA'!AH200/$C$2</f>
        <v>1.4492451847995838</v>
      </c>
      <c r="D200" s="23">
        <f>'Total and digestible IAA'!AI200/$D$2</f>
        <v>1.5044247787610618</v>
      </c>
      <c r="E200" s="23">
        <f>'Total and digestible IAA'!AJ200/$E$2</f>
        <v>1.4358407079646018</v>
      </c>
      <c r="F200" s="23">
        <f>'Total and digestible IAA'!AK200/$F$2</f>
        <v>1.1225529632609277</v>
      </c>
      <c r="G200" s="23">
        <f>'Total and digestible IAA'!AL200/$G$2</f>
        <v>1.1606893339543551</v>
      </c>
      <c r="H200" s="23">
        <f>'Total and digestible IAA'!AM200/$H$2</f>
        <v>1.0894788593903637</v>
      </c>
      <c r="I200" s="23">
        <f>'Total and digestible IAA'!AN200/$I$2</f>
        <v>0.73519400953029279</v>
      </c>
      <c r="J200" s="23">
        <f>'Total and digestible IAA'!AO200/$J$2</f>
        <v>1.0026754476229676</v>
      </c>
      <c r="K200" s="23">
        <f>'Total and digestible IAA'!AP200/$K$2</f>
        <v>0.8858407079646019</v>
      </c>
      <c r="L200" s="24">
        <f t="shared" si="3"/>
        <v>73.519400953029276</v>
      </c>
      <c r="M200" s="14" t="s">
        <v>356</v>
      </c>
    </row>
    <row r="201" spans="1:13" s="4" customFormat="1" x14ac:dyDescent="0.25">
      <c r="A201" s="4" t="s">
        <v>114</v>
      </c>
      <c r="B201" s="5" t="s">
        <v>28</v>
      </c>
      <c r="C201" s="23">
        <f>'Total and digestible IAA'!AH201/$C$2</f>
        <v>1.4329411764705882</v>
      </c>
      <c r="D201" s="23">
        <f>'Total and digestible IAA'!AI201/$D$2</f>
        <v>1.5720430107526879</v>
      </c>
      <c r="E201" s="23">
        <f>'Total and digestible IAA'!AJ201/$E$2</f>
        <v>1.4850000000000001</v>
      </c>
      <c r="F201" s="23">
        <f>'Total and digestible IAA'!AK201/$F$2</f>
        <v>1.1765656565656566</v>
      </c>
      <c r="G201" s="23">
        <f>'Total and digestible IAA'!AL201/$G$2</f>
        <v>1.1658479532163744</v>
      </c>
      <c r="H201" s="23">
        <f>'Total and digestible IAA'!AM201/$H$2</f>
        <v>1.109135802469136</v>
      </c>
      <c r="I201" s="23">
        <f>'Total and digestible IAA'!AN201/$I$2</f>
        <v>0.80769230769230771</v>
      </c>
      <c r="J201" s="23">
        <f>'Total and digestible IAA'!AO201/$J$2</f>
        <v>1.0386046511627907</v>
      </c>
      <c r="K201" s="23">
        <f>'Total and digestible IAA'!AP201/$K$2</f>
        <v>0.87966666666666671</v>
      </c>
      <c r="L201" s="24">
        <f t="shared" si="3"/>
        <v>80.769230769230774</v>
      </c>
      <c r="M201" s="14" t="s">
        <v>356</v>
      </c>
    </row>
    <row r="202" spans="1:13" s="4" customFormat="1" x14ac:dyDescent="0.25">
      <c r="A202" s="4" t="s">
        <v>115</v>
      </c>
      <c r="B202" s="5" t="s">
        <v>28</v>
      </c>
      <c r="C202" s="23">
        <f>'Total and digestible IAA'!AH202/$C$2</f>
        <v>1.4092071611253196</v>
      </c>
      <c r="D202" s="23">
        <f>'Total and digestible IAA'!AI202/$D$2</f>
        <v>1.5497896213183731</v>
      </c>
      <c r="E202" s="23">
        <f>'Total and digestible IAA'!AJ202/$E$2</f>
        <v>1.4746376811594204</v>
      </c>
      <c r="F202" s="23">
        <f>'Total and digestible IAA'!AK202/$F$2</f>
        <v>1.1589811155028547</v>
      </c>
      <c r="G202" s="23">
        <f>'Total and digestible IAA'!AL202/$G$2</f>
        <v>1.1653953724891941</v>
      </c>
      <c r="H202" s="23">
        <f>'Total and digestible IAA'!AM202/$H$2</f>
        <v>1.1089640365002684</v>
      </c>
      <c r="I202" s="23">
        <f>'Total and digestible IAA'!AN202/$I$2</f>
        <v>0.79013377926421413</v>
      </c>
      <c r="J202" s="23">
        <f>'Total and digestible IAA'!AO202/$J$2</f>
        <v>1.0262891809908998</v>
      </c>
      <c r="K202" s="23">
        <f>'Total and digestible IAA'!AP202/$K$2</f>
        <v>0.89021739130434785</v>
      </c>
      <c r="L202" s="24">
        <f t="shared" si="3"/>
        <v>79.013377926421413</v>
      </c>
      <c r="M202" s="14" t="s">
        <v>356</v>
      </c>
    </row>
    <row r="203" spans="1:13" s="4" customFormat="1" x14ac:dyDescent="0.25">
      <c r="A203" s="4" t="s">
        <v>258</v>
      </c>
      <c r="B203" s="5" t="s">
        <v>28</v>
      </c>
      <c r="C203" s="23">
        <f>'Total and digestible IAA'!AH203/$C$2</f>
        <v>1.517929411764706</v>
      </c>
      <c r="D203" s="23">
        <f>'Total and digestible IAA'!AI203/$D$2</f>
        <v>2.314690322580645</v>
      </c>
      <c r="E203" s="23">
        <f>'Total and digestible IAA'!AJ203/$E$2</f>
        <v>2.4663187500000001</v>
      </c>
      <c r="F203" s="23">
        <f>'Total and digestible IAA'!AK203/$F$2</f>
        <v>1.6808878787878789</v>
      </c>
      <c r="G203" s="23">
        <f>'Total and digestible IAA'!AL203/$G$2</f>
        <v>1.7118315789473684</v>
      </c>
      <c r="H203" s="23">
        <f>'Total and digestible IAA'!AM203/$H$2</f>
        <v>1.7716333333333329</v>
      </c>
      <c r="I203" s="23">
        <f>'Total and digestible IAA'!AN203/$I$2</f>
        <v>1.1157865384615384</v>
      </c>
      <c r="J203" s="23">
        <f>'Total and digestible IAA'!AO203/$J$2</f>
        <v>1.4563372093023259</v>
      </c>
      <c r="K203" s="23">
        <f>'Total and digestible IAA'!AP203/$K$2</f>
        <v>0.82607500000000011</v>
      </c>
      <c r="L203" s="24">
        <f t="shared" si="3"/>
        <v>82.607500000000016</v>
      </c>
      <c r="M203" s="14" t="s">
        <v>9</v>
      </c>
    </row>
    <row r="204" spans="1:13" s="6" customFormat="1" x14ac:dyDescent="0.25">
      <c r="C204" s="36"/>
      <c r="D204" s="36"/>
      <c r="E204" s="36"/>
      <c r="F204" s="36"/>
      <c r="G204" s="36"/>
      <c r="H204" s="36"/>
      <c r="I204" s="36"/>
      <c r="J204" s="36"/>
      <c r="K204" s="36"/>
      <c r="L204" s="37"/>
      <c r="M204" s="16"/>
    </row>
    <row r="205" spans="1:13" x14ac:dyDescent="0.25">
      <c r="A205" s="5" t="s">
        <v>159</v>
      </c>
      <c r="B205" s="5" t="s">
        <v>297</v>
      </c>
      <c r="C205" s="23">
        <f>'Total and digestible IAA'!AH205/$C$2</f>
        <v>0.72941176470588243</v>
      </c>
      <c r="D205" s="23">
        <f>'Total and digestible IAA'!AI205/$D$2</f>
        <v>0.62903225806451613</v>
      </c>
      <c r="E205" s="23">
        <f>'Total and digestible IAA'!AJ205/$E$2</f>
        <v>0.82031249999999989</v>
      </c>
      <c r="F205" s="23">
        <f>'Total and digestible IAA'!AK205/$F$2</f>
        <v>0.65890151515151507</v>
      </c>
      <c r="G205" s="23">
        <f>'Total and digestible IAA'!AL205/$G$2</f>
        <v>0.43245614035087715</v>
      </c>
      <c r="H205" s="23">
        <f>'Total and digestible IAA'!AM205/$H$2</f>
        <v>0.61481481481481481</v>
      </c>
      <c r="I205" s="23">
        <f>'Total and digestible IAA'!AN205/$I$2</f>
        <v>0.88701923076923062</v>
      </c>
      <c r="J205" s="23">
        <f>'Total and digestible IAA'!AO205/$J$2</f>
        <v>0.63313953488372088</v>
      </c>
      <c r="K205" s="23">
        <f>'Total and digestible IAA'!AP205/$K$2</f>
        <v>0.77625</v>
      </c>
      <c r="L205" s="24">
        <f t="shared" si="3"/>
        <v>43.245614035087712</v>
      </c>
      <c r="M205" s="15" t="s">
        <v>8</v>
      </c>
    </row>
    <row r="206" spans="1:13" x14ac:dyDescent="0.25">
      <c r="A206" s="5" t="s">
        <v>161</v>
      </c>
      <c r="B206" s="5" t="s">
        <v>297</v>
      </c>
      <c r="C206" s="23">
        <f>'Total and digestible IAA'!AH206/$C$2</f>
        <v>1.0513141426783481</v>
      </c>
      <c r="D206" s="23">
        <f>'Total and digestible IAA'!AI206/$D$2</f>
        <v>0.68359643102264922</v>
      </c>
      <c r="E206" s="23">
        <f>'Total and digestible IAA'!AJ206/$E$2</f>
        <v>0.4521276595744681</v>
      </c>
      <c r="F206" s="23">
        <f>'Total and digestible IAA'!AK206/$F$2</f>
        <v>0.61702127659574479</v>
      </c>
      <c r="G206" s="23">
        <f>'Total and digestible IAA'!AL206/$G$2</f>
        <v>0.53938036580813731</v>
      </c>
      <c r="H206" s="23">
        <f>'Total and digestible IAA'!AM206/$H$2</f>
        <v>0.40425531914893614</v>
      </c>
      <c r="I206" s="23">
        <f>'Total and digestible IAA'!AN206/$I$2</f>
        <v>0.53805237315875609</v>
      </c>
      <c r="J206" s="23">
        <f>'Total and digestible IAA'!AO206/$J$2</f>
        <v>0.5467590301830777</v>
      </c>
      <c r="K206" s="23">
        <f>'Total and digestible IAA'!AP206/$K$2</f>
        <v>2.8691489361702129</v>
      </c>
      <c r="L206" s="24">
        <f t="shared" si="3"/>
        <v>40.425531914893611</v>
      </c>
      <c r="M206" s="15" t="s">
        <v>355</v>
      </c>
    </row>
    <row r="207" spans="1:13" x14ac:dyDescent="0.25">
      <c r="A207" s="5" t="s">
        <v>163</v>
      </c>
      <c r="B207" s="5" t="s">
        <v>297</v>
      </c>
      <c r="C207" s="23">
        <f>'Total and digestible IAA'!AH207/$C$2</f>
        <v>0.78655462184873937</v>
      </c>
      <c r="D207" s="23">
        <f>'Total and digestible IAA'!AI207/$D$2</f>
        <v>0.78064516129032269</v>
      </c>
      <c r="E207" s="23">
        <f>'Total and digestible IAA'!AJ207/$E$2</f>
        <v>0.83169642857142856</v>
      </c>
      <c r="F207" s="23">
        <f>'Total and digestible IAA'!AK207/$F$2</f>
        <v>0.68268398268398267</v>
      </c>
      <c r="G207" s="23">
        <f>'Total and digestible IAA'!AL207/$G$2</f>
        <v>0.46917293233082702</v>
      </c>
      <c r="H207" s="23">
        <f>'Total and digestible IAA'!AM207/$H$2</f>
        <v>0.63703703703703696</v>
      </c>
      <c r="I207" s="23">
        <f>'Total and digestible IAA'!AN207/$I$2</f>
        <v>1.1021978021978021</v>
      </c>
      <c r="J207" s="23">
        <f>'Total and digestible IAA'!AO207/$J$2</f>
        <v>0.79734219269102991</v>
      </c>
      <c r="K207" s="23">
        <f>'Total and digestible IAA'!AP207/$K$2</f>
        <v>0.82</v>
      </c>
      <c r="L207" s="24">
        <f t="shared" si="3"/>
        <v>46.917293233082702</v>
      </c>
      <c r="M207" s="15" t="s">
        <v>8</v>
      </c>
    </row>
    <row r="208" spans="1:13" x14ac:dyDescent="0.25">
      <c r="A208" s="5" t="s">
        <v>165</v>
      </c>
      <c r="B208" s="5" t="s">
        <v>297</v>
      </c>
      <c r="C208" s="23">
        <f>'Total and digestible IAA'!AH208/$C$2</f>
        <v>0.84491978609625684</v>
      </c>
      <c r="D208" s="23">
        <f>'Total and digestible IAA'!AI208/$D$2</f>
        <v>0.91495601173020535</v>
      </c>
      <c r="E208" s="23">
        <f>'Total and digestible IAA'!AJ208/$E$2</f>
        <v>0.93181818181818188</v>
      </c>
      <c r="F208" s="23">
        <f>'Total and digestible IAA'!AK208/$F$2</f>
        <v>0.69421487603305787</v>
      </c>
      <c r="G208" s="23">
        <f>'Total and digestible IAA'!AL208/$G$2</f>
        <v>0.50398724082934621</v>
      </c>
      <c r="H208" s="23">
        <f>'Total and digestible IAA'!AM208/$H$2</f>
        <v>0.54545454545454553</v>
      </c>
      <c r="I208" s="23">
        <f>'Total and digestible IAA'!AN208/$I$2</f>
        <v>1.1783216783216781</v>
      </c>
      <c r="J208" s="23">
        <f>'Total and digestible IAA'!AO208/$J$2</f>
        <v>0.85623678646934465</v>
      </c>
      <c r="K208" s="23">
        <f>'Total and digestible IAA'!AP208/$K$2</f>
        <v>0.75454545454545463</v>
      </c>
      <c r="L208" s="24">
        <f t="shared" si="3"/>
        <v>50.398724082934621</v>
      </c>
      <c r="M208" s="15" t="s">
        <v>8</v>
      </c>
    </row>
    <row r="209" spans="1:14" x14ac:dyDescent="0.25">
      <c r="A209" s="5" t="s">
        <v>167</v>
      </c>
      <c r="B209" s="5" t="s">
        <v>297</v>
      </c>
      <c r="C209" s="23">
        <f>'Total and digestible IAA'!AH209/$C$2</f>
        <v>0.66349480968858143</v>
      </c>
      <c r="D209" s="23">
        <f>'Total and digestible IAA'!AI209/$D$2</f>
        <v>0.63543643263757121</v>
      </c>
      <c r="E209" s="23">
        <f>'Total and digestible IAA'!AJ209/$E$2</f>
        <v>0.765625</v>
      </c>
      <c r="F209" s="23">
        <f>'Total and digestible IAA'!AK209/$F$2</f>
        <v>0.68415775401069512</v>
      </c>
      <c r="G209" s="23">
        <f>'Total and digestible IAA'!AL209/$G$2</f>
        <v>0.38312693498452022</v>
      </c>
      <c r="H209" s="23">
        <f>'Total and digestible IAA'!AM209/$H$2</f>
        <v>0.49673202614379086</v>
      </c>
      <c r="I209" s="23">
        <f>'Total and digestible IAA'!AN209/$I$2</f>
        <v>0.73755656108597267</v>
      </c>
      <c r="J209" s="23">
        <f>'Total and digestible IAA'!AO209/$J$2</f>
        <v>0.56908344733242133</v>
      </c>
      <c r="K209" s="23">
        <f>'Total and digestible IAA'!AP209/$K$2</f>
        <v>0.67941176470588227</v>
      </c>
      <c r="L209" s="24">
        <f t="shared" si="3"/>
        <v>38.31269349845202</v>
      </c>
      <c r="M209" s="15" t="s">
        <v>8</v>
      </c>
    </row>
    <row r="210" spans="1:14" x14ac:dyDescent="0.25">
      <c r="A210" s="5" t="s">
        <v>169</v>
      </c>
      <c r="B210" s="5" t="s">
        <v>297</v>
      </c>
      <c r="C210" s="23">
        <f>'Total and digestible IAA'!AH210/$C$2</f>
        <v>0.71905179982440737</v>
      </c>
      <c r="D210" s="23">
        <f>'Total and digestible IAA'!AI210/$D$2</f>
        <v>0.70149253731343297</v>
      </c>
      <c r="E210" s="23">
        <f>'Total and digestible IAA'!AJ210/$E$2</f>
        <v>0.82789179104477606</v>
      </c>
      <c r="F210" s="23">
        <f>'Total and digestible IAA'!AK210/$F$2</f>
        <v>0.71811397557666201</v>
      </c>
      <c r="G210" s="23">
        <f>'Total and digestible IAA'!AL210/$G$2</f>
        <v>0.41633935585231735</v>
      </c>
      <c r="H210" s="23">
        <f>'Total and digestible IAA'!AM210/$H$2</f>
        <v>0.54228855721393032</v>
      </c>
      <c r="I210" s="23">
        <f>'Total and digestible IAA'!AN210/$I$2</f>
        <v>0.77411021814006886</v>
      </c>
      <c r="J210" s="23">
        <f>'Total and digestible IAA'!AO210/$J$2</f>
        <v>0.61367580701145441</v>
      </c>
      <c r="K210" s="23">
        <f>'Total and digestible IAA'!AP210/$K$2</f>
        <v>0.70522388059701491</v>
      </c>
      <c r="L210" s="24">
        <f t="shared" si="3"/>
        <v>41.633935585231733</v>
      </c>
      <c r="M210" s="15" t="s">
        <v>8</v>
      </c>
    </row>
    <row r="211" spans="1:14" x14ac:dyDescent="0.25">
      <c r="A211" s="5" t="s">
        <v>171</v>
      </c>
      <c r="B211" s="5" t="s">
        <v>297</v>
      </c>
      <c r="C211" s="23">
        <f>'Total and digestible IAA'!AH211/$C$2</f>
        <v>0.6352941176470589</v>
      </c>
      <c r="D211" s="23">
        <f>'Total and digestible IAA'!AI211/$D$2</f>
        <v>0.59838709677419355</v>
      </c>
      <c r="E211" s="23">
        <f>'Total and digestible IAA'!AJ211/$E$2</f>
        <v>0.73125000000000018</v>
      </c>
      <c r="F211" s="23">
        <f>'Total and digestible IAA'!AK211/$F$2</f>
        <v>0.65</v>
      </c>
      <c r="G211" s="23">
        <f>'Total and digestible IAA'!AL211/$G$2</f>
        <v>0.33526315789473687</v>
      </c>
      <c r="H211" s="23">
        <f>'Total and digestible IAA'!AM211/$H$2</f>
        <v>0.48518518518518522</v>
      </c>
      <c r="I211" s="23">
        <f>'Total and digestible IAA'!AN211/$I$2</f>
        <v>0.70769230769230762</v>
      </c>
      <c r="J211" s="23">
        <f>'Total and digestible IAA'!AO211/$J$2</f>
        <v>0.53023255813953485</v>
      </c>
      <c r="K211" s="23">
        <f>'Total and digestible IAA'!AP211/$K$2</f>
        <v>0.62</v>
      </c>
      <c r="L211" s="24">
        <f t="shared" si="3"/>
        <v>33.526315789473685</v>
      </c>
      <c r="M211" s="15" t="s">
        <v>8</v>
      </c>
    </row>
    <row r="212" spans="1:14" x14ac:dyDescent="0.25">
      <c r="A212" s="5" t="s">
        <v>173</v>
      </c>
      <c r="B212" s="5" t="s">
        <v>297</v>
      </c>
      <c r="C212" s="23">
        <f>'Total and digestible IAA'!AH212/$C$2</f>
        <v>0.73515064562410337</v>
      </c>
      <c r="D212" s="23">
        <f>'Total and digestible IAA'!AI212/$D$2</f>
        <v>0.65145554681353257</v>
      </c>
      <c r="E212" s="23">
        <f>'Total and digestible IAA'!AJ212/$E$2</f>
        <v>0.83231707317073167</v>
      </c>
      <c r="F212" s="23">
        <f>'Total and digestible IAA'!AK212/$F$2</f>
        <v>0.69793052475979289</v>
      </c>
      <c r="G212" s="23">
        <f>'Total and digestible IAA'!AL212/$G$2</f>
        <v>0.52118100128369704</v>
      </c>
      <c r="H212" s="23">
        <f>'Total and digestible IAA'!AM212/$H$2</f>
        <v>0.86287262872628723</v>
      </c>
      <c r="I212" s="23">
        <f>'Total and digestible IAA'!AN212/$I$2</f>
        <v>1.45046904315197</v>
      </c>
      <c r="J212" s="23">
        <f>'Total and digestible IAA'!AO212/$J$2</f>
        <v>0.65138967668746461</v>
      </c>
      <c r="K212" s="23">
        <f>'Total and digestible IAA'!AP212/$K$2</f>
        <v>0.99512195121951219</v>
      </c>
      <c r="L212" s="24">
        <f t="shared" si="3"/>
        <v>52.118100128369704</v>
      </c>
      <c r="M212" s="15" t="s">
        <v>8</v>
      </c>
    </row>
    <row r="213" spans="1:14" s="6" customFormat="1" x14ac:dyDescent="0.25">
      <c r="C213" s="36"/>
      <c r="D213" s="36"/>
      <c r="E213" s="36"/>
      <c r="F213" s="36"/>
      <c r="G213" s="36"/>
      <c r="H213" s="36"/>
      <c r="I213" s="36"/>
      <c r="J213" s="36"/>
      <c r="K213" s="36"/>
      <c r="L213" s="37"/>
      <c r="M213" s="16"/>
    </row>
    <row r="214" spans="1:14" x14ac:dyDescent="0.25">
      <c r="A214" s="5" t="s">
        <v>32</v>
      </c>
      <c r="B214" s="5" t="s">
        <v>33</v>
      </c>
      <c r="C214" s="23">
        <f>'Total and digestible IAA'!AH214/$C$2</f>
        <v>1.0998517053880377</v>
      </c>
      <c r="D214" s="23">
        <f>'Total and digestible IAA'!AI214/$D$2</f>
        <v>1.1587150989428028</v>
      </c>
      <c r="E214" s="23">
        <f>'Total and digestible IAA'!AJ214/$E$2</f>
        <v>1.125</v>
      </c>
      <c r="F214" s="23">
        <f>'Total and digestible IAA'!AK214/$F$2</f>
        <v>0.76569264069264065</v>
      </c>
      <c r="G214" s="23">
        <f>'Total and digestible IAA'!AL214/$G$2</f>
        <v>0.9438301636444052</v>
      </c>
      <c r="H214" s="23">
        <f>'Total and digestible IAA'!AM214/$H$2</f>
        <v>0.6140678493619669</v>
      </c>
      <c r="I214" s="23">
        <f>'Total and digestible IAA'!AN214/$I$2</f>
        <v>1.0299369747899159</v>
      </c>
      <c r="J214" s="23">
        <f>'Total and digestible IAA'!AO214/$J$2</f>
        <v>0.93438538205980071</v>
      </c>
      <c r="K214" s="23">
        <f>'Total and digestible IAA'!AP214/$K$2</f>
        <v>0.88235294117647067</v>
      </c>
      <c r="L214" s="24">
        <f t="shared" si="3"/>
        <v>61.406784936196686</v>
      </c>
      <c r="M214" s="15" t="s">
        <v>355</v>
      </c>
    </row>
    <row r="215" spans="1:14" x14ac:dyDescent="0.25">
      <c r="A215" s="5" t="s">
        <v>188</v>
      </c>
      <c r="B215" s="5" t="s">
        <v>33</v>
      </c>
      <c r="C215" s="23">
        <f>'Total and digestible IAA'!AH215/$C$2</f>
        <v>0.92436974789915971</v>
      </c>
      <c r="D215" s="23">
        <f>'Total and digestible IAA'!AI215/$D$2</f>
        <v>0.81673165544133297</v>
      </c>
      <c r="E215" s="23">
        <f>'Total and digestible IAA'!AJ215/$E$2</f>
        <v>0.72939560439560436</v>
      </c>
      <c r="F215" s="23">
        <f>'Total and digestible IAA'!AK215/$F$2</f>
        <v>0.57908757908757913</v>
      </c>
      <c r="G215" s="23">
        <f>'Total and digestible IAA'!AL215/$G$2</f>
        <v>0.51619433198380571</v>
      </c>
      <c r="H215" s="23">
        <f>'Total and digestible IAA'!AM215/$H$2</f>
        <v>0.76516076516076525</v>
      </c>
      <c r="I215" s="23">
        <f>'Total and digestible IAA'!AN215/$I$2</f>
        <v>0.83569315300084512</v>
      </c>
      <c r="J215" s="23">
        <f>'Total and digestible IAA'!AO215/$J$2</f>
        <v>0.68872987477638636</v>
      </c>
      <c r="K215" s="23">
        <f>'Total and digestible IAA'!AP215/$K$2</f>
        <v>0.75164835164835153</v>
      </c>
      <c r="L215" s="24">
        <f t="shared" ref="L215:L226" si="4">MIN(C215:K215)*100</f>
        <v>51.61943319838057</v>
      </c>
      <c r="M215" s="15" t="s">
        <v>8</v>
      </c>
    </row>
    <row r="216" spans="1:14" x14ac:dyDescent="0.25">
      <c r="A216" s="5" t="str">
        <f>'IAA digestibility'!A216</f>
        <v>Single cell protein (from Corynebacterium)</v>
      </c>
      <c r="B216" s="5" t="str">
        <f>'IAA digestibility'!B216</f>
        <v>Others</v>
      </c>
      <c r="C216" s="23">
        <f>'Total and digestible IAA'!AH216/$C$2</f>
        <v>2.5170684667309549</v>
      </c>
      <c r="D216" s="23">
        <f>'Total and digestible IAA'!AI216/$D$2</f>
        <v>1.4311316763617135</v>
      </c>
      <c r="E216" s="23">
        <f>'Total and digestible IAA'!AJ216/$E$2</f>
        <v>1.293985655737705</v>
      </c>
      <c r="F216" s="23">
        <f>'Total and digestible IAA'!AK216/$F$2</f>
        <v>0.98504719324391465</v>
      </c>
      <c r="G216" s="23">
        <f>'Total and digestible IAA'!AL216/$G$2</f>
        <v>0.60408398044291056</v>
      </c>
      <c r="H216" s="23">
        <f>'Total and digestible IAA'!AM216/$H$2</f>
        <v>1.3891803278688524</v>
      </c>
      <c r="I216" s="23">
        <f>'Total and digestible IAA'!AN216/$I$2</f>
        <v>1.0670586380832283</v>
      </c>
      <c r="J216" s="23">
        <f>'Total and digestible IAA'!AO216/$J$2</f>
        <v>1.2890964544414794</v>
      </c>
      <c r="K216" s="23">
        <f>'Total and digestible IAA'!AP216/$K$2</f>
        <v>0.59024590163934421</v>
      </c>
      <c r="L216" s="24">
        <f t="shared" si="4"/>
        <v>59.02459016393442</v>
      </c>
      <c r="M216" s="15" t="s">
        <v>9</v>
      </c>
    </row>
    <row r="217" spans="1:14" x14ac:dyDescent="0.25">
      <c r="A217" s="5" t="str">
        <f>'IAA digestibility'!A217</f>
        <v xml:space="preserve">Soy bean meal </v>
      </c>
      <c r="B217" s="5" t="str">
        <f>'IAA digestibility'!B217</f>
        <v>Legumes &amp; oilseeds</v>
      </c>
      <c r="C217" s="23">
        <f>'Total and digestible IAA'!AH217/$C$2</f>
        <v>1.633628318584071</v>
      </c>
      <c r="D217" s="23">
        <f>'Total and digestible IAA'!AI217/$D$2</f>
        <v>1.0290608050242649</v>
      </c>
      <c r="E217" s="23">
        <f>'Total and digestible IAA'!AJ217/$E$2</f>
        <v>1.1692201327433627</v>
      </c>
      <c r="F217" s="23">
        <f>'Total and digestible IAA'!AK217/$F$2</f>
        <v>1.0315567176186646</v>
      </c>
      <c r="G217" s="23">
        <f>'Total and digestible IAA'!AL217/$G$2</f>
        <v>1.0110425399782643</v>
      </c>
      <c r="H217" s="23">
        <f>'Total and digestible IAA'!AM217/$H$2</f>
        <v>0.85149131432317282</v>
      </c>
      <c r="I217" s="23">
        <f>'Total and digestible IAA'!AN217/$I$2</f>
        <v>1.3789355003403676</v>
      </c>
      <c r="J217" s="23">
        <f>'Total and digestible IAA'!AO217/$J$2</f>
        <v>0.9010187281333607</v>
      </c>
      <c r="K217" s="23">
        <f>'Total and digestible IAA'!AP217/$K$2</f>
        <v>1.0214712389380529</v>
      </c>
      <c r="L217" s="24">
        <f t="shared" si="4"/>
        <v>85.149131432317276</v>
      </c>
      <c r="M217" s="5" t="s">
        <v>355</v>
      </c>
    </row>
    <row r="218" spans="1:14" x14ac:dyDescent="0.25">
      <c r="A218" s="5" t="str">
        <f>'IAA digestibility'!A218</f>
        <v xml:space="preserve">Soybean meal (conventionally processed) </v>
      </c>
      <c r="B218" s="5" t="str">
        <f>'IAA digestibility'!B218</f>
        <v>Legumes &amp; oilseeds</v>
      </c>
      <c r="C218" s="23">
        <f>'Total and digestible IAA'!AH218/$C$2</f>
        <v>1.3904870548556691</v>
      </c>
      <c r="D218" s="23">
        <f>'Total and digestible IAA'!AI218/$D$2</f>
        <v>1.0648425175433824</v>
      </c>
      <c r="E218" s="23">
        <f>'Total and digestible IAA'!AJ218/$E$2</f>
        <v>1.2558626686340644</v>
      </c>
      <c r="F218" s="23">
        <f>'Total and digestible IAA'!AK218/$F$2</f>
        <v>1.0455311973018553</v>
      </c>
      <c r="G218" s="23">
        <f>'Total and digestible IAA'!AL218/$G$2</f>
        <v>1.0047779651489601</v>
      </c>
      <c r="H218" s="23">
        <f>'Total and digestible IAA'!AM218/$H$2</f>
        <v>0.89540003747423647</v>
      </c>
      <c r="I218" s="23"/>
      <c r="J218" s="23">
        <f>'Total and digestible IAA'!AO218/$J$2</f>
        <v>0.95910623946037099</v>
      </c>
      <c r="K218" s="23">
        <f>'Total and digestible IAA'!AP218/$K$2</f>
        <v>1.1888701517706577</v>
      </c>
      <c r="L218" s="24">
        <f t="shared" si="4"/>
        <v>89.54000374742364</v>
      </c>
      <c r="M218" s="5" t="s">
        <v>355</v>
      </c>
      <c r="N218" s="5" t="s">
        <v>539</v>
      </c>
    </row>
    <row r="219" spans="1:14" x14ac:dyDescent="0.25">
      <c r="A219" s="5" t="str">
        <f>'IAA digestibility'!A219</f>
        <v>Soybean meal (autoclaved, 110oC, 15 min)</v>
      </c>
      <c r="B219" s="5" t="str">
        <f>'IAA digestibility'!B219</f>
        <v>Legumes &amp; oilseeds</v>
      </c>
      <c r="C219" s="23">
        <f>'Total and digestible IAA'!AH219/$C$2</f>
        <v>1.4125549464118141</v>
      </c>
      <c r="D219" s="23">
        <f>'Total and digestible IAA'!AI219/$D$2</f>
        <v>1.0847485171040874</v>
      </c>
      <c r="E219" s="23">
        <f>'Total and digestible IAA'!AJ219/$E$2</f>
        <v>1.2688916876574308</v>
      </c>
      <c r="F219" s="23">
        <f>'Total and digestible IAA'!AK219/$F$2</f>
        <v>1.0677620029005419</v>
      </c>
      <c r="G219" s="23">
        <f>'Total and digestible IAA'!AL219/$G$2</f>
        <v>1.0004124501009029</v>
      </c>
      <c r="H219" s="23">
        <f>'Total and digestible IAA'!AM219/$H$2</f>
        <v>0.88378891065708887</v>
      </c>
      <c r="I219" s="23"/>
      <c r="J219" s="23">
        <f>'Total and digestible IAA'!AO219/$J$2</f>
        <v>0.97284869076211111</v>
      </c>
      <c r="K219" s="23">
        <f>'Total and digestible IAA'!AP219/$K$2</f>
        <v>1.1908060453400504</v>
      </c>
      <c r="L219" s="24">
        <f t="shared" si="4"/>
        <v>88.378891065708885</v>
      </c>
      <c r="M219" s="5" t="s">
        <v>355</v>
      </c>
      <c r="N219" s="5" t="s">
        <v>539</v>
      </c>
    </row>
    <row r="220" spans="1:14" x14ac:dyDescent="0.25">
      <c r="A220" s="5" t="str">
        <f>'IAA digestibility'!A220</f>
        <v>Soybean meal (autoclaved, 110oC, 30 min)</v>
      </c>
      <c r="B220" s="5" t="str">
        <f>'IAA digestibility'!B220</f>
        <v>Legumes &amp; oilseeds</v>
      </c>
      <c r="C220" s="23">
        <f>'Total and digestible IAA'!AH220/$C$2</f>
        <v>1.4123531863766767</v>
      </c>
      <c r="D220" s="23">
        <f>'Total and digestible IAA'!AI220/$D$2</f>
        <v>1.0770616789253589</v>
      </c>
      <c r="E220" s="23">
        <f>'Total and digestible IAA'!AJ220/$E$2</f>
        <v>1.2538427469779074</v>
      </c>
      <c r="F220" s="23">
        <f>'Total and digestible IAA'!AK220/$F$2</f>
        <v>1.0572587062791317</v>
      </c>
      <c r="G220" s="23">
        <f>'Total and digestible IAA'!AL220/$G$2</f>
        <v>0.96915381408920387</v>
      </c>
      <c r="H220" s="23">
        <f>'Total and digestible IAA'!AM220/$H$2</f>
        <v>0.86942090068392686</v>
      </c>
      <c r="I220" s="23"/>
      <c r="J220" s="23">
        <f>'Total and digestible IAA'!AO220/$J$2</f>
        <v>0.96154405420863343</v>
      </c>
      <c r="K220" s="23">
        <f>'Total and digestible IAA'!AP220/$K$2</f>
        <v>1.1852855356398497</v>
      </c>
      <c r="L220" s="24">
        <f t="shared" si="4"/>
        <v>86.942090068392687</v>
      </c>
      <c r="M220" s="5" t="s">
        <v>355</v>
      </c>
      <c r="N220" s="5" t="s">
        <v>539</v>
      </c>
    </row>
    <row r="221" spans="1:14" x14ac:dyDescent="0.25">
      <c r="A221" s="5" t="str">
        <f>'IAA digestibility'!A221</f>
        <v>Soybean meal (autoclaved, 150oC, 3 min)</v>
      </c>
      <c r="B221" s="5" t="str">
        <f>'IAA digestibility'!B221</f>
        <v>Legumes &amp; oilseeds</v>
      </c>
      <c r="C221" s="23">
        <f>'Total and digestible IAA'!AH221/$C$2</f>
        <v>1.3228834725691154</v>
      </c>
      <c r="D221" s="23">
        <f>'Total and digestible IAA'!AI221/$D$2</f>
        <v>0.99122197407749757</v>
      </c>
      <c r="E221" s="23">
        <f>'Total and digestible IAA'!AJ221/$E$2</f>
        <v>1.1998666596946246</v>
      </c>
      <c r="F221" s="23">
        <f>'Total and digestible IAA'!AK221/$F$2</f>
        <v>0.99256526782149024</v>
      </c>
      <c r="G221" s="23">
        <f>'Total and digestible IAA'!AL221/$G$2</f>
        <v>0.80141789319565382</v>
      </c>
      <c r="H221" s="23">
        <f>'Total and digestible IAA'!AM221/$H$2</f>
        <v>0.71440191498756667</v>
      </c>
      <c r="I221" s="23"/>
      <c r="J221" s="23">
        <f>'Total and digestible IAA'!AO221/$J$2</f>
        <v>0.90133911850688031</v>
      </c>
      <c r="K221" s="23">
        <f>'Total and digestible IAA'!AP221/$K$2</f>
        <v>1.0736247646935788</v>
      </c>
      <c r="L221" s="24">
        <f t="shared" si="4"/>
        <v>71.440191498756661</v>
      </c>
      <c r="M221" s="5" t="s">
        <v>355</v>
      </c>
      <c r="N221" s="5" t="s">
        <v>539</v>
      </c>
    </row>
    <row r="222" spans="1:14" x14ac:dyDescent="0.25">
      <c r="A222" s="5" t="str">
        <f>'IAA digestibility'!A222</f>
        <v>Soybean meal (autoclaved, 150oC, 6 min)</v>
      </c>
      <c r="B222" s="5" t="str">
        <f>'IAA digestibility'!B222</f>
        <v>Legumes &amp; oilseeds</v>
      </c>
      <c r="C222" s="23">
        <f>'Total and digestible IAA'!AH222/$C$2</f>
        <v>1.2758941300440092</v>
      </c>
      <c r="D222" s="23">
        <f>'Total and digestible IAA'!AI222/$D$2</f>
        <v>1.0034331554437608</v>
      </c>
      <c r="E222" s="23">
        <f>'Total and digestible IAA'!AJ222/$E$2</f>
        <v>1.2146996838777659</v>
      </c>
      <c r="F222" s="23">
        <f>'Total and digestible IAA'!AK222/$F$2</f>
        <v>1.01159114857745</v>
      </c>
      <c r="G222" s="23">
        <f>'Total and digestible IAA'!AL222/$G$2</f>
        <v>0.72175697410016082</v>
      </c>
      <c r="H222" s="23">
        <f>'Total and digestible IAA'!AM222/$H$2</f>
        <v>0.66346641689107444</v>
      </c>
      <c r="I222" s="23"/>
      <c r="J222" s="23">
        <f>'Total and digestible IAA'!AO222/$J$2</f>
        <v>0.91650942240301903</v>
      </c>
      <c r="K222" s="23">
        <f>'Total and digestible IAA'!AP222/$K$2</f>
        <v>1.1327713382507905</v>
      </c>
      <c r="L222" s="24">
        <f t="shared" si="4"/>
        <v>66.346641689107443</v>
      </c>
      <c r="M222" s="5" t="s">
        <v>355</v>
      </c>
      <c r="N222" s="5" t="s">
        <v>539</v>
      </c>
    </row>
    <row r="223" spans="1:14" x14ac:dyDescent="0.25">
      <c r="A223" s="5" t="str">
        <f>'IAA digestibility'!A223</f>
        <v>Soybean meal (autoclaved, 150oC, 9 min)</v>
      </c>
      <c r="B223" s="5" t="str">
        <f>'IAA digestibility'!B223</f>
        <v>Legumes &amp; oilseeds</v>
      </c>
      <c r="C223" s="23">
        <f>'Total and digestible IAA'!AH223/$C$2</f>
        <v>1.2907605341759025</v>
      </c>
      <c r="D223" s="23">
        <f>'Total and digestible IAA'!AI223/$D$2</f>
        <v>1.0336658860476764</v>
      </c>
      <c r="E223" s="23">
        <f>'Total and digestible IAA'!AJ223/$E$2</f>
        <v>1.2180025178346623</v>
      </c>
      <c r="F223" s="23">
        <f>'Total and digestible IAA'!AK223/$F$2</f>
        <v>1.0211218352217093</v>
      </c>
      <c r="G223" s="23">
        <f>'Total and digestible IAA'!AL223/$G$2</f>
        <v>0.66847774072192645</v>
      </c>
      <c r="H223" s="23">
        <f>'Total and digestible IAA'!AM223/$H$2</f>
        <v>0.64772073794314666</v>
      </c>
      <c r="I223" s="23"/>
      <c r="J223" s="23">
        <f>'Total and digestible IAA'!AO223/$J$2</f>
        <v>0.92740243390684007</v>
      </c>
      <c r="K223" s="23">
        <f>'Total and digestible IAA'!AP223/$K$2</f>
        <v>1.1458245908518672</v>
      </c>
      <c r="L223" s="24">
        <f t="shared" si="4"/>
        <v>64.772073794314664</v>
      </c>
      <c r="M223" s="5" t="s">
        <v>355</v>
      </c>
      <c r="N223" s="5" t="s">
        <v>539</v>
      </c>
    </row>
    <row r="224" spans="1:14" x14ac:dyDescent="0.25">
      <c r="A224" s="5" t="str">
        <f>'IAA digestibility'!A224</f>
        <v>Soybean meal (autoclaved, 150oC, 12 min)</v>
      </c>
      <c r="B224" s="5" t="str">
        <f>'IAA digestibility'!B224</f>
        <v>Legumes &amp; oilseeds</v>
      </c>
      <c r="C224" s="23">
        <f>'Total and digestible IAA'!AH224/$C$2</f>
        <v>1.2637936458005663</v>
      </c>
      <c r="D224" s="23">
        <f>'Total and digestible IAA'!AI224/$D$2</f>
        <v>1.0228048990857341</v>
      </c>
      <c r="E224" s="23">
        <f>'Total and digestible IAA'!AJ224/$E$2</f>
        <v>1.2159090909090908</v>
      </c>
      <c r="F224" s="23">
        <f>'Total and digestible IAA'!AK224/$F$2</f>
        <v>1.0291686922702965</v>
      </c>
      <c r="G224" s="23">
        <f>'Total and digestible IAA'!AL224/$G$2</f>
        <v>0.62174688057040994</v>
      </c>
      <c r="H224" s="23">
        <f>'Total and digestible IAA'!AM224/$H$2</f>
        <v>0.62705486234897989</v>
      </c>
      <c r="I224" s="23"/>
      <c r="J224" s="23">
        <f>'Total and digestible IAA'!AO224/$J$2</f>
        <v>0.92346723044397472</v>
      </c>
      <c r="K224" s="23">
        <f>'Total and digestible IAA'!AP224/$K$2</f>
        <v>1.1636363636363636</v>
      </c>
      <c r="L224" s="24">
        <f t="shared" si="4"/>
        <v>62.174688057040996</v>
      </c>
      <c r="M224" s="5" t="s">
        <v>8</v>
      </c>
      <c r="N224" s="5" t="s">
        <v>539</v>
      </c>
    </row>
    <row r="225" spans="1:14" x14ac:dyDescent="0.25">
      <c r="A225" s="5" t="str">
        <f>'IAA digestibility'!A225</f>
        <v>Soybean meal (autoclaved, 150oC, 15 min)</v>
      </c>
      <c r="B225" s="5" t="str">
        <f>'IAA digestibility'!B225</f>
        <v>Legumes &amp; oilseeds</v>
      </c>
      <c r="C225" s="23">
        <f>'Total and digestible IAA'!AH225/$C$2</f>
        <v>1.2473777832300803</v>
      </c>
      <c r="D225" s="23">
        <f>'Total and digestible IAA'!AI225/$D$2</f>
        <v>1.0095193245652392</v>
      </c>
      <c r="E225" s="23">
        <f>'Total and digestible IAA'!AJ225/$E$2</f>
        <v>1.2106360792492181</v>
      </c>
      <c r="F225" s="23">
        <f>'Total and digestible IAA'!AK225/$F$2</f>
        <v>1.0205074730622177</v>
      </c>
      <c r="G225" s="23">
        <f>'Total and digestible IAA'!AL225/$G$2</f>
        <v>0.55156138521486198</v>
      </c>
      <c r="H225" s="23">
        <f>'Total and digestible IAA'!AM225/$H$2</f>
        <v>0.58811261730969766</v>
      </c>
      <c r="I225" s="23"/>
      <c r="J225" s="23">
        <f>'Total and digestible IAA'!AO225/$J$2</f>
        <v>0.9234425394669834</v>
      </c>
      <c r="K225" s="23">
        <f>'Total and digestible IAA'!AP225/$K$2</f>
        <v>1.1345151199165797</v>
      </c>
      <c r="L225" s="24">
        <f t="shared" si="4"/>
        <v>55.156138521486199</v>
      </c>
      <c r="M225" s="5" t="s">
        <v>8</v>
      </c>
      <c r="N225" s="5" t="s">
        <v>539</v>
      </c>
    </row>
    <row r="226" spans="1:14" x14ac:dyDescent="0.25">
      <c r="A226" s="5" t="str">
        <f>'IAA digestibility'!A226</f>
        <v>Soybean meal (autoclaved, 150oC, 18 min)</v>
      </c>
      <c r="B226" s="5" t="str">
        <f>'IAA digestibility'!B226</f>
        <v>Legumes &amp; oilseeds</v>
      </c>
      <c r="C226" s="23">
        <f>'Total and digestible IAA'!AH226/$C$2</f>
        <v>1.1478775141132482</v>
      </c>
      <c r="D226" s="23">
        <f>'Total and digestible IAA'!AI226/$D$2</f>
        <v>0.89959392631705914</v>
      </c>
      <c r="E226" s="23">
        <f>'Total and digestible IAA'!AJ226/$E$2</f>
        <v>1.0974501454092231</v>
      </c>
      <c r="F226" s="23">
        <f>'Total and digestible IAA'!AK226/$F$2</f>
        <v>0.93426999534186916</v>
      </c>
      <c r="G226" s="23">
        <f>'Total and digestible IAA'!AL226/$G$2</f>
        <v>0.43852360439944904</v>
      </c>
      <c r="H226" s="23">
        <f>'Total and digestible IAA'!AM226/$H$2</f>
        <v>0.4922371478250166</v>
      </c>
      <c r="I226" s="23"/>
      <c r="J226" s="23">
        <f>'Total and digestible IAA'!AO226/$J$2</f>
        <v>0.83960541444044035</v>
      </c>
      <c r="K226" s="23">
        <f>'Total and digestible IAA'!AP226/$K$2</f>
        <v>1.0338595762359786</v>
      </c>
      <c r="L226" s="24">
        <f t="shared" si="4"/>
        <v>43.852360439944903</v>
      </c>
      <c r="M226" s="5" t="s">
        <v>8</v>
      </c>
      <c r="N226" s="5" t="s">
        <v>539</v>
      </c>
    </row>
    <row r="227" spans="1:14" x14ac:dyDescent="0.25">
      <c r="A227" s="5" t="str">
        <f>'IAA digestibility'!A227</f>
        <v>whey protein isolate (WPI)</v>
      </c>
      <c r="B227" s="5" t="str">
        <f>'IAA digestibility'!B227</f>
        <v>Milk products</v>
      </c>
      <c r="C227" s="23">
        <f>'Total and digestible IAA'!AH227/$C$2</f>
        <v>2.5260368138807796</v>
      </c>
      <c r="D227" s="23">
        <f>'Total and digestible IAA'!AI227/$D$2</f>
        <v>2.3409900345554528</v>
      </c>
      <c r="E227" s="23">
        <f>'Total and digestible IAA'!AJ227/$E$2</f>
        <v>2.1379649184559426</v>
      </c>
      <c r="F227" s="23">
        <f>'Total and digestible IAA'!AK227/$F$2</f>
        <v>1.7441041886659625</v>
      </c>
      <c r="G227" s="23">
        <f>'Total and digestible IAA'!AL227/$G$2</f>
        <v>1.7429000166731508</v>
      </c>
      <c r="H227" s="23">
        <f>'Total and digestible IAA'!AM227/$H$2</f>
        <v>1.7375206956340359</v>
      </c>
      <c r="I227" s="23">
        <f>'Total and digestible IAA'!AN227/$I$2</f>
        <v>1.2109766333631171</v>
      </c>
      <c r="J227" s="23">
        <f>'Total and digestible IAA'!AO227/$J$2</f>
        <v>1.4001238782064398</v>
      </c>
      <c r="K227" s="23">
        <f>'Total and digestible IAA'!AP227/$K$2</f>
        <v>1.0031678986272441</v>
      </c>
      <c r="L227" s="24">
        <f t="shared" ref="L227:L250" si="5">MIN(C227:K227)*100</f>
        <v>100.31678986272441</v>
      </c>
      <c r="M227" s="5" t="s">
        <v>9</v>
      </c>
    </row>
    <row r="228" spans="1:14" x14ac:dyDescent="0.25">
      <c r="A228" s="5" t="str">
        <f>'IAA digestibility'!A228</f>
        <v>whey protein concentrate (WPC)</v>
      </c>
      <c r="B228" s="5" t="str">
        <f>'IAA digestibility'!B228</f>
        <v>Milk products</v>
      </c>
      <c r="C228" s="23">
        <f>'Total and digestible IAA'!AH228/$C$2</f>
        <v>2.3203661672334621</v>
      </c>
      <c r="D228" s="23">
        <f>'Total and digestible IAA'!AI228/$D$2</f>
        <v>2.0282345935798141</v>
      </c>
      <c r="E228" s="23">
        <f>'Total and digestible IAA'!AJ228/$E$2</f>
        <v>1.9195455710806306</v>
      </c>
      <c r="F228" s="23">
        <f>'Total and digestible IAA'!AK228/$F$2</f>
        <v>1.7644591019799327</v>
      </c>
      <c r="G228" s="23">
        <f>'Total and digestible IAA'!AL228/$G$2</f>
        <v>1.6904715319898258</v>
      </c>
      <c r="H228" s="23">
        <f>'Total and digestible IAA'!AM228/$H$2</f>
        <v>1.6766131597563463</v>
      </c>
      <c r="I228" s="23">
        <f>'Total and digestible IAA'!AN228/$I$2</f>
        <v>1.2826757910721502</v>
      </c>
      <c r="J228" s="23">
        <f>'Total and digestible IAA'!AO228/$J$2</f>
        <v>1.3678926076859554</v>
      </c>
      <c r="K228" s="23">
        <f>'Total and digestible IAA'!AP228/$K$2</f>
        <v>1.0693500833226506</v>
      </c>
      <c r="L228" s="24">
        <f t="shared" si="5"/>
        <v>106.93500833226506</v>
      </c>
      <c r="M228" s="5" t="s">
        <v>9</v>
      </c>
    </row>
    <row r="229" spans="1:14" x14ac:dyDescent="0.25">
      <c r="A229" s="5" t="str">
        <f>'IAA digestibility'!A229</f>
        <v>milk protein concentrate (MPC)</v>
      </c>
      <c r="B229" s="5" t="str">
        <f>'IAA digestibility'!B229</f>
        <v>Milk products</v>
      </c>
      <c r="C229" s="23">
        <f>'Total and digestible IAA'!AH229/$C$2</f>
        <v>1.6967293320979209</v>
      </c>
      <c r="D229" s="23">
        <f>'Total and digestible IAA'!AI229/$D$2</f>
        <v>1.3337258943029591</v>
      </c>
      <c r="E229" s="23">
        <f>'Total and digestible IAA'!AJ229/$E$2</f>
        <v>1.5444667304578243</v>
      </c>
      <c r="F229" s="23">
        <f>'Total and digestible IAA'!AK229/$F$2</f>
        <v>1.5104229398355704</v>
      </c>
      <c r="G229" s="23">
        <f>'Total and digestible IAA'!AL229/$G$2</f>
        <v>1.36363284185733</v>
      </c>
      <c r="H229" s="23">
        <f>'Total and digestible IAA'!AM229/$H$2</f>
        <v>1.181008772647224</v>
      </c>
      <c r="I229" s="23">
        <f>'Total and digestible IAA'!AN229/$I$2</f>
        <v>1.887972913293096</v>
      </c>
      <c r="J229" s="23">
        <f>'Total and digestible IAA'!AO229/$J$2</f>
        <v>1.4256125491699732</v>
      </c>
      <c r="K229" s="23">
        <f>'Total and digestible IAA'!AP229/$K$2</f>
        <v>1.4865302517297219</v>
      </c>
      <c r="L229" s="24">
        <f t="shared" si="5"/>
        <v>118.1008772647224</v>
      </c>
      <c r="M229" s="5" t="s">
        <v>355</v>
      </c>
    </row>
    <row r="230" spans="1:14" x14ac:dyDescent="0.25">
      <c r="A230" s="5" t="str">
        <f>'IAA digestibility'!A230</f>
        <v>skimmed milk powder (SMP)</v>
      </c>
      <c r="B230" s="5" t="str">
        <f>'IAA digestibility'!B230</f>
        <v>Milk products</v>
      </c>
      <c r="C230" s="23">
        <f>'Total and digestible IAA'!AH230/$C$2</f>
        <v>1.6684491978609628</v>
      </c>
      <c r="D230" s="23">
        <f>'Total and digestible IAA'!AI230/$D$2</f>
        <v>1.1450914676721127</v>
      </c>
      <c r="E230" s="23">
        <f>'Total and digestible IAA'!AJ230/$E$2</f>
        <v>1.4448051948051948</v>
      </c>
      <c r="F230" s="23">
        <f>'Total and digestible IAA'!AK230/$F$2</f>
        <v>1.4262976081157901</v>
      </c>
      <c r="G230" s="23">
        <f>'Total and digestible IAA'!AL230/$G$2</f>
        <v>1.3949013949013946</v>
      </c>
      <c r="H230" s="23">
        <f>'Total and digestible IAA'!AM230/$H$2</f>
        <v>1.0545668323446102</v>
      </c>
      <c r="I230" s="23">
        <f>'Total and digestible IAA'!AN230/$I$2</f>
        <v>1.7357642357642358</v>
      </c>
      <c r="J230" s="23">
        <f>'Total and digestible IAA'!AO230/$J$2</f>
        <v>1.3711869525823013</v>
      </c>
      <c r="K230" s="23">
        <f>'Total and digestible IAA'!AP230/$K$2</f>
        <v>1.4513708513708512</v>
      </c>
      <c r="L230" s="24">
        <f t="shared" si="5"/>
        <v>105.45668323446102</v>
      </c>
      <c r="M230" s="5" t="s">
        <v>355</v>
      </c>
    </row>
    <row r="231" spans="1:14" x14ac:dyDescent="0.25">
      <c r="A231" s="5" t="str">
        <f>'IAA digestibility'!A231</f>
        <v>pea protein concentrate (PPC)</v>
      </c>
      <c r="B231" s="5" t="str">
        <f>'IAA digestibility'!B231</f>
        <v>Legumes &amp; oilseeds</v>
      </c>
      <c r="C231" s="23">
        <f>'Total and digestible IAA'!AH231/$C$2</f>
        <v>0.9021192024367588</v>
      </c>
      <c r="D231" s="23">
        <f>'Total and digestible IAA'!AI231/$D$2</f>
        <v>1.0164311184296255</v>
      </c>
      <c r="E231" s="23">
        <f>'Total and digestible IAA'!AJ231/$E$2</f>
        <v>1.2062178663239074</v>
      </c>
      <c r="F231" s="23">
        <f>'Total and digestible IAA'!AK231/$F$2</f>
        <v>1.0340644787945559</v>
      </c>
      <c r="G231" s="23">
        <f>'Total and digestible IAA'!AL231/$G$2</f>
        <v>1.2710439337418096</v>
      </c>
      <c r="H231" s="23">
        <f>'Total and digestible IAA'!AM231/$H$2</f>
        <v>0.6212510711225363</v>
      </c>
      <c r="I231" s="23">
        <f>'Total and digestible IAA'!AN231/$I$2</f>
        <v>1.4649778242323228</v>
      </c>
      <c r="J231" s="23">
        <f>'Total and digestible IAA'!AO231/$J$2</f>
        <v>0.99193775674913975</v>
      </c>
      <c r="K231" s="23">
        <f>'Total and digestible IAA'!AP231/$K$2</f>
        <v>1.2472456849063533</v>
      </c>
      <c r="L231" s="24">
        <f t="shared" si="5"/>
        <v>62.12510711225363</v>
      </c>
      <c r="M231" s="5" t="s">
        <v>355</v>
      </c>
    </row>
    <row r="232" spans="1:14" x14ac:dyDescent="0.25">
      <c r="A232" s="5" t="str">
        <f>'IAA digestibility'!A232</f>
        <v>soy protein isolate (SPI)</v>
      </c>
      <c r="B232" s="5" t="str">
        <f>'IAA digestibility'!B232</f>
        <v>Legumes &amp; oilseeds</v>
      </c>
      <c r="C232" s="23">
        <f>'Total and digestible IAA'!AH232/$C$2</f>
        <v>1.5845405721105625</v>
      </c>
      <c r="D232" s="23">
        <f>'Total and digestible IAA'!AI232/$D$2</f>
        <v>1.0729479261678143</v>
      </c>
      <c r="E232" s="23">
        <f>'Total and digestible IAA'!AJ232/$E$2</f>
        <v>1.4033158860349664</v>
      </c>
      <c r="F232" s="23">
        <f>'Total and digestible IAA'!AK232/$F$2</f>
        <v>1.1464199517296862</v>
      </c>
      <c r="G232" s="23">
        <f>'Total and digestible IAA'!AL232/$G$2</f>
        <v>1.0450013442845187</v>
      </c>
      <c r="H232" s="23">
        <f>'Total and digestible IAA'!AM232/$H$2</f>
        <v>0.83834968143191746</v>
      </c>
      <c r="I232" s="23">
        <f>'Total and digestible IAA'!AN232/$I$2</f>
        <v>1.6277872785535208</v>
      </c>
      <c r="J232" s="23">
        <f>'Total and digestible IAA'!AO232/$J$2</f>
        <v>1.0427720247566747</v>
      </c>
      <c r="K232" s="23">
        <f>'Total and digestible IAA'!AP232/$K$2</f>
        <v>1.261439671918843</v>
      </c>
      <c r="L232" s="24">
        <f t="shared" si="5"/>
        <v>83.834968143191745</v>
      </c>
      <c r="M232" s="5" t="s">
        <v>355</v>
      </c>
    </row>
    <row r="233" spans="1:14" x14ac:dyDescent="0.25">
      <c r="A233" s="5" t="str">
        <f>'IAA digestibility'!A233</f>
        <v>soya flour</v>
      </c>
      <c r="B233" s="5" t="str">
        <f>'IAA digestibility'!B233</f>
        <v>Legumes &amp; oilseeds</v>
      </c>
      <c r="C233" s="23">
        <f>'Total and digestible IAA'!AH233/$C$2</f>
        <v>1.6352243708728473</v>
      </c>
      <c r="D233" s="23">
        <f>'Total and digestible IAA'!AI233/$D$2</f>
        <v>1.0734180963485278</v>
      </c>
      <c r="E233" s="23">
        <f>'Total and digestible IAA'!AJ233/$E$2</f>
        <v>1.2920730541212468</v>
      </c>
      <c r="F233" s="23">
        <f>'Total and digestible IAA'!AK233/$F$2</f>
        <v>1.0547239462902114</v>
      </c>
      <c r="G233" s="23">
        <f>'Total and digestible IAA'!AL233/$G$2</f>
        <v>1.0296826403357793</v>
      </c>
      <c r="H233" s="23">
        <f>'Total and digestible IAA'!AM233/$H$2</f>
        <v>0.89394615499033192</v>
      </c>
      <c r="I233" s="23">
        <f>'Total and digestible IAA'!AN233/$I$2</f>
        <v>1.5021992732836107</v>
      </c>
      <c r="J233" s="23">
        <f>'Total and digestible IAA'!AO233/$J$2</f>
        <v>1.0239407241368577</v>
      </c>
      <c r="K233" s="23">
        <f>'Total and digestible IAA'!AP233/$K$2</f>
        <v>1.2579843182252823</v>
      </c>
      <c r="L233" s="24">
        <f t="shared" si="5"/>
        <v>89.394615499033193</v>
      </c>
      <c r="M233" s="5" t="s">
        <v>355</v>
      </c>
    </row>
    <row r="234" spans="1:14" x14ac:dyDescent="0.25">
      <c r="A234" s="5" t="str">
        <f>'IAA digestibility'!A234</f>
        <v>wheat</v>
      </c>
      <c r="B234" s="5" t="str">
        <f>'IAA digestibility'!B234</f>
        <v xml:space="preserve">Cereals &amp; cereal products </v>
      </c>
      <c r="C234" s="23">
        <f>'Total and digestible IAA'!AH234/$C$2</f>
        <v>0.89520641161348868</v>
      </c>
      <c r="D234" s="23">
        <f>'Total and digestible IAA'!AI234/$D$2</f>
        <v>0.7518589158857838</v>
      </c>
      <c r="E234" s="23">
        <f>'Total and digestible IAA'!AJ234/$E$2</f>
        <v>0.88769280205655521</v>
      </c>
      <c r="F234" s="23">
        <f>'Total and digestible IAA'!AK234/$F$2</f>
        <v>0.87091999688400712</v>
      </c>
      <c r="G234" s="23">
        <f>'Total and digestible IAA'!AL234/$G$2</f>
        <v>0.45144996166508816</v>
      </c>
      <c r="H234" s="23">
        <f>'Total and digestible IAA'!AM234/$H$2</f>
        <v>1.2688438223999494</v>
      </c>
      <c r="I234" s="23">
        <f>'Total and digestible IAA'!AN234/$I$2</f>
        <v>1.1014435436029266</v>
      </c>
      <c r="J234" s="23">
        <f>'Total and digestible IAA'!AO234/$J$2</f>
        <v>0.86008648691735912</v>
      </c>
      <c r="K234" s="23">
        <f>'Total and digestible IAA'!AP234/$K$2</f>
        <v>1.0925449871465296</v>
      </c>
      <c r="L234" s="24">
        <f t="shared" si="5"/>
        <v>45.144996166508818</v>
      </c>
      <c r="M234" s="5" t="s">
        <v>8</v>
      </c>
    </row>
    <row r="235" spans="1:14" x14ac:dyDescent="0.25">
      <c r="A235" s="5" t="str">
        <f>'IAA digestibility'!A235</f>
        <v>Faba beans (cultivar - Alfred), high tannin</v>
      </c>
      <c r="B235" s="5" t="str">
        <f>'IAA digestibility'!B235</f>
        <v>Legumes &amp; oilseeds</v>
      </c>
      <c r="C235" s="23">
        <f>'Total and digestible IAA'!AH235/$C$2</f>
        <v>0.24077589484547279</v>
      </c>
      <c r="D235" s="23">
        <f>'Total and digestible IAA'!AI235/$D$2</f>
        <v>0.31466021803234739</v>
      </c>
      <c r="E235" s="23">
        <f>'Total and digestible IAA'!AJ235/$E$2</f>
        <v>0.38075225069252072</v>
      </c>
      <c r="F235" s="23">
        <f>'Total and digestible IAA'!AK235/$F$2</f>
        <v>0.3232970284563082</v>
      </c>
      <c r="G235" s="23">
        <f>'Total and digestible IAA'!AL235/$G$2</f>
        <v>0.32856101472517862</v>
      </c>
      <c r="H235" s="23">
        <f>'Total and digestible IAA'!AM235/$H$2</f>
        <v>0.1697740330358059</v>
      </c>
      <c r="I235" s="23">
        <f>'Total and digestible IAA'!AN235/$I$2</f>
        <v>0.37825018644790109</v>
      </c>
      <c r="J235" s="23">
        <f>'Total and digestible IAA'!AO235/$J$2</f>
        <v>0.28933437479868579</v>
      </c>
      <c r="K235" s="23">
        <f>'Total and digestible IAA'!AP235/$K$2</f>
        <v>0.41243074792243767</v>
      </c>
      <c r="L235" s="24">
        <f t="shared" si="5"/>
        <v>16.977403303580591</v>
      </c>
      <c r="M235" s="5" t="s">
        <v>355</v>
      </c>
      <c r="N235" s="5" t="s">
        <v>405</v>
      </c>
    </row>
    <row r="236" spans="1:14" x14ac:dyDescent="0.25">
      <c r="A236" s="5" t="str">
        <f>'IAA digestibility'!A236</f>
        <v xml:space="preserve">Faba beans (cultivar - Alfred), high tannin, dehulled, </v>
      </c>
      <c r="B236" s="5" t="str">
        <f>'IAA digestibility'!B236</f>
        <v>Legumes &amp; oilseeds</v>
      </c>
      <c r="C236" s="23">
        <f>'Total and digestible IAA'!AH236/$C$2</f>
        <v>0.26064334230424197</v>
      </c>
      <c r="D236" s="23">
        <f>'Total and digestible IAA'!AI236/$D$2</f>
        <v>0.2523417969338273</v>
      </c>
      <c r="E236" s="23">
        <f>'Total and digestible IAA'!AJ236/$E$2</f>
        <v>0.36835901027077494</v>
      </c>
      <c r="F236" s="23">
        <f>'Total and digestible IAA'!AK236/$F$2</f>
        <v>0.31481481481481483</v>
      </c>
      <c r="G236" s="23">
        <f>'Total and digestible IAA'!AL236/$G$2</f>
        <v>0.29247847287062972</v>
      </c>
      <c r="H236" s="23">
        <f>'Total and digestible IAA'!AM236/$H$2</f>
        <v>0.16731219236665856</v>
      </c>
      <c r="I236" s="23">
        <f>'Total and digestible IAA'!AN236/$I$2</f>
        <v>0.34087540999305699</v>
      </c>
      <c r="J236" s="23">
        <f>'Total and digestible IAA'!AO236/$J$2</f>
        <v>0.29404164766681867</v>
      </c>
      <c r="K236" s="23">
        <f>'Total and digestible IAA'!AP236/$K$2</f>
        <v>0.4041938997821351</v>
      </c>
      <c r="L236" s="24">
        <f t="shared" si="5"/>
        <v>16.731219236665858</v>
      </c>
      <c r="M236" s="5" t="s">
        <v>355</v>
      </c>
      <c r="N236" s="5" t="s">
        <v>405</v>
      </c>
    </row>
    <row r="237" spans="1:14" x14ac:dyDescent="0.25">
      <c r="A237" s="5" t="str">
        <f>'IAA digestibility'!A237</f>
        <v>Faba beans (cultivar - Blandine )</v>
      </c>
      <c r="B237" s="5" t="str">
        <f>'IAA digestibility'!B237</f>
        <v>Legumes &amp; oilseeds</v>
      </c>
      <c r="C237" s="23">
        <f>'Total and digestible IAA'!AH237/$C$2</f>
        <v>0.25026034337179853</v>
      </c>
      <c r="D237" s="23">
        <f>'Total and digestible IAA'!AI237/$D$2</f>
        <v>0.29643849359469054</v>
      </c>
      <c r="E237" s="23">
        <f>'Total and digestible IAA'!AJ237/$E$2</f>
        <v>0.34718338815789473</v>
      </c>
      <c r="F237" s="23">
        <f>'Total and digestible IAA'!AK237/$F$2</f>
        <v>0.30006524575902571</v>
      </c>
      <c r="G237" s="23">
        <f>'Total and digestible IAA'!AL237/$G$2</f>
        <v>0.30608159153865533</v>
      </c>
      <c r="H237" s="23">
        <f>'Total and digestible IAA'!AM237/$H$2</f>
        <v>0.15149743044479891</v>
      </c>
      <c r="I237" s="23">
        <f>'Total and digestible IAA'!AN237/$I$2</f>
        <v>0.35719773647405229</v>
      </c>
      <c r="J237" s="23">
        <f>'Total and digestible IAA'!AO237/$J$2</f>
        <v>0.27410008901746968</v>
      </c>
      <c r="K237" s="23">
        <f>'Total and digestible IAA'!AP237/$K$2</f>
        <v>0.33003289473684216</v>
      </c>
      <c r="L237" s="24">
        <f t="shared" si="5"/>
        <v>15.149743044479891</v>
      </c>
      <c r="M237" s="5" t="s">
        <v>355</v>
      </c>
      <c r="N237" s="5" t="s">
        <v>405</v>
      </c>
    </row>
    <row r="238" spans="1:14" x14ac:dyDescent="0.25">
      <c r="A238" s="5" t="str">
        <f>'IAA digestibility'!A238</f>
        <v>Lupins (cultivar - Lublanc )</v>
      </c>
      <c r="B238" s="5" t="str">
        <f>'IAA digestibility'!B238</f>
        <v>Legumes &amp; oilseeds</v>
      </c>
      <c r="C238" s="23">
        <f>'Total and digestible IAA'!AH238/$C$2</f>
        <v>0.1774998102466793</v>
      </c>
      <c r="D238" s="23">
        <f>'Total and digestible IAA'!AI238/$D$2</f>
        <v>0.24451529656607701</v>
      </c>
      <c r="E238" s="23">
        <f>'Total and digestible IAA'!AJ238/$E$2</f>
        <v>0.33422338709677418</v>
      </c>
      <c r="F238" s="23">
        <f>'Total and digestible IAA'!AK238/$F$2</f>
        <v>0.2500430107526882</v>
      </c>
      <c r="G238" s="23">
        <f>'Total and digestible IAA'!AL238/$G$2</f>
        <v>0.17284255800792303</v>
      </c>
      <c r="H238" s="23">
        <f>'Total and digestible IAA'!AM238/$H$2</f>
        <v>0.13412281959378733</v>
      </c>
      <c r="I238" s="23">
        <f>'Total and digestible IAA'!AN238/$I$2</f>
        <v>0.35026153846153846</v>
      </c>
      <c r="J238" s="23">
        <f>'Total and digestible IAA'!AO238/$J$2</f>
        <v>0.19111417854463611</v>
      </c>
      <c r="K238" s="23">
        <f>'Total and digestible IAA'!AP238/$K$2</f>
        <v>0.24423225806451615</v>
      </c>
      <c r="L238" s="24">
        <f t="shared" si="5"/>
        <v>13.412281959378733</v>
      </c>
      <c r="M238" s="5" t="s">
        <v>355</v>
      </c>
      <c r="N238" s="5" t="s">
        <v>405</v>
      </c>
    </row>
    <row r="239" spans="1:14" x14ac:dyDescent="0.25">
      <c r="A239" s="5" t="str">
        <f>'IAA digestibility'!A239</f>
        <v>Lupins (cultivar - Australian)</v>
      </c>
      <c r="B239" s="5" t="str">
        <f>'IAA digestibility'!B239</f>
        <v>Legumes &amp; oilseeds</v>
      </c>
      <c r="C239" s="23">
        <f>'Total and digestible IAA'!AH239/$C$2</f>
        <v>0.24164791599699995</v>
      </c>
      <c r="D239" s="23">
        <f>'Total and digestible IAA'!AI239/$D$2</f>
        <v>0.30719392052020289</v>
      </c>
      <c r="E239" s="23">
        <f>'Total and digestible IAA'!AJ239/$E$2</f>
        <v>0.41297150121432907</v>
      </c>
      <c r="F239" s="23">
        <f>'Total and digestible IAA'!AK239/$F$2</f>
        <v>0.30689683722470612</v>
      </c>
      <c r="G239" s="23">
        <f>'Total and digestible IAA'!AL239/$G$2</f>
        <v>0.22269730184599326</v>
      </c>
      <c r="H239" s="23">
        <f>'Total and digestible IAA'!AM239/$H$2</f>
        <v>0.20890283118576988</v>
      </c>
      <c r="I239" s="23">
        <f>'Total and digestible IAA'!AN239/$I$2</f>
        <v>0.34934379524543463</v>
      </c>
      <c r="J239" s="23">
        <f>'Total and digestible IAA'!AO239/$J$2</f>
        <v>0.25375524208921085</v>
      </c>
      <c r="K239" s="23">
        <f>'Total and digestible IAA'!AP239/$K$2</f>
        <v>0.39401335761991502</v>
      </c>
      <c r="L239" s="24">
        <f t="shared" si="5"/>
        <v>20.890283118576988</v>
      </c>
      <c r="M239" s="5" t="s">
        <v>355</v>
      </c>
      <c r="N239" s="5" t="s">
        <v>405</v>
      </c>
    </row>
    <row r="240" spans="1:14" x14ac:dyDescent="0.25">
      <c r="A240" s="5" t="str">
        <f>'IAA digestibility'!A240</f>
        <v>Peas (Cultivar - Amino)</v>
      </c>
      <c r="B240" s="5" t="str">
        <f>'IAA digestibility'!B240</f>
        <v>Legumes &amp; oilseeds</v>
      </c>
      <c r="C240" s="23">
        <f>'Total and digestible IAA'!AH240/$C$2</f>
        <v>0.29315615220644936</v>
      </c>
      <c r="D240" s="23">
        <f>'Total and digestible IAA'!AI240/$D$2</f>
        <v>0.35644788220956553</v>
      </c>
      <c r="E240" s="23">
        <f>'Total and digestible IAA'!AJ240/$E$2</f>
        <v>0.40957979953739404</v>
      </c>
      <c r="F240" s="23">
        <f>'Total and digestible IAA'!AK240/$F$2</f>
        <v>0.35120441111188994</v>
      </c>
      <c r="G240" s="23">
        <f>'Total and digestible IAA'!AL240/$G$2</f>
        <v>0.44553558143624289</v>
      </c>
      <c r="H240" s="23">
        <f>'Total and digestible IAA'!AM240/$H$2</f>
        <v>0.20926354264827668</v>
      </c>
      <c r="I240" s="23">
        <f>'Total and digestible IAA'!AN240/$I$2</f>
        <v>0.45044481347488285</v>
      </c>
      <c r="J240" s="23">
        <f>'Total and digestible IAA'!AO240/$J$2</f>
        <v>0.32765863979487553</v>
      </c>
      <c r="K240" s="23">
        <f>'Total and digestible IAA'!AP240/$K$2</f>
        <v>0.37794911333847342</v>
      </c>
      <c r="L240" s="24">
        <f t="shared" si="5"/>
        <v>20.926354264827669</v>
      </c>
      <c r="M240" s="5" t="s">
        <v>355</v>
      </c>
      <c r="N240" s="5" t="s">
        <v>405</v>
      </c>
    </row>
    <row r="241" spans="1:14" x14ac:dyDescent="0.25">
      <c r="A241" s="5" t="str">
        <f>'IAA digestibility'!A241</f>
        <v>Peas (Cultivar - Australian)</v>
      </c>
      <c r="B241" s="5" t="str">
        <f>'IAA digestibility'!B241</f>
        <v>Legumes &amp; oilseeds</v>
      </c>
      <c r="C241" s="23">
        <f>'Total and digestible IAA'!AH241/$C$2</f>
        <v>0.24804311034634155</v>
      </c>
      <c r="D241" s="23">
        <f>'Total and digestible IAA'!AI241/$D$2</f>
        <v>0.29066158739034703</v>
      </c>
      <c r="E241" s="23">
        <f>'Total and digestible IAA'!AJ241/$E$2</f>
        <v>0.38165064102564106</v>
      </c>
      <c r="F241" s="23">
        <f>'Total and digestible IAA'!AK241/$F$2</f>
        <v>0.29337524760059974</v>
      </c>
      <c r="G241" s="23">
        <f>'Total and digestible IAA'!AL241/$G$2</f>
        <v>0.3773577135326579</v>
      </c>
      <c r="H241" s="23">
        <f>'Total and digestible IAA'!AM241/$H$2</f>
        <v>0.17937482444524699</v>
      </c>
      <c r="I241" s="23">
        <f>'Total and digestible IAA'!AN241/$I$2</f>
        <v>0.36767994555101818</v>
      </c>
      <c r="J241" s="23">
        <f>'Total and digestible IAA'!AO241/$J$2</f>
        <v>0.28596840434377291</v>
      </c>
      <c r="K241" s="23">
        <f>'Total and digestible IAA'!AP241/$K$2</f>
        <v>0.33994944023113044</v>
      </c>
      <c r="L241" s="24">
        <f t="shared" si="5"/>
        <v>17.937482444524701</v>
      </c>
      <c r="M241" s="5" t="s">
        <v>355</v>
      </c>
      <c r="N241" s="5" t="s">
        <v>405</v>
      </c>
    </row>
    <row r="242" spans="1:14" x14ac:dyDescent="0.25">
      <c r="A242" s="5" t="str">
        <f>'IAA digestibility'!A242</f>
        <v>Peas (Cultivar - Finale)</v>
      </c>
      <c r="B242" s="5" t="str">
        <f>'IAA digestibility'!B242</f>
        <v>Legumes &amp; oilseeds</v>
      </c>
      <c r="C242" s="23">
        <f>'Total and digestible IAA'!AH242/$C$2</f>
        <v>0.3377994773328325</v>
      </c>
      <c r="D242" s="23">
        <f>'Total and digestible IAA'!AI242/$D$2</f>
        <v>0.39292794068429315</v>
      </c>
      <c r="E242" s="23">
        <f>'Total and digestible IAA'!AJ242/$E$2</f>
        <v>0.48704359537110936</v>
      </c>
      <c r="F242" s="23">
        <f>'Total and digestible IAA'!AK242/$F$2</f>
        <v>0.36213088587390263</v>
      </c>
      <c r="G242" s="23">
        <f>'Total and digestible IAA'!AL242/$G$2</f>
        <v>0.45682222315565457</v>
      </c>
      <c r="H242" s="23">
        <f>'Total and digestible IAA'!AM242/$H$2</f>
        <v>0.28269043185244308</v>
      </c>
      <c r="I242" s="23">
        <f>'Total and digestible IAA'!AN242/$I$2</f>
        <v>0.44349254097857449</v>
      </c>
      <c r="J242" s="23">
        <f>'Total and digestible IAA'!AO242/$J$2</f>
        <v>0.33921564988214331</v>
      </c>
      <c r="K242" s="23">
        <f>'Total and digestible IAA'!AP242/$K$2</f>
        <v>0.45111731843575431</v>
      </c>
      <c r="L242" s="24">
        <f t="shared" si="5"/>
        <v>28.269043185244307</v>
      </c>
      <c r="M242" s="5" t="s">
        <v>355</v>
      </c>
      <c r="N242" s="5" t="s">
        <v>405</v>
      </c>
    </row>
    <row r="243" spans="1:14" x14ac:dyDescent="0.25">
      <c r="A243" s="5" t="str">
        <f>'IAA digestibility'!A243</f>
        <v>Peas (Cultivar - Frilene), high in trypsin inhibitor</v>
      </c>
      <c r="B243" s="5" t="str">
        <f>'IAA digestibility'!B243</f>
        <v>Legumes &amp; oilseeds</v>
      </c>
      <c r="C243" s="23">
        <f>'Total and digestible IAA'!AH243/$C$2</f>
        <v>0.2863949926167545</v>
      </c>
      <c r="D243" s="23">
        <f>'Total and digestible IAA'!AI243/$D$2</f>
        <v>0.34664668415136762</v>
      </c>
      <c r="E243" s="23">
        <f>'Total and digestible IAA'!AJ243/$E$2</f>
        <v>0.39828470400899219</v>
      </c>
      <c r="F243" s="23">
        <f>'Total and digestible IAA'!AK243/$F$2</f>
        <v>0.30920671685002898</v>
      </c>
      <c r="G243" s="23">
        <f>'Total and digestible IAA'!AL243/$G$2</f>
        <v>0.35678649602650314</v>
      </c>
      <c r="H243" s="23">
        <f>'Total and digestible IAA'!AM243/$H$2</f>
        <v>0.196750065914547</v>
      </c>
      <c r="I243" s="23">
        <f>'Total and digestible IAA'!AN243/$I$2</f>
        <v>0.36064213044355431</v>
      </c>
      <c r="J243" s="23">
        <f>'Total and digestible IAA'!AO243/$J$2</f>
        <v>0.29654517413542225</v>
      </c>
      <c r="K243" s="23">
        <f>'Total and digestible IAA'!AP243/$K$2</f>
        <v>0.37070813038591238</v>
      </c>
      <c r="L243" s="24">
        <f t="shared" si="5"/>
        <v>19.6750065914547</v>
      </c>
      <c r="M243" s="5" t="s">
        <v>355</v>
      </c>
      <c r="N243" s="5" t="s">
        <v>405</v>
      </c>
    </row>
    <row r="244" spans="1:14" x14ac:dyDescent="0.25">
      <c r="A244" s="5" t="str">
        <f>'IAA digestibility'!A244</f>
        <v>Peas (Cultivar - Frilene), high in trypsin inhibitor, extruded</v>
      </c>
      <c r="B244" s="5" t="str">
        <f>'IAA digestibility'!B244</f>
        <v>Legumes &amp; oilseeds</v>
      </c>
      <c r="C244" s="23">
        <f>'Total and digestible IAA'!AH244/$C$2</f>
        <v>0.2939805164885797</v>
      </c>
      <c r="D244" s="23">
        <f>'Total and digestible IAA'!AI244/$D$2</f>
        <v>0.3915053362370805</v>
      </c>
      <c r="E244" s="23">
        <f>'Total and digestible IAA'!AJ244/$E$2</f>
        <v>0.40490605184632594</v>
      </c>
      <c r="F244" s="23">
        <f>'Total and digestible IAA'!AK244/$F$2</f>
        <v>0.34445763114170419</v>
      </c>
      <c r="G244" s="23">
        <f>'Total and digestible IAA'!AL244/$G$2</f>
        <v>0.40072766773330193</v>
      </c>
      <c r="H244" s="23">
        <f>'Total and digestible IAA'!AM244/$H$2</f>
        <v>0.2681862765413679</v>
      </c>
      <c r="I244" s="23">
        <f>'Total and digestible IAA'!AN244/$I$2</f>
        <v>0.47242991994950212</v>
      </c>
      <c r="J244" s="23">
        <f>'Total and digestible IAA'!AO244/$J$2</f>
        <v>0.34412706123192482</v>
      </c>
      <c r="K244" s="23">
        <f>'Total and digestible IAA'!AP244/$K$2</f>
        <v>0.40932487877657586</v>
      </c>
      <c r="L244" s="24">
        <f t="shared" si="5"/>
        <v>26.81862765413679</v>
      </c>
      <c r="M244" s="5" t="s">
        <v>355</v>
      </c>
      <c r="N244" s="5" t="s">
        <v>405</v>
      </c>
    </row>
    <row r="245" spans="1:14" x14ac:dyDescent="0.25">
      <c r="A245" s="5" t="str">
        <f>'IAA digestibility'!A245</f>
        <v xml:space="preserve">Pea protein isolate, yellow </v>
      </c>
      <c r="B245" s="5" t="str">
        <f>'IAA digestibility'!B245</f>
        <v>Legumes &amp; oilseeds</v>
      </c>
      <c r="C245" s="23"/>
      <c r="D245" s="23"/>
      <c r="E245" s="23"/>
      <c r="F245" s="23"/>
      <c r="G245" s="23"/>
      <c r="H245" s="23"/>
      <c r="I245" s="23"/>
      <c r="J245" s="23"/>
      <c r="K245" s="23"/>
      <c r="L245" s="24"/>
    </row>
    <row r="246" spans="1:14" x14ac:dyDescent="0.25">
      <c r="A246" s="5" t="str">
        <f>'IAA digestibility'!A246</f>
        <v xml:space="preserve">Casein </v>
      </c>
      <c r="B246" s="5" t="str">
        <f>'IAA digestibility'!B246</f>
        <v>Milk products</v>
      </c>
      <c r="C246" s="23"/>
      <c r="D246" s="23"/>
      <c r="E246" s="23"/>
      <c r="F246" s="23"/>
      <c r="G246" s="23"/>
      <c r="H246" s="23"/>
      <c r="I246" s="23"/>
      <c r="J246" s="23"/>
      <c r="K246" s="23"/>
      <c r="L246" s="24"/>
    </row>
    <row r="247" spans="1:14" x14ac:dyDescent="0.25">
      <c r="A247" s="5" t="str">
        <f>'IAA digestibility'!A247</f>
        <v>Beef, lean (80%)</v>
      </c>
      <c r="B247" s="5" t="str">
        <f>'IAA digestibility'!B247</f>
        <v>Animal products</v>
      </c>
      <c r="C247" s="23">
        <f>'Total and digestible IAA'!AH247/$C$2</f>
        <v>1.1610551042380346</v>
      </c>
      <c r="D247" s="23">
        <f>'Total and digestible IAA'!AI247/$D$2</f>
        <v>1.0974719553432448</v>
      </c>
      <c r="E247" s="23">
        <f>'Total and digestible IAA'!AJ247/$E$2</f>
        <v>1.2437084026622294</v>
      </c>
      <c r="F247" s="23">
        <f>'Total and digestible IAA'!AK247/$F$2</f>
        <v>1.0271139010739678</v>
      </c>
      <c r="G247" s="23">
        <f>'Total and digestible IAA'!AL247/$G$2</f>
        <v>1.2579691741833785</v>
      </c>
      <c r="H247" s="23">
        <f>'Total and digestible IAA'!AM247/$H$2</f>
        <v>1.0198896900228016</v>
      </c>
      <c r="I247" s="23">
        <f>'Total and digestible IAA'!AN247/$I$2</f>
        <v>1.2803260591322154</v>
      </c>
      <c r="J247" s="23">
        <f>'Total and digestible IAA'!AO247/$J$2</f>
        <v>1.0246004720814148</v>
      </c>
      <c r="K247" s="23">
        <f>'Total and digestible IAA'!AP247/$K$2</f>
        <v>1.2586314475873546</v>
      </c>
      <c r="L247" s="24">
        <f t="shared" si="5"/>
        <v>101.98896900228016</v>
      </c>
      <c r="M247" s="5" t="s">
        <v>538</v>
      </c>
    </row>
    <row r="248" spans="1:14" x14ac:dyDescent="0.25">
      <c r="A248" s="5" t="str">
        <f>'IAA digestibility'!A248</f>
        <v>Beef, lean (93%)</v>
      </c>
      <c r="B248" s="5" t="str">
        <f>'IAA digestibility'!B248</f>
        <v>Animal products</v>
      </c>
      <c r="C248" s="23">
        <f>'Total and digestible IAA'!AH248/$C$2</f>
        <v>1.4061401453011482</v>
      </c>
      <c r="D248" s="23">
        <f>'Total and digestible IAA'!AI248/$D$2</f>
        <v>1.2985711114486336</v>
      </c>
      <c r="E248" s="23">
        <f>'Total and digestible IAA'!AJ248/$E$2</f>
        <v>1.4514442231075697</v>
      </c>
      <c r="F248" s="23">
        <f>'Total and digestible IAA'!AK248/$F$2</f>
        <v>1.1614149462755037</v>
      </c>
      <c r="G248" s="23">
        <f>'Total and digestible IAA'!AL248/$G$2</f>
        <v>1.4402612834149842</v>
      </c>
      <c r="H248" s="23">
        <f>'Total and digestible IAA'!AM248/$H$2</f>
        <v>1.2235636578266058</v>
      </c>
      <c r="I248" s="23">
        <f>'Total and digestible IAA'!AN248/$I$2</f>
        <v>1.2144916836151896</v>
      </c>
      <c r="J248" s="23">
        <f>'Total and digestible IAA'!AO248/$J$2</f>
        <v>1.10657581092122</v>
      </c>
      <c r="K248" s="23">
        <f>'Total and digestible IAA'!AP248/$K$2</f>
        <v>1.4777254617892068</v>
      </c>
      <c r="L248" s="24">
        <f t="shared" si="5"/>
        <v>110.657581092122</v>
      </c>
      <c r="M248" s="5" t="s">
        <v>535</v>
      </c>
    </row>
    <row r="249" spans="1:14" x14ac:dyDescent="0.25">
      <c r="A249" s="5" t="str">
        <f>'IAA digestibility'!A249</f>
        <v>Pork</v>
      </c>
      <c r="B249" s="5" t="str">
        <f>'IAA digestibility'!B249</f>
        <v>Animal products</v>
      </c>
      <c r="C249" s="23">
        <f>'Total and digestible IAA'!AH249/$C$2</f>
        <v>1.379144930143311</v>
      </c>
      <c r="D249" s="23">
        <f>'Total and digestible IAA'!AI249/$D$2</f>
        <v>1.2977705435533196</v>
      </c>
      <c r="E249" s="23">
        <f>'Total and digestible IAA'!AJ249/$E$2</f>
        <v>1.3804472477064222</v>
      </c>
      <c r="F249" s="23">
        <f>'Total and digestible IAA'!AK249/$F$2</f>
        <v>1.1063540604825008</v>
      </c>
      <c r="G249" s="23">
        <f>'Total and digestible IAA'!AL249/$G$2</f>
        <v>1.3665790367866659</v>
      </c>
      <c r="H249" s="23">
        <f>'Total and digestible IAA'!AM249/$H$2</f>
        <v>1.1798618190055501</v>
      </c>
      <c r="I249" s="23">
        <f>'Total and digestible IAA'!AN249/$I$2</f>
        <v>1.3942993805379127</v>
      </c>
      <c r="J249" s="23">
        <f>'Total and digestible IAA'!AO249/$J$2</f>
        <v>1.1049119313467508</v>
      </c>
      <c r="K249" s="23">
        <f>'Total and digestible IAA'!AP249/$K$2</f>
        <v>1.5436799184505607</v>
      </c>
      <c r="L249" s="24">
        <f t="shared" si="5"/>
        <v>110.49119313467509</v>
      </c>
      <c r="M249" s="5" t="s">
        <v>535</v>
      </c>
    </row>
    <row r="250" spans="1:14" x14ac:dyDescent="0.25">
      <c r="A250" s="5" t="str">
        <f>'IAA digestibility'!A250</f>
        <v xml:space="preserve">Impossible burger </v>
      </c>
      <c r="B250" s="5" t="str">
        <f>'IAA digestibility'!B250</f>
        <v xml:space="preserve">Plant based </v>
      </c>
      <c r="C250" s="23">
        <f>'Total and digestible IAA'!AH250/$C$2</f>
        <v>1.480012999675008</v>
      </c>
      <c r="D250" s="23">
        <f>'Total and digestible IAA'!AI250/$D$2</f>
        <v>1.0931384779896633</v>
      </c>
      <c r="E250" s="23">
        <f>'Total and digestible IAA'!AJ250/$E$2</f>
        <v>1.4134495856353588</v>
      </c>
      <c r="F250" s="23">
        <f>'Total and digestible IAA'!AK250/$F$2</f>
        <v>1.0611501757910595</v>
      </c>
      <c r="G250" s="23">
        <f>'Total and digestible IAA'!AL250/$G$2</f>
        <v>0.94713579528932823</v>
      </c>
      <c r="H250" s="23">
        <f>'Total and digestible IAA'!AM250/$H$2</f>
        <v>0.9167792101493758</v>
      </c>
      <c r="I250" s="23">
        <f>'Total and digestible IAA'!AN250/$I$2</f>
        <v>1.6255099872503185</v>
      </c>
      <c r="J250" s="23">
        <f>'Total and digestible IAA'!AO250/$J$2</f>
        <v>1.1292560709238086</v>
      </c>
      <c r="K250" s="23">
        <f>'Total and digestible IAA'!AP250/$K$2</f>
        <v>1.1091712707182322</v>
      </c>
      <c r="L250" s="24">
        <f t="shared" si="5"/>
        <v>91.677921014937581</v>
      </c>
      <c r="M250" s="5" t="s">
        <v>355</v>
      </c>
    </row>
    <row r="251" spans="1:14" x14ac:dyDescent="0.25">
      <c r="A251" s="5" t="str">
        <f>'IAA digestibility'!A251</f>
        <v>Beyond burger</v>
      </c>
      <c r="B251" s="5" t="str">
        <f>'IAA digestibility'!B251</f>
        <v xml:space="preserve">Plant based </v>
      </c>
      <c r="C251" s="23">
        <f>'Total and digestible IAA'!AH251/$C$2</f>
        <v>1.0242625240006984</v>
      </c>
      <c r="D251" s="23">
        <f>'Total and digestible IAA'!AI251/$D$2</f>
        <v>1.0266105101943142</v>
      </c>
      <c r="E251" s="23">
        <f>'Total and digestible IAA'!AJ251/$E$2</f>
        <v>1.3924950544015828</v>
      </c>
      <c r="F251" s="23">
        <f>'Total and digestible IAA'!AK251/$F$2</f>
        <v>1.1397356352845969</v>
      </c>
      <c r="G251" s="23">
        <f>'Total and digestible IAA'!AL251/$G$2</f>
        <v>1.111562288510594</v>
      </c>
      <c r="H251" s="23">
        <f>'Total and digestible IAA'!AM251/$H$2</f>
        <v>0.71608601677840067</v>
      </c>
      <c r="I251" s="23">
        <f>'Total and digestible IAA'!AN251/$I$2</f>
        <v>1.6915658525450814</v>
      </c>
      <c r="J251" s="23">
        <f>'Total and digestible IAA'!AO251/$J$2</f>
        <v>1.1451705656384421</v>
      </c>
      <c r="K251" s="23">
        <f>'Total and digestible IAA'!AP251/$K$2</f>
        <v>1.1102868447082099</v>
      </c>
      <c r="L251" s="24">
        <f t="shared" ref="L251:L270" si="6">MIN(C251:K251)*100</f>
        <v>71.60860167784007</v>
      </c>
      <c r="M251" s="5" t="s">
        <v>355</v>
      </c>
    </row>
    <row r="252" spans="1:14" s="4" customFormat="1" x14ac:dyDescent="0.25">
      <c r="A252" s="4" t="str">
        <f>'IAA digestibility'!A252</f>
        <v xml:space="preserve">Burger bun </v>
      </c>
      <c r="B252" s="4" t="str">
        <f>'IAA digestibility'!B252</f>
        <v xml:space="preserve">Cereals &amp; cereal products </v>
      </c>
      <c r="C252" s="23">
        <f>'Total and digestible IAA'!AH252/$C$2</f>
        <v>1.1982498784637823</v>
      </c>
      <c r="D252" s="23">
        <f>'Total and digestible IAA'!AI252/$D$2</f>
        <v>0.75329245534524136</v>
      </c>
      <c r="E252" s="23">
        <f>'Total and digestible IAA'!AJ252/$E$2</f>
        <v>1.0610795454545456</v>
      </c>
      <c r="F252" s="23">
        <f>'Total and digestible IAA'!AK252/$F$2</f>
        <v>0.91029301277235164</v>
      </c>
      <c r="G252" s="23">
        <f>'Total and digestible IAA'!AL252/$G$2</f>
        <v>0.25941713788603737</v>
      </c>
      <c r="H252" s="23">
        <f>'Total and digestible IAA'!AM252/$H$2</f>
        <v>1.2133455769819408</v>
      </c>
      <c r="I252" s="23">
        <f>'Total and digestible IAA'!AN252/$I$2</f>
        <v>1.3528289891926257</v>
      </c>
      <c r="J252" s="23">
        <f>'Total and digestible IAA'!AO252/$J$2</f>
        <v>0.86680761099365755</v>
      </c>
      <c r="K252" s="23">
        <f>'Total and digestible IAA'!AP252/$K$2</f>
        <v>0.91636363636363638</v>
      </c>
      <c r="L252" s="24">
        <f t="shared" si="6"/>
        <v>25.941713788603739</v>
      </c>
      <c r="M252" s="4" t="s">
        <v>8</v>
      </c>
    </row>
    <row r="253" spans="1:14" s="4" customFormat="1" x14ac:dyDescent="0.25">
      <c r="A253" s="4" t="str">
        <f>'IAA digestibility'!A253</f>
        <v>Beef, lean (80%) + burger bun</v>
      </c>
      <c r="B253" s="4" t="str">
        <f>'IAA digestibility'!B253</f>
        <v>Mixed food (animal + cereal product)</v>
      </c>
      <c r="C253" s="23">
        <v>1.26</v>
      </c>
      <c r="D253" s="23">
        <v>1.01</v>
      </c>
      <c r="E253" s="23">
        <v>1.19</v>
      </c>
      <c r="F253" s="23">
        <v>1</v>
      </c>
      <c r="G253" s="23">
        <v>0.99</v>
      </c>
      <c r="H253" s="23">
        <v>1.08</v>
      </c>
      <c r="I253" s="23">
        <v>1.31</v>
      </c>
      <c r="J253" s="23">
        <v>0.98</v>
      </c>
      <c r="K253" s="23">
        <v>1.18</v>
      </c>
      <c r="L253" s="24">
        <f t="shared" si="6"/>
        <v>98</v>
      </c>
      <c r="M253" s="4" t="s">
        <v>535</v>
      </c>
    </row>
    <row r="254" spans="1:14" s="4" customFormat="1" x14ac:dyDescent="0.25">
      <c r="A254" s="4" t="str">
        <f>'IAA digestibility'!A254</f>
        <v>Pork + burger bun</v>
      </c>
      <c r="B254" s="4" t="str">
        <f>'IAA digestibility'!B254</f>
        <v>Mixed food (animal + cereal product)</v>
      </c>
      <c r="C254" s="23">
        <v>1.34</v>
      </c>
      <c r="D254" s="23">
        <v>1.06</v>
      </c>
      <c r="E254" s="23">
        <v>1.24</v>
      </c>
      <c r="F254" s="23">
        <v>1.02</v>
      </c>
      <c r="G254" s="23">
        <v>1</v>
      </c>
      <c r="H254" s="23">
        <v>1.1399999999999999</v>
      </c>
      <c r="I254" s="23">
        <v>1.36</v>
      </c>
      <c r="J254" s="23">
        <v>1</v>
      </c>
      <c r="K254" s="23">
        <v>1.31</v>
      </c>
      <c r="L254" s="24">
        <f t="shared" si="6"/>
        <v>100</v>
      </c>
      <c r="M254" s="4" t="s">
        <v>535</v>
      </c>
    </row>
    <row r="255" spans="1:14" s="4" customFormat="1" x14ac:dyDescent="0.25">
      <c r="A255" s="4" t="str">
        <f>'IAA digestibility'!A255</f>
        <v>Impossible burger + burger bun</v>
      </c>
      <c r="B255" s="4" t="str">
        <f>'IAA digestibility'!B255</f>
        <v>Mixed food (plant based)</v>
      </c>
      <c r="C255" s="23">
        <v>1.37</v>
      </c>
      <c r="D255" s="23">
        <v>0.94</v>
      </c>
      <c r="E255" s="23">
        <v>1.27</v>
      </c>
      <c r="F255" s="23">
        <v>0.99</v>
      </c>
      <c r="G255" s="23">
        <v>0.73</v>
      </c>
      <c r="H255" s="23">
        <v>0.97</v>
      </c>
      <c r="I255" s="23">
        <v>1.51</v>
      </c>
      <c r="J255" s="23">
        <v>1.02</v>
      </c>
      <c r="K255" s="23">
        <v>1.03</v>
      </c>
      <c r="L255" s="24">
        <f t="shared" si="6"/>
        <v>73</v>
      </c>
      <c r="M255" s="4" t="s">
        <v>8</v>
      </c>
    </row>
    <row r="256" spans="1:14" s="4" customFormat="1" x14ac:dyDescent="0.25">
      <c r="A256" s="4" t="str">
        <f>'IAA digestibility'!A256</f>
        <v>Millet</v>
      </c>
      <c r="B256" s="4" t="str">
        <f>'IAA digestibility'!B256</f>
        <v xml:space="preserve">Cereals &amp; cereal products </v>
      </c>
      <c r="C256" s="23">
        <v>1.61</v>
      </c>
      <c r="D256" s="23">
        <v>0.93</v>
      </c>
      <c r="E256" s="23">
        <v>1.07</v>
      </c>
      <c r="F256" s="23">
        <v>2.5</v>
      </c>
      <c r="G256" s="23">
        <v>0.19</v>
      </c>
      <c r="H256" s="23">
        <v>2.1800000000000002</v>
      </c>
      <c r="I256" s="23">
        <v>0.88</v>
      </c>
      <c r="J256" s="23">
        <v>0.87</v>
      </c>
      <c r="K256" s="23">
        <v>0.63</v>
      </c>
      <c r="L256" s="24">
        <f t="shared" si="6"/>
        <v>19</v>
      </c>
      <c r="M256" s="4" t="s">
        <v>8</v>
      </c>
    </row>
    <row r="257" spans="1:14" s="4" customFormat="1" x14ac:dyDescent="0.25">
      <c r="A257" s="4" t="str">
        <f>'IAA digestibility'!A257</f>
        <v>Adlay (Chinese pearl barley)</v>
      </c>
      <c r="B257" s="4" t="str">
        <f>'IAA digestibility'!B257</f>
        <v xml:space="preserve">Cereals &amp; cereal products </v>
      </c>
      <c r="C257" s="23">
        <v>0.37</v>
      </c>
      <c r="D257" s="23">
        <v>0.67</v>
      </c>
      <c r="E257" s="23">
        <v>0.98</v>
      </c>
      <c r="F257" s="23">
        <v>2.72</v>
      </c>
      <c r="G257" s="23">
        <v>0.13</v>
      </c>
      <c r="H257" s="23">
        <v>1.69</v>
      </c>
      <c r="I257" s="23">
        <v>0.94</v>
      </c>
      <c r="J257" s="23">
        <v>0.92</v>
      </c>
      <c r="K257" s="23">
        <v>0.71</v>
      </c>
      <c r="L257" s="24">
        <f t="shared" si="6"/>
        <v>13</v>
      </c>
      <c r="M257" s="4" t="s">
        <v>8</v>
      </c>
    </row>
    <row r="258" spans="1:14" s="4" customFormat="1" x14ac:dyDescent="0.25">
      <c r="A258" s="4" t="str">
        <f>'IAA digestibility'!A258</f>
        <v>Mung bean (32%) + millet (68%)</v>
      </c>
      <c r="B258" s="4" t="str">
        <f>'IAA digestibility'!B258</f>
        <v>Mixed food (cereal + legume)</v>
      </c>
      <c r="C258" s="23">
        <v>1.25</v>
      </c>
      <c r="D258" s="23">
        <v>0.77</v>
      </c>
      <c r="E258" s="23">
        <v>0.99</v>
      </c>
      <c r="F258" s="23">
        <v>1.64</v>
      </c>
      <c r="G258" s="23">
        <v>0.56000000000000005</v>
      </c>
      <c r="H258" s="23">
        <v>1.55</v>
      </c>
      <c r="I258" s="23">
        <v>0.96</v>
      </c>
      <c r="J258" s="23">
        <v>0.85</v>
      </c>
      <c r="K258" s="23">
        <v>0.72</v>
      </c>
      <c r="L258" s="24">
        <f t="shared" si="6"/>
        <v>56.000000000000007</v>
      </c>
      <c r="M258" s="4" t="s">
        <v>8</v>
      </c>
    </row>
    <row r="259" spans="1:14" s="4" customFormat="1" x14ac:dyDescent="0.25">
      <c r="A259" s="4" t="str">
        <f>'IAA digestibility'!A259</f>
        <v>Adzuki bean (40%)+ adlay (Chinese pearl barley) (60%)</v>
      </c>
      <c r="B259" s="4" t="str">
        <f>'IAA digestibility'!B259</f>
        <v>Mixed food (cereal + legume)</v>
      </c>
      <c r="C259" s="23">
        <v>0.55000000000000004</v>
      </c>
      <c r="D259" s="23">
        <v>0.54</v>
      </c>
      <c r="E259" s="23">
        <v>0.79</v>
      </c>
      <c r="F259" s="23">
        <v>1.76</v>
      </c>
      <c r="G259" s="23">
        <v>0.43</v>
      </c>
      <c r="H259" s="23">
        <v>1.1100000000000001</v>
      </c>
      <c r="I259" s="23">
        <v>0.75</v>
      </c>
      <c r="J259" s="23">
        <v>0.71</v>
      </c>
      <c r="K259" s="23">
        <v>0.59</v>
      </c>
      <c r="L259" s="24">
        <f t="shared" si="6"/>
        <v>43</v>
      </c>
      <c r="M259" s="4" t="s">
        <v>8</v>
      </c>
    </row>
    <row r="260" spans="1:14" s="4" customFormat="1" x14ac:dyDescent="0.25">
      <c r="A260" s="4" t="str">
        <f>'IAA digestibility'!A260</f>
        <v>Cornflakes (Kelloggs company)</v>
      </c>
      <c r="B260" s="4" t="str">
        <f>'IAA digestibility'!B260</f>
        <v xml:space="preserve">Cereals &amp; cereal products </v>
      </c>
      <c r="C260" s="23">
        <f>'Total and digestible IAA'!AH260/$C$2</f>
        <v>0.55143288084464559</v>
      </c>
      <c r="D260" s="23">
        <f>'Total and digestible IAA'!AI260/$D$2</f>
        <v>0.97540667218086563</v>
      </c>
      <c r="E260" s="23">
        <f>'Total and digestible IAA'!AJ260/$E$2</f>
        <v>1.1858974358974359</v>
      </c>
      <c r="F260" s="23">
        <f>'Total and digestible IAA'!AK260/$F$2</f>
        <v>2.3089355089355088</v>
      </c>
      <c r="G260" s="23">
        <f>'Total and digestible IAA'!AL260/$G$2</f>
        <v>0.16353276353276353</v>
      </c>
      <c r="H260" s="23">
        <f>'Total and digestible IAA'!AM260/$H$2</f>
        <v>1.3252928141817029</v>
      </c>
      <c r="I260" s="23">
        <f>'Total and digestible IAA'!AN260/$I$2</f>
        <v>1.8749506903353057</v>
      </c>
      <c r="J260" s="23">
        <f>'Total and digestible IAA'!AO260/$J$2</f>
        <v>1.0496521566289008</v>
      </c>
      <c r="K260" s="23">
        <f>'Total and digestible IAA'!AP260/$K$2</f>
        <v>1.2742735042735043</v>
      </c>
      <c r="L260" s="24">
        <f t="shared" si="6"/>
        <v>16.353276353276353</v>
      </c>
      <c r="M260" s="4" t="s">
        <v>8</v>
      </c>
    </row>
    <row r="261" spans="1:14" s="4" customFormat="1" x14ac:dyDescent="0.25">
      <c r="A261" s="4" t="str">
        <f>'IAA digestibility'!A261</f>
        <v>Quick Oats</v>
      </c>
      <c r="B261" s="4" t="str">
        <f>'IAA digestibility'!B261</f>
        <v xml:space="preserve">Cereals &amp; cereal products </v>
      </c>
      <c r="C261" s="23">
        <f>'Total and digestible IAA'!AH261/$C$2</f>
        <v>1.084928018110431</v>
      </c>
      <c r="D261" s="23">
        <f>'Total and digestible IAA'!AI261/$D$2</f>
        <v>0.83791437937656377</v>
      </c>
      <c r="E261" s="23">
        <f>'Total and digestible IAA'!AJ261/$E$2</f>
        <v>1.0264018340348766</v>
      </c>
      <c r="F261" s="23">
        <f>'Total and digestible IAA'!AK261/$F$2</f>
        <v>0.95518322126860911</v>
      </c>
      <c r="G261" s="23">
        <f>'Total and digestible IAA'!AL261/$G$2</f>
        <v>0.56708970260889746</v>
      </c>
      <c r="H261" s="23">
        <f>'Total and digestible IAA'!AM261/$H$2</f>
        <v>1.5119485089418945</v>
      </c>
      <c r="I261" s="23">
        <f>'Total and digestible IAA'!AN261/$I$2</f>
        <v>1.449650770155881</v>
      </c>
      <c r="J261" s="23">
        <f>'Total and digestible IAA'!AO261/$J$2</f>
        <v>0.99703533820917645</v>
      </c>
      <c r="K261" s="23">
        <f>'Total and digestible IAA'!AP261/$K$2</f>
        <v>0.94708358388454583</v>
      </c>
      <c r="L261" s="24">
        <f t="shared" si="6"/>
        <v>56.708970260889743</v>
      </c>
      <c r="M261" s="4" t="s">
        <v>8</v>
      </c>
    </row>
    <row r="262" spans="1:14" s="4" customFormat="1" x14ac:dyDescent="0.25">
      <c r="A262" s="4" t="str">
        <f>'IAA digestibility'!A262</f>
        <v>milk, dried, non fat</v>
      </c>
      <c r="B262" s="4" t="str">
        <f>'IAA digestibility'!B262</f>
        <v>Animal products</v>
      </c>
      <c r="C262" s="23">
        <f>'Total and digestible IAA'!AH262/$C$2</f>
        <v>1.6600926084719603</v>
      </c>
      <c r="D262" s="23">
        <f>'Total and digestible IAA'!AI262/$D$2</f>
        <v>1.2946863538041944</v>
      </c>
      <c r="E262" s="23">
        <f>'Total and digestible IAA'!AJ262/$E$2</f>
        <v>1.6166545189504373</v>
      </c>
      <c r="F262" s="23">
        <f>'Total and digestible IAA'!AK262/$F$2</f>
        <v>1.4721618517536883</v>
      </c>
      <c r="G262" s="23">
        <f>'Total and digestible IAA'!AL262/$G$2</f>
        <v>1.3840877704465246</v>
      </c>
      <c r="H262" s="23">
        <f>'Total and digestible IAA'!AM262/$H$2</f>
        <v>1.2250188964474678</v>
      </c>
      <c r="I262" s="23">
        <f>'Total and digestible IAA'!AN262/$I$2</f>
        <v>1.8734189280107645</v>
      </c>
      <c r="J262" s="23">
        <f>'Total and digestible IAA'!AO262/$J$2</f>
        <v>1.4409112482202182</v>
      </c>
      <c r="K262" s="23">
        <f>'Total and digestible IAA'!AP262/$K$2</f>
        <v>1.4040962099125363</v>
      </c>
      <c r="L262" s="24">
        <f t="shared" si="6"/>
        <v>122.50188964474677</v>
      </c>
      <c r="M262" s="4" t="s">
        <v>355</v>
      </c>
    </row>
    <row r="263" spans="1:14" s="4" customFormat="1" x14ac:dyDescent="0.25">
      <c r="A263" s="4" t="str">
        <f>'IAA digestibility'!A263</f>
        <v>Cornflakes + dry milk (ratio of mix 2.6:1)</v>
      </c>
      <c r="B263" s="4" t="str">
        <f>'IAA digestibility'!B263</f>
        <v>Mixed food (cereal + animal product)</v>
      </c>
      <c r="C263" s="23">
        <v>1.3</v>
      </c>
      <c r="D263" s="23">
        <v>1.1599999999999999</v>
      </c>
      <c r="E263" s="23">
        <v>1.43</v>
      </c>
      <c r="F263" s="23">
        <v>1.7</v>
      </c>
      <c r="G263" s="23">
        <v>1</v>
      </c>
      <c r="H263" s="23">
        <v>1.22</v>
      </c>
      <c r="I263" s="23">
        <v>1.86</v>
      </c>
      <c r="J263" s="23">
        <v>1.29</v>
      </c>
      <c r="K263" s="23">
        <v>1.34</v>
      </c>
      <c r="L263" s="24">
        <f t="shared" si="6"/>
        <v>100</v>
      </c>
      <c r="M263" s="4" t="s">
        <v>8</v>
      </c>
    </row>
    <row r="264" spans="1:14" s="4" customFormat="1" x14ac:dyDescent="0.25">
      <c r="A264" s="4" t="str">
        <f>'IAA digestibility'!A264</f>
        <v>Quick oats + dry milk (ratio  of mix 2.4:1)</v>
      </c>
      <c r="B264" s="4" t="str">
        <f>'IAA digestibility'!B264</f>
        <v>Mixed food (cereal + animal product)</v>
      </c>
      <c r="C264" s="23">
        <v>1.37</v>
      </c>
      <c r="D264" s="23">
        <v>1.06</v>
      </c>
      <c r="E264" s="23">
        <v>1.31</v>
      </c>
      <c r="F264" s="23">
        <v>1.2</v>
      </c>
      <c r="G264" s="23">
        <v>0.95</v>
      </c>
      <c r="H264" s="23">
        <v>1.38</v>
      </c>
      <c r="I264" s="23">
        <v>1.64</v>
      </c>
      <c r="J264" s="23">
        <v>1.21</v>
      </c>
      <c r="K264" s="23">
        <v>1.1599999999999999</v>
      </c>
      <c r="L264" s="24">
        <f t="shared" si="6"/>
        <v>95</v>
      </c>
      <c r="M264" s="4" t="s">
        <v>8</v>
      </c>
    </row>
    <row r="265" spans="1:14" x14ac:dyDescent="0.25">
      <c r="A265" s="5" t="str">
        <f>'IAA digestibility'!A265</f>
        <v>Pinto bean (served with corn tortilla and guacamole)</v>
      </c>
      <c r="B265" s="5" t="str">
        <f>'IAA digestibility'!B265</f>
        <v>Legumes &amp; oilseeds</v>
      </c>
      <c r="C265" s="23"/>
      <c r="D265" s="23">
        <f>'Total and digestible IAA'!AI265/$D$2</f>
        <v>1.032258064516129</v>
      </c>
      <c r="E265" s="23">
        <f>'Total and digestible IAA'!AJ265/$E$2</f>
        <v>1.0406249999999999</v>
      </c>
      <c r="F265" s="23">
        <f>'Total and digestible IAA'!AK265/$F$2</f>
        <v>1.1257575757575757</v>
      </c>
      <c r="G265" s="23">
        <f>'Total and digestible IAA'!AL265/$G$2</f>
        <v>0.92807017543859649</v>
      </c>
      <c r="H265" s="23">
        <f>'Total and digestible IAA'!AM265/$H$2</f>
        <v>0.70740740740740748</v>
      </c>
      <c r="I265" s="23">
        <f>'Total and digestible IAA'!AN265/$I$2</f>
        <v>1.0615384615384615</v>
      </c>
      <c r="J265" s="23">
        <f>'Total and digestible IAA'!AO265/$J$2</f>
        <v>0.90465116279069768</v>
      </c>
      <c r="K265" s="23"/>
      <c r="L265" s="24">
        <f t="shared" si="6"/>
        <v>70.740740740740748</v>
      </c>
      <c r="M265" s="5" t="s">
        <v>355</v>
      </c>
      <c r="N265" s="5" t="s">
        <v>444</v>
      </c>
    </row>
    <row r="266" spans="1:14" x14ac:dyDescent="0.25">
      <c r="A266" s="5" t="str">
        <f>'IAA digestibility'!A266</f>
        <v>Salami (fully coked, cured and fermented), includes pok and pork hearts</v>
      </c>
      <c r="B266" s="5" t="str">
        <f>'IAA digestibility'!B266</f>
        <v>Animal products</v>
      </c>
      <c r="C266" s="23">
        <f>'Total and digestible IAA'!AH266/$C$2</f>
        <v>1.3252514120402257</v>
      </c>
      <c r="D266" s="23">
        <f>'Total and digestible IAA'!AI266/$D$2</f>
        <v>1.2510387550049105</v>
      </c>
      <c r="E266" s="23">
        <f>'Total and digestible IAA'!AJ266/$E$2</f>
        <v>1.3818062060889931</v>
      </c>
      <c r="F266" s="23">
        <f>'Total and digestible IAA'!AK266/$F$2</f>
        <v>1.1093960684124617</v>
      </c>
      <c r="G266" s="23">
        <f>'Total and digestible IAA'!AL266/$G$2</f>
        <v>1.3254653026007639</v>
      </c>
      <c r="H266" s="23">
        <f>'Total and digestible IAA'!AM266/$H$2</f>
        <v>1.0823358487292913</v>
      </c>
      <c r="I266" s="23">
        <f>'Total and digestible IAA'!AN266/$I$2</f>
        <v>1.3891190776436677</v>
      </c>
      <c r="J266" s="23">
        <f>'Total and digestible IAA'!AO266/$J$2</f>
        <v>1.1206088992974239</v>
      </c>
      <c r="K266" s="23">
        <f>'Total and digestible IAA'!AP266/$K$2</f>
        <v>1.5622950819672128</v>
      </c>
      <c r="L266" s="24">
        <f t="shared" si="6"/>
        <v>108.23358487292913</v>
      </c>
      <c r="M266" s="5" t="s">
        <v>355</v>
      </c>
    </row>
    <row r="267" spans="1:14" x14ac:dyDescent="0.25">
      <c r="A267" s="5" t="str">
        <f>'IAA digestibility'!A267</f>
        <v>Bologna (fully cooked and cured), includes pork and beef</v>
      </c>
      <c r="B267" s="5" t="str">
        <f>'IAA digestibility'!B267</f>
        <v>Animal products</v>
      </c>
      <c r="C267" s="23">
        <f>'Total and digestible IAA'!AH267/$C$2</f>
        <v>1.7377841329323012</v>
      </c>
      <c r="D267" s="23">
        <f>'Total and digestible IAA'!AI267/$D$2</f>
        <v>1.3856636833139553</v>
      </c>
      <c r="E267" s="23">
        <f>'Total and digestible IAA'!AJ267/$E$2</f>
        <v>1.5166596814752726</v>
      </c>
      <c r="F267" s="23">
        <f>'Total and digestible IAA'!AK267/$F$2</f>
        <v>1.1912799410703852</v>
      </c>
      <c r="G267" s="23">
        <f>'Total and digestible IAA'!AL267/$G$2</f>
        <v>1.4662137321509978</v>
      </c>
      <c r="H267" s="23">
        <f>'Total and digestible IAA'!AM267/$H$2</f>
        <v>1.2004905156623513</v>
      </c>
      <c r="I267" s="23">
        <f>'Total and digestible IAA'!AN267/$I$2</f>
        <v>1.5483106583274231</v>
      </c>
      <c r="J267" s="23">
        <f>'Total and digestible IAA'!AO267/$J$2</f>
        <v>1.2125967367784947</v>
      </c>
      <c r="K267" s="23">
        <f>'Total and digestible IAA'!AP267/$K$2</f>
        <v>1.8681475272422463</v>
      </c>
      <c r="L267" s="24">
        <f t="shared" si="6"/>
        <v>119.12799410703852</v>
      </c>
      <c r="M267" s="5" t="s">
        <v>526</v>
      </c>
    </row>
    <row r="268" spans="1:14" x14ac:dyDescent="0.25">
      <c r="A268" s="5" t="str">
        <f>'IAA digestibility'!A268</f>
        <v xml:space="preserve">Beef jerky </v>
      </c>
      <c r="B268" s="5" t="str">
        <f>'IAA digestibility'!B268</f>
        <v>Animal products</v>
      </c>
      <c r="C268" s="23">
        <f>'Total and digestible IAA'!AH268/$C$2</f>
        <v>1.5632419156774457</v>
      </c>
      <c r="D268" s="23">
        <f>'Total and digestible IAA'!AI268/$D$2</f>
        <v>1.3655209750042914</v>
      </c>
      <c r="E268" s="23">
        <f>'Total and digestible IAA'!AJ268/$E$2</f>
        <v>1.5709296970937372</v>
      </c>
      <c r="F268" s="23">
        <f>'Total and digestible IAA'!AK268/$F$2</f>
        <v>1.2147136531090688</v>
      </c>
      <c r="G268" s="23">
        <f>'Total and digestible IAA'!AL268/$G$2</f>
        <v>1.5056983432794018</v>
      </c>
      <c r="H268" s="23">
        <f>'Total and digestible IAA'!AM268/$H$2</f>
        <v>1.0229302163399585</v>
      </c>
      <c r="I268" s="23">
        <f>'Total and digestible IAA'!AN268/$I$2</f>
        <v>1.5612897131521768</v>
      </c>
      <c r="J268" s="23">
        <f>'Total and digestible IAA'!AO268/$J$2</f>
        <v>1.1746137516777884</v>
      </c>
      <c r="K268" s="23">
        <f>'Total and digestible IAA'!AP268/$K$2</f>
        <v>1.9116864510847322</v>
      </c>
      <c r="L268" s="24">
        <f t="shared" si="6"/>
        <v>102.29302163399585</v>
      </c>
      <c r="M268" s="5" t="s">
        <v>355</v>
      </c>
    </row>
    <row r="269" spans="1:14" x14ac:dyDescent="0.25">
      <c r="A269" s="5" t="str">
        <f>'IAA digestibility'!A269</f>
        <v>Beef, ground, raw</v>
      </c>
      <c r="B269" s="5" t="str">
        <f>'IAA digestibility'!B269</f>
        <v>Animal products</v>
      </c>
      <c r="C269" s="23">
        <f>'Total and digestible IAA'!AH269/$C$2</f>
        <v>1.0844837106570955</v>
      </c>
      <c r="D269" s="23">
        <f>'Total and digestible IAA'!AI269/$D$2</f>
        <v>1.3185550667070414</v>
      </c>
      <c r="E269" s="23">
        <f>'Total and digestible IAA'!AJ269/$E$2</f>
        <v>1.4146880176697956</v>
      </c>
      <c r="F269" s="23">
        <f>'Total and digestible IAA'!AK269/$F$2</f>
        <v>1.1207603366631527</v>
      </c>
      <c r="G269" s="23">
        <f>'Total and digestible IAA'!AL269/$G$2</f>
        <v>1.4298584672614725</v>
      </c>
      <c r="H269" s="23">
        <f>'Total and digestible IAA'!AM269/$H$2</f>
        <v>1.2917970427633596</v>
      </c>
      <c r="I269" s="23">
        <f>'Total and digestible IAA'!AN269/$I$2</f>
        <v>1.4535105976298688</v>
      </c>
      <c r="J269" s="23">
        <f>'Total and digestible IAA'!AO269/$J$2</f>
        <v>1.1256789901506299</v>
      </c>
      <c r="K269" s="23">
        <f>'Total and digestible IAA'!AP269/$K$2</f>
        <v>1.5548315847598011</v>
      </c>
      <c r="L269" s="24">
        <f t="shared" si="6"/>
        <v>108.44837106570955</v>
      </c>
      <c r="M269" s="5" t="s">
        <v>6</v>
      </c>
    </row>
    <row r="270" spans="1:14" x14ac:dyDescent="0.25">
      <c r="A270" s="5" t="str">
        <f>'IAA digestibility'!A270</f>
        <v>Beef, ground, cooked</v>
      </c>
      <c r="B270" s="5" t="str">
        <f>'IAA digestibility'!B270</f>
        <v>Animal products</v>
      </c>
      <c r="C270" s="23">
        <f>'Total and digestible IAA'!AH270/$C$2</f>
        <v>1.164767477671697</v>
      </c>
      <c r="D270" s="23">
        <f>'Total and digestible IAA'!AI270/$D$2</f>
        <v>1.0502660023644654</v>
      </c>
      <c r="E270" s="23">
        <f>'Total and digestible IAA'!AJ270/$E$2</f>
        <v>1.1423020287958114</v>
      </c>
      <c r="F270" s="23">
        <f>'Total and digestible IAA'!AK270/$F$2</f>
        <v>0.91856060606060608</v>
      </c>
      <c r="G270" s="23">
        <f>'Total and digestible IAA'!AL270/$G$2</f>
        <v>1.1597547533755854</v>
      </c>
      <c r="H270" s="23">
        <f>'Total and digestible IAA'!AM270/$H$2</f>
        <v>0.96998012410316059</v>
      </c>
      <c r="I270" s="23">
        <f>'Total and digestible IAA'!AN270/$I$2</f>
        <v>1.2053400624244863</v>
      </c>
      <c r="J270" s="23">
        <f>'Total and digestible IAA'!AO270/$J$2</f>
        <v>0.93262967247047368</v>
      </c>
      <c r="K270" s="23">
        <f>'Total and digestible IAA'!AP270/$K$2</f>
        <v>1.2144633507853402</v>
      </c>
      <c r="L270" s="24">
        <f t="shared" si="6"/>
        <v>91.856060606060609</v>
      </c>
      <c r="M270" s="5" t="s">
        <v>526</v>
      </c>
    </row>
    <row r="271" spans="1:14" x14ac:dyDescent="0.25">
      <c r="A271" s="5" t="str">
        <f>'IAA digestibility'!A271</f>
        <v>ribeye roast, medium rare (cooked to 56oC)</v>
      </c>
      <c r="B271" s="5" t="str">
        <f>'IAA digestibility'!B271</f>
        <v>Animal products</v>
      </c>
      <c r="C271" s="23">
        <f>'Total and digestible IAA'!AH271/$C$2</f>
        <v>1.3108968177434908</v>
      </c>
      <c r="D271" s="23">
        <f>'Total and digestible IAA'!AI271/$D$2</f>
        <v>1.2145029085140138</v>
      </c>
      <c r="E271" s="23">
        <f>'Total and digestible IAA'!AJ271/$E$2</f>
        <v>1.3417008196721314</v>
      </c>
      <c r="F271" s="23">
        <f>'Total and digestible IAA'!AK271/$F$2</f>
        <v>1.0556259314456033</v>
      </c>
      <c r="G271" s="23">
        <f>'Total and digestible IAA'!AL271/$G$2</f>
        <v>1.3627983894161633</v>
      </c>
      <c r="H271" s="23">
        <f>'Total and digestible IAA'!AM271/$H$2</f>
        <v>1.1407559198542805</v>
      </c>
      <c r="I271" s="23">
        <f>'Total and digestible IAA'!AN271/$I$2</f>
        <v>1.4063682219419926</v>
      </c>
      <c r="J271" s="23">
        <f>'Total and digestible IAA'!AO271/$J$2</f>
        <v>1.034388105223027</v>
      </c>
      <c r="K271" s="23">
        <f>'Total and digestible IAA'!AP271/$K$2</f>
        <v>1.495389344262295</v>
      </c>
      <c r="L271" s="24">
        <f t="shared" ref="L271:L292" si="7">MIN(C271:K271)*100</f>
        <v>103.4388105223027</v>
      </c>
      <c r="M271" s="5" t="s">
        <v>535</v>
      </c>
    </row>
    <row r="272" spans="1:14" x14ac:dyDescent="0.25">
      <c r="A272" s="5" t="str">
        <f>'IAA digestibility'!A272</f>
        <v>ribeye roast, medium (cooked to 64oC)</v>
      </c>
      <c r="B272" s="5" t="str">
        <f>'IAA digestibility'!B272</f>
        <v>Animal products</v>
      </c>
      <c r="C272" s="23">
        <f>'Total and digestible IAA'!AH272/$C$2</f>
        <v>1.3930622968339492</v>
      </c>
      <c r="D272" s="23">
        <f>'Total and digestible IAA'!AI272/$D$2</f>
        <v>1.4016995921955506</v>
      </c>
      <c r="E272" s="23">
        <f>'Total and digestible IAA'!AJ272/$E$2</f>
        <v>1.6010598031794097</v>
      </c>
      <c r="F272" s="23">
        <f>'Total and digestible IAA'!AK272/$F$2</f>
        <v>1.2345101277728077</v>
      </c>
      <c r="G272" s="23">
        <f>'Total and digestible IAA'!AL272/$G$2</f>
        <v>1.5762048952813525</v>
      </c>
      <c r="H272" s="23">
        <f>'Total and digestible IAA'!AM272/$H$2</f>
        <v>1.3836599657947122</v>
      </c>
      <c r="I272" s="23">
        <f>'Total and digestible IAA'!AN272/$I$2</f>
        <v>1.5976460140918884</v>
      </c>
      <c r="J272" s="23">
        <f>'Total and digestible IAA'!AO272/$J$2</f>
        <v>1.2086949632941921</v>
      </c>
      <c r="K272" s="23">
        <f>'Total and digestible IAA'!AP272/$K$2</f>
        <v>1.6878690386071162</v>
      </c>
      <c r="L272" s="24">
        <f t="shared" si="7"/>
        <v>120.86949632941921</v>
      </c>
      <c r="M272" s="5" t="s">
        <v>535</v>
      </c>
    </row>
    <row r="273" spans="1:14" x14ac:dyDescent="0.25">
      <c r="A273" s="5" t="str">
        <f>'IAA digestibility'!A273</f>
        <v>ribeye roast, well-done (ccoked to 72oC)</v>
      </c>
      <c r="B273" s="5" t="str">
        <f>'IAA digestibility'!B273</f>
        <v>Animal products</v>
      </c>
      <c r="C273" s="23">
        <f>'Total and digestible IAA'!AH273/$C$2</f>
        <v>1.1410913813565016</v>
      </c>
      <c r="D273" s="23">
        <f>'Total and digestible IAA'!AI273/$D$2</f>
        <v>1.1375664624188022</v>
      </c>
      <c r="E273" s="23">
        <f>'Total and digestible IAA'!AJ273/$E$2</f>
        <v>1.2755281690140845</v>
      </c>
      <c r="F273" s="23">
        <f>'Total and digestible IAA'!AK273/$F$2</f>
        <v>0.98667681766273319</v>
      </c>
      <c r="G273" s="23">
        <f>'Total and digestible IAA'!AL273/$G$2</f>
        <v>1.259291166629936</v>
      </c>
      <c r="H273" s="23">
        <f>'Total and digestible IAA'!AM273/$H$2</f>
        <v>1.0802351647422068</v>
      </c>
      <c r="I273" s="23">
        <f>'Total and digestible IAA'!AN273/$I$2</f>
        <v>1.3143685397206524</v>
      </c>
      <c r="J273" s="23">
        <f>'Total and digestible IAA'!AO273/$J$2</f>
        <v>0.99096148228149539</v>
      </c>
      <c r="K273" s="23">
        <f>'Total and digestible IAA'!AP273/$K$2</f>
        <v>1.3563380281690143</v>
      </c>
      <c r="L273" s="24">
        <f t="shared" si="7"/>
        <v>98.667681766273319</v>
      </c>
      <c r="M273" s="5" t="s">
        <v>535</v>
      </c>
    </row>
    <row r="274" spans="1:14" x14ac:dyDescent="0.25">
      <c r="A274" s="5" t="str">
        <f>'IAA digestibility'!A274</f>
        <v>pork belly, raw</v>
      </c>
      <c r="B274" s="5" t="str">
        <f>'IAA digestibility'!B274</f>
        <v>Animal products</v>
      </c>
      <c r="C274" s="23">
        <f>'Total and digestible IAA'!AH274/$C$2</f>
        <v>1.1321563862483026</v>
      </c>
      <c r="D274" s="23">
        <f>'Total and digestible IAA'!AI274/$D$2</f>
        <v>1.3991690510720023</v>
      </c>
      <c r="E274" s="23">
        <f>'Total and digestible IAA'!AJ274/$E$2</f>
        <v>1.4297159781287971</v>
      </c>
      <c r="F274" s="23">
        <f>'Total and digestible IAA'!AK274/$F$2</f>
        <v>1.127618837217865</v>
      </c>
      <c r="G274" s="23">
        <f>'Total and digestible IAA'!AL274/$G$2</f>
        <v>1.4803031271983116</v>
      </c>
      <c r="H274" s="23">
        <f>'Total and digestible IAA'!AM274/$H$2</f>
        <v>1.3220377120741642</v>
      </c>
      <c r="I274" s="23">
        <f>'Total and digestible IAA'!AN274/$I$2</f>
        <v>1.5655201420693521</v>
      </c>
      <c r="J274" s="23">
        <f>'Total and digestible IAA'!AO274/$J$2</f>
        <v>1.0963858826188928</v>
      </c>
      <c r="K274" s="23">
        <f>'Total and digestible IAA'!AP274/$K$2</f>
        <v>1.7653402187120293</v>
      </c>
      <c r="L274" s="24">
        <f t="shared" si="7"/>
        <v>109.63858826188928</v>
      </c>
      <c r="M274" s="5" t="s">
        <v>535</v>
      </c>
    </row>
    <row r="275" spans="1:14" x14ac:dyDescent="0.25">
      <c r="A275" s="5" t="str">
        <f>'IAA digestibility'!A275</f>
        <v>Bacon, smoked</v>
      </c>
      <c r="B275" s="5" t="str">
        <f>'IAA digestibility'!B275</f>
        <v>Animal products</v>
      </c>
      <c r="C275" s="23">
        <f>'Total and digestible IAA'!AH275/$C$2</f>
        <v>1.4331439103056365</v>
      </c>
      <c r="D275" s="23">
        <f>'Total and digestible IAA'!AI275/$D$2</f>
        <v>1.3394087425250569</v>
      </c>
      <c r="E275" s="23">
        <f>'Total and digestible IAA'!AJ275/$E$2</f>
        <v>1.3872062663185378</v>
      </c>
      <c r="F275" s="23">
        <f>'Total and digestible IAA'!AK275/$F$2</f>
        <v>1.1105308964316798</v>
      </c>
      <c r="G275" s="23">
        <f>'Total and digestible IAA'!AL275/$G$2</f>
        <v>1.4336677202143739</v>
      </c>
      <c r="H275" s="23">
        <f>'Total and digestible IAA'!AM275/$H$2</f>
        <v>1.0949231215549753</v>
      </c>
      <c r="I275" s="23">
        <f>'Total and digestible IAA'!AN275/$I$2</f>
        <v>1.5421972283591079</v>
      </c>
      <c r="J275" s="23">
        <f>'Total and digestible IAA'!AO275/$J$2</f>
        <v>1.0890278705446597</v>
      </c>
      <c r="K275" s="23">
        <f>'Total and digestible IAA'!AP275/$K$2</f>
        <v>1.9188511749347257</v>
      </c>
      <c r="L275" s="24">
        <f t="shared" si="7"/>
        <v>108.90278705446596</v>
      </c>
      <c r="M275" s="5" t="s">
        <v>535</v>
      </c>
    </row>
    <row r="276" spans="1:14" x14ac:dyDescent="0.25">
      <c r="A276" s="5" t="str">
        <f>'IAA digestibility'!A276</f>
        <v>Bacon, smoked, cooked</v>
      </c>
      <c r="B276" s="5" t="str">
        <f>'IAA digestibility'!B276</f>
        <v>Animal products</v>
      </c>
      <c r="C276" s="23">
        <f>'Total and digestible IAA'!AH276/$C$2</f>
        <v>1.2535461298495372</v>
      </c>
      <c r="D276" s="23">
        <f>'Total and digestible IAA'!AI276/$D$2</f>
        <v>1.5936032059582432</v>
      </c>
      <c r="E276" s="23">
        <f>'Total and digestible IAA'!AJ276/$E$2</f>
        <v>1.6454274099033106</v>
      </c>
      <c r="F276" s="23">
        <f>'Total and digestible IAA'!AK276/$F$2</f>
        <v>1.3280327446749949</v>
      </c>
      <c r="G276" s="23">
        <f>'Total and digestible IAA'!AL276/$G$2</f>
        <v>1.6701466528906503</v>
      </c>
      <c r="H276" s="23">
        <f>'Total and digestible IAA'!AM276/$H$2</f>
        <v>1.2737789063602132</v>
      </c>
      <c r="I276" s="23">
        <f>'Total and digestible IAA'!AN276/$I$2</f>
        <v>1.7731242534201805</v>
      </c>
      <c r="J276" s="23">
        <f>'Total and digestible IAA'!AO276/$J$2</f>
        <v>1.319591984137259</v>
      </c>
      <c r="K276" s="23">
        <f>'Total and digestible IAA'!AP276/$K$2</f>
        <v>2.0970993261060644</v>
      </c>
      <c r="L276" s="24">
        <f t="shared" si="7"/>
        <v>125.35461298495372</v>
      </c>
      <c r="M276" s="5" t="s">
        <v>6</v>
      </c>
    </row>
    <row r="277" spans="1:14" x14ac:dyDescent="0.25">
      <c r="A277" s="5" t="str">
        <f>'IAA digestibility'!A277</f>
        <v>Ham, non-cured</v>
      </c>
      <c r="B277" s="5" t="str">
        <f>'IAA digestibility'!B277</f>
        <v>Animal products</v>
      </c>
      <c r="C277" s="23">
        <f>'Total and digestible IAA'!AH277/$C$2</f>
        <v>1.445436575557222</v>
      </c>
      <c r="D277" s="23">
        <f>'Total and digestible IAA'!AI277/$D$2</f>
        <v>1.4221956416102866</v>
      </c>
      <c r="E277" s="23">
        <f>'Total and digestible IAA'!AJ277/$E$2</f>
        <v>1.521590744495944</v>
      </c>
      <c r="F277" s="23">
        <f>'Total and digestible IAA'!AK277/$F$2</f>
        <v>1.2191614874117773</v>
      </c>
      <c r="G277" s="23">
        <f>'Total and digestible IAA'!AL277/$G$2</f>
        <v>1.5758370433615905</v>
      </c>
      <c r="H277" s="23">
        <f>'Total and digestible IAA'!AM277/$H$2</f>
        <v>1.3504677910819278</v>
      </c>
      <c r="I277" s="23">
        <f>'Total and digestible IAA'!AN277/$I$2</f>
        <v>1.6665756751938676</v>
      </c>
      <c r="J277" s="23">
        <f>'Total and digestible IAA'!AO277/$J$2</f>
        <v>1.1478617047077528</v>
      </c>
      <c r="K277" s="23">
        <f>'Total and digestible IAA'!AP277/$K$2</f>
        <v>1.8669177288528391</v>
      </c>
      <c r="L277" s="24">
        <f t="shared" si="7"/>
        <v>114.78617047077529</v>
      </c>
      <c r="M277" s="5" t="s">
        <v>535</v>
      </c>
    </row>
    <row r="278" spans="1:14" x14ac:dyDescent="0.25">
      <c r="A278" s="5" t="str">
        <f>'IAA digestibility'!A278</f>
        <v>Ham, cured with celery/salt (no nitrite)</v>
      </c>
      <c r="B278" s="5" t="str">
        <f>'IAA digestibility'!B278</f>
        <v>Animal products</v>
      </c>
      <c r="C278" s="23">
        <f>'Total and digestible IAA'!AH278/$C$2</f>
        <v>1.5556474968969796</v>
      </c>
      <c r="D278" s="23">
        <f>'Total and digestible IAA'!AI278/$D$2</f>
        <v>1.5037436438133116</v>
      </c>
      <c r="E278" s="23">
        <f>'Total and digestible IAA'!AJ278/$E$2</f>
        <v>1.6202937525858503</v>
      </c>
      <c r="F278" s="23">
        <f>'Total and digestible IAA'!AK278/$F$2</f>
        <v>1.2877722195057735</v>
      </c>
      <c r="G278" s="23">
        <f>'Total and digestible IAA'!AL278/$G$2</f>
        <v>1.6351428841030999</v>
      </c>
      <c r="H278" s="23">
        <f>'Total and digestible IAA'!AM278/$H$2</f>
        <v>1.3325978026019398</v>
      </c>
      <c r="I278" s="23">
        <f>'Total and digestible IAA'!AN278/$I$2</f>
        <v>1.7566913847426879</v>
      </c>
      <c r="J278" s="23">
        <f>'Total and digestible IAA'!AO278/$J$2</f>
        <v>1.2300083709384111</v>
      </c>
      <c r="K278" s="23">
        <f>'Total and digestible IAA'!AP278/$K$2</f>
        <v>2.0635084815887463</v>
      </c>
      <c r="L278" s="24">
        <f t="shared" si="7"/>
        <v>123.00083709384111</v>
      </c>
      <c r="M278" s="5" t="s">
        <v>535</v>
      </c>
    </row>
    <row r="279" spans="1:14" x14ac:dyDescent="0.25">
      <c r="A279" s="5" t="str">
        <f>'IAA digestibility'!A279</f>
        <v xml:space="preserve">Ham, cured </v>
      </c>
      <c r="B279" s="5" t="str">
        <f>'IAA digestibility'!B279</f>
        <v>Animal products</v>
      </c>
      <c r="C279" s="23">
        <f>'Total and digestible IAA'!AH279/$C$2</f>
        <v>1.4548376727740275</v>
      </c>
      <c r="D279" s="23">
        <f>'Total and digestible IAA'!AI279/$D$2</f>
        <v>1.4292125994928744</v>
      </c>
      <c r="E279" s="23">
        <f>'Total and digestible IAA'!AJ279/$E$2</f>
        <v>1.543334909625893</v>
      </c>
      <c r="F279" s="23">
        <f>'Total and digestible IAA'!AK279/$F$2</f>
        <v>1.2220438941750416</v>
      </c>
      <c r="G279" s="23">
        <f>'Total and digestible IAA'!AL279/$G$2</f>
        <v>1.5650538704895909</v>
      </c>
      <c r="H279" s="23">
        <f>'Total and digestible IAA'!AM279/$H$2</f>
        <v>1.2401724970030981</v>
      </c>
      <c r="I279" s="23">
        <f>'Total and digestible IAA'!AN279/$I$2</f>
        <v>1.6892440262553756</v>
      </c>
      <c r="J279" s="23">
        <f>'Total and digestible IAA'!AO279/$J$2</f>
        <v>1.1648826456298815</v>
      </c>
      <c r="K279" s="23">
        <f>'Total and digestible IAA'!AP279/$K$2</f>
        <v>2.0134510298444726</v>
      </c>
      <c r="L279" s="24">
        <f t="shared" si="7"/>
        <v>116.48826456298815</v>
      </c>
      <c r="M279" s="5" t="s">
        <v>535</v>
      </c>
    </row>
    <row r="280" spans="1:14" x14ac:dyDescent="0.25">
      <c r="A280" s="5" t="str">
        <f>'IAA digestibility'!A280</f>
        <v>pork loin, medium (cooked to 63oC)</v>
      </c>
      <c r="B280" s="5" t="str">
        <f>'IAA digestibility'!B280</f>
        <v>Animal products</v>
      </c>
      <c r="C280" s="23">
        <f>'Total and digestible IAA'!AH280/$C$2</f>
        <v>1.7384905486823343</v>
      </c>
      <c r="D280" s="23">
        <f>'Total and digestible IAA'!AI280/$D$2</f>
        <v>1.6137859719034529</v>
      </c>
      <c r="E280" s="23">
        <f>'Total and digestible IAA'!AJ280/$E$2</f>
        <v>1.7222072908522281</v>
      </c>
      <c r="F280" s="23">
        <f>'Total and digestible IAA'!AK280/$F$2</f>
        <v>1.3660944866965192</v>
      </c>
      <c r="G280" s="23">
        <f>'Total and digestible IAA'!AL280/$G$2</f>
        <v>1.7702289343374069</v>
      </c>
      <c r="H280" s="23">
        <f>'Total and digestible IAA'!AM280/$H$2</f>
        <v>1.5346045811253006</v>
      </c>
      <c r="I280" s="23">
        <f>'Total and digestible IAA'!AN280/$I$2</f>
        <v>1.8830215913875021</v>
      </c>
      <c r="J280" s="23">
        <f>'Total and digestible IAA'!AO280/$J$2</f>
        <v>1.2927977889703073</v>
      </c>
      <c r="K280" s="23">
        <f>'Total and digestible IAA'!AP280/$K$2</f>
        <v>2.1863174354964814</v>
      </c>
      <c r="L280" s="24">
        <f t="shared" si="7"/>
        <v>129.27977889703072</v>
      </c>
      <c r="M280" s="5" t="s">
        <v>535</v>
      </c>
    </row>
    <row r="281" spans="1:14" x14ac:dyDescent="0.25">
      <c r="A281" s="5" t="str">
        <f>'IAA digestibility'!A281</f>
        <v>pork loin, medium-well (cooked to 68oC)</v>
      </c>
      <c r="B281" s="5" t="str">
        <f>'IAA digestibility'!B281</f>
        <v>Animal products</v>
      </c>
      <c r="C281" s="23">
        <f>'Total and digestible IAA'!AH281/$C$2</f>
        <v>1.4547672601120809</v>
      </c>
      <c r="D281" s="23">
        <f>'Total and digestible IAA'!AI281/$D$2</f>
        <v>1.3590617356218508</v>
      </c>
      <c r="E281" s="23">
        <f>'Total and digestible IAA'!AJ281/$E$2</f>
        <v>1.453641445236552</v>
      </c>
      <c r="F281" s="23">
        <f>'Total and digestible IAA'!AK281/$F$2</f>
        <v>1.1441996111471158</v>
      </c>
      <c r="G281" s="23">
        <f>'Total and digestible IAA'!AL281/$G$2</f>
        <v>1.4879705745244509</v>
      </c>
      <c r="H281" s="23">
        <f>'Total and digestible IAA'!AM281/$H$2</f>
        <v>1.3031012217661602</v>
      </c>
      <c r="I281" s="23">
        <f>'Total and digestible IAA'!AN281/$I$2</f>
        <v>1.6200022433820227</v>
      </c>
      <c r="J281" s="23">
        <f>'Total and digestible IAA'!AO281/$J$2</f>
        <v>1.0930383276311626</v>
      </c>
      <c r="K281" s="23">
        <f>'Total and digestible IAA'!AP281/$K$2</f>
        <v>1.9483149708360337</v>
      </c>
      <c r="L281" s="24">
        <f t="shared" si="7"/>
        <v>109.30383276311626</v>
      </c>
      <c r="M281" s="5" t="s">
        <v>535</v>
      </c>
    </row>
    <row r="282" spans="1:14" x14ac:dyDescent="0.25">
      <c r="A282" s="5" t="str">
        <f>'IAA digestibility'!A282</f>
        <v>pork loin, well-done (cooked to 72oC)</v>
      </c>
      <c r="B282" s="5" t="str">
        <f>'IAA digestibility'!B282</f>
        <v>Animal products</v>
      </c>
      <c r="C282" s="23">
        <f>'Total and digestible IAA'!AH282/$C$2</f>
        <v>1.4783253842077373</v>
      </c>
      <c r="D282" s="23">
        <f>'Total and digestible IAA'!AI282/$D$2</f>
        <v>1.3691756272401434</v>
      </c>
      <c r="E282" s="23">
        <f>'Total and digestible IAA'!AJ282/$E$2</f>
        <v>1.4684684684684683</v>
      </c>
      <c r="F282" s="23">
        <f>'Total and digestible IAA'!AK282/$F$2</f>
        <v>1.1591591591591592</v>
      </c>
      <c r="G282" s="23">
        <f>'Total and digestible IAA'!AL282/$G$2</f>
        <v>1.5086454875928559</v>
      </c>
      <c r="H282" s="23">
        <f>'Total and digestible IAA'!AM282/$H$2</f>
        <v>1.2955622288955622</v>
      </c>
      <c r="I282" s="23">
        <f>'Total and digestible IAA'!AN282/$I$2</f>
        <v>1.5876530376530376</v>
      </c>
      <c r="J282" s="23">
        <f>'Total and digestible IAA'!AO282/$J$2</f>
        <v>1.0935470354075005</v>
      </c>
      <c r="K282" s="23">
        <f>'Total and digestible IAA'!AP282/$K$2</f>
        <v>1.8287237237237239</v>
      </c>
      <c r="L282" s="24">
        <f t="shared" si="7"/>
        <v>109.35470354075005</v>
      </c>
      <c r="M282" s="5" t="s">
        <v>535</v>
      </c>
    </row>
    <row r="283" spans="1:14" x14ac:dyDescent="0.25">
      <c r="A283" s="5" t="str">
        <f>'IAA digestibility'!A283</f>
        <v>Chickpea, extruded</v>
      </c>
      <c r="B283" s="5" t="str">
        <f>'IAA digestibility'!B283</f>
        <v>Legumes &amp; oilseeds</v>
      </c>
      <c r="C283" s="23"/>
      <c r="D283" s="23">
        <f>'Total and digestible IAA'!AI283/$D$2</f>
        <v>1.1799681567011413</v>
      </c>
      <c r="E283" s="23">
        <f>'Total and digestible IAA'!AJ283/$E$2</f>
        <v>1.1478769182911654</v>
      </c>
      <c r="F283" s="23">
        <f>'Total and digestible IAA'!AK283/$F$2</f>
        <v>0.84197428452924106</v>
      </c>
      <c r="G283" s="23">
        <f>'Total and digestible IAA'!AL283/$G$2</f>
        <v>0.82988059115021084</v>
      </c>
      <c r="H283" s="23"/>
      <c r="I283" s="23">
        <f>'Total and digestible IAA'!AN283/$I$2</f>
        <v>1.1986727498963086</v>
      </c>
      <c r="J283" s="23">
        <f>'Total and digestible IAA'!AO283/$J$2</f>
        <v>0.83739257087187613</v>
      </c>
      <c r="K283" s="23"/>
      <c r="L283" s="24">
        <f t="shared" si="7"/>
        <v>82.988059115021088</v>
      </c>
      <c r="M283" s="5" t="s">
        <v>8</v>
      </c>
      <c r="N283" s="5" t="s">
        <v>507</v>
      </c>
    </row>
    <row r="284" spans="1:14" x14ac:dyDescent="0.25">
      <c r="A284" s="5" t="str">
        <f>'IAA digestibility'!A284</f>
        <v xml:space="preserve">Yellow pea, extruded </v>
      </c>
      <c r="B284" s="5" t="str">
        <f>'IAA digestibility'!B284</f>
        <v>Legumes &amp; oilseeds</v>
      </c>
      <c r="C284" s="23"/>
      <c r="D284" s="23">
        <f>'Total and digestible IAA'!AI284/$D$2</f>
        <v>1.1629032258064518</v>
      </c>
      <c r="E284" s="23">
        <f>'Total and digestible IAA'!AJ284/$E$2</f>
        <v>1.1694293478260871</v>
      </c>
      <c r="F284" s="23">
        <f>'Total and digestible IAA'!AK284/$F$2</f>
        <v>0.89884716732542813</v>
      </c>
      <c r="G284" s="23">
        <f>'Total and digestible IAA'!AL284/$G$2</f>
        <v>0.85812356979405047</v>
      </c>
      <c r="H284" s="23"/>
      <c r="I284" s="23">
        <f>'Total and digestible IAA'!AN284/$I$2</f>
        <v>1.0692307692307692</v>
      </c>
      <c r="J284" s="23">
        <f>'Total and digestible IAA'!AO284/$J$2</f>
        <v>0.94115267947421644</v>
      </c>
      <c r="K284" s="23"/>
      <c r="L284" s="24">
        <f t="shared" si="7"/>
        <v>85.812356979405052</v>
      </c>
      <c r="M284" s="5" t="s">
        <v>8</v>
      </c>
      <c r="N284" s="5" t="s">
        <v>507</v>
      </c>
    </row>
    <row r="285" spans="1:14" x14ac:dyDescent="0.25">
      <c r="A285" s="5" t="str">
        <f>'IAA digestibility'!A285</f>
        <v>Black soldier fly larvae meal, defatted</v>
      </c>
      <c r="B285" s="5" t="str">
        <f>'IAA digestibility'!B285</f>
        <v>Animal products</v>
      </c>
      <c r="C285" s="23"/>
      <c r="D285" s="23">
        <f>'Total and digestible IAA'!AI285/$D$2</f>
        <v>0.82732447817836818</v>
      </c>
      <c r="E285" s="23">
        <f>'Total and digestible IAA'!AJ285/$E$2</f>
        <v>1.0771764705882354</v>
      </c>
      <c r="F285" s="23">
        <f>'Total and digestible IAA'!AK285/$F$2</f>
        <v>0.80827094474153305</v>
      </c>
      <c r="G285" s="23">
        <f>'Total and digestible IAA'!AL285/$G$2</f>
        <v>0.67003508771929843</v>
      </c>
      <c r="H285" s="23">
        <f>'Total and digestible IAA'!AM285/$H$2</f>
        <v>0.74692810457516357</v>
      </c>
      <c r="I285" s="23"/>
      <c r="J285" s="23">
        <f>'Total and digestible IAA'!AO285/$J$2</f>
        <v>0.9924815321477426</v>
      </c>
      <c r="K285" s="23">
        <f>'Total and digestible IAA'!AP285/$K$2</f>
        <v>1.0633411764705882</v>
      </c>
      <c r="L285" s="24">
        <f t="shared" si="7"/>
        <v>67.003508771929845</v>
      </c>
      <c r="M285" s="5" t="s">
        <v>8</v>
      </c>
      <c r="N285" s="5" t="s">
        <v>511</v>
      </c>
    </row>
    <row r="286" spans="1:14" x14ac:dyDescent="0.25">
      <c r="A286" s="5" t="str">
        <f>'IAA digestibility'!A286</f>
        <v>Black soldier fly larvae meal, full fat</v>
      </c>
      <c r="B286" s="5" t="str">
        <f>'IAA digestibility'!B286</f>
        <v>Animal products</v>
      </c>
      <c r="C286" s="23"/>
      <c r="D286" s="23">
        <f>'Total and digestible IAA'!AI286/$D$2</f>
        <v>0.71892789373814037</v>
      </c>
      <c r="E286" s="23">
        <f>'Total and digestible IAA'!AJ286/$E$2</f>
        <v>0.8852941176470589</v>
      </c>
      <c r="F286" s="23">
        <f>'Total and digestible IAA'!AK286/$F$2</f>
        <v>0.67028000594177062</v>
      </c>
      <c r="G286" s="23">
        <f>'Total and digestible IAA'!AL286/$G$2</f>
        <v>0.62449690402476776</v>
      </c>
      <c r="H286" s="23">
        <f>'Total and digestible IAA'!AM286/$H$2</f>
        <v>0.84849310094408148</v>
      </c>
      <c r="I286" s="23"/>
      <c r="J286" s="23">
        <f>'Total and digestible IAA'!AO286/$J$2</f>
        <v>0.88682170542635663</v>
      </c>
      <c r="K286" s="23">
        <f>'Total and digestible IAA'!AP286/$K$2</f>
        <v>0.81613970588235296</v>
      </c>
      <c r="L286" s="24">
        <f t="shared" si="7"/>
        <v>62.449690402476776</v>
      </c>
      <c r="M286" s="5" t="s">
        <v>8</v>
      </c>
      <c r="N286" s="5" t="s">
        <v>511</v>
      </c>
    </row>
    <row r="287" spans="1:14" x14ac:dyDescent="0.25">
      <c r="A287" s="5" t="str">
        <f>'IAA digestibility'!A287</f>
        <v>Corn/maize, yellow dent,  raw</v>
      </c>
      <c r="B287" s="5" t="str">
        <f>'IAA digestibility'!B287</f>
        <v xml:space="preserve">Cereals &amp; cereal products </v>
      </c>
      <c r="C287" s="23">
        <f>'Total and digestible IAA'!AH287/$C$2</f>
        <v>0.55384615384615388</v>
      </c>
      <c r="D287" s="23">
        <f>'Total and digestible IAA'!AI287/$D$2</f>
        <v>0.76889991728701401</v>
      </c>
      <c r="E287" s="23">
        <f>'Total and digestible IAA'!AJ287/$E$2</f>
        <v>0.76458333333333339</v>
      </c>
      <c r="F287" s="23">
        <f>'Total and digestible IAA'!AK287/$F$2</f>
        <v>1.3598290598290597</v>
      </c>
      <c r="G287" s="23">
        <f>'Total and digestible IAA'!AL287/$G$2</f>
        <v>0.37899235267656328</v>
      </c>
      <c r="H287" s="23">
        <f>'Total and digestible IAA'!AM287/$H$2</f>
        <v>1.2930674264007598</v>
      </c>
      <c r="I287" s="23"/>
      <c r="J287" s="23">
        <f>'Total and digestible IAA'!AO287/$J$2</f>
        <v>0.78890876565295176</v>
      </c>
      <c r="K287" s="23">
        <f>'Total and digestible IAA'!AP287/$K$2</f>
        <v>1.0701923076923079</v>
      </c>
      <c r="L287" s="24">
        <f t="shared" si="7"/>
        <v>37.89923526765633</v>
      </c>
      <c r="M287" s="5" t="s">
        <v>8</v>
      </c>
      <c r="N287" s="5" t="s">
        <v>519</v>
      </c>
    </row>
    <row r="288" spans="1:14" x14ac:dyDescent="0.25">
      <c r="A288" s="5" t="str">
        <f>'IAA digestibility'!A288</f>
        <v>Corn/maize, yellow dent, extruded</v>
      </c>
      <c r="B288" s="5" t="str">
        <f>'IAA digestibility'!B288</f>
        <v xml:space="preserve">Cereals &amp; cereal products </v>
      </c>
      <c r="C288" s="23">
        <f>'Total and digestible IAA'!AH288/$C$2</f>
        <v>0.72445820433436536</v>
      </c>
      <c r="D288" s="23">
        <f>'Total and digestible IAA'!AI288/$D$2</f>
        <v>0.95348047538200342</v>
      </c>
      <c r="E288" s="23">
        <f>'Total and digestible IAA'!AJ288/$E$2</f>
        <v>0.90666118421052633</v>
      </c>
      <c r="F288" s="23">
        <f>'Total and digestible IAA'!AK288/$F$2</f>
        <v>1.5356459330143544</v>
      </c>
      <c r="G288" s="23">
        <f>'Total and digestible IAA'!AL288/$G$2</f>
        <v>0.48995844875346262</v>
      </c>
      <c r="H288" s="23">
        <f>'Total and digestible IAA'!AM288/$H$2</f>
        <v>1.399610136452242</v>
      </c>
      <c r="I288" s="23"/>
      <c r="J288" s="23">
        <f>'Total and digestible IAA'!AO288/$J$2</f>
        <v>0.93283353733170138</v>
      </c>
      <c r="K288" s="23">
        <f>'Total and digestible IAA'!AP288/$K$2</f>
        <v>1.2309868421052634</v>
      </c>
      <c r="L288" s="24">
        <f t="shared" si="7"/>
        <v>48.995844875346265</v>
      </c>
      <c r="M288" s="5" t="s">
        <v>8</v>
      </c>
      <c r="N288" s="5" t="s">
        <v>519</v>
      </c>
    </row>
    <row r="289" spans="1:14" x14ac:dyDescent="0.25">
      <c r="A289" s="5" t="str">
        <f>'IAA digestibility'!A289</f>
        <v>Wheat, hard red winter, raw</v>
      </c>
      <c r="B289" s="5" t="str">
        <f>'IAA digestibility'!B289</f>
        <v xml:space="preserve">Cereals &amp; cereal products </v>
      </c>
      <c r="C289" s="23">
        <f>'Total and digestible IAA'!AH289/$C$2</f>
        <v>1.1412913775577851</v>
      </c>
      <c r="D289" s="23">
        <f>'Total and digestible IAA'!AI289/$D$2</f>
        <v>0.6931727296963236</v>
      </c>
      <c r="E289" s="23">
        <f>'Total and digestible IAA'!AJ289/$E$2</f>
        <v>0.88326446280991733</v>
      </c>
      <c r="F289" s="23">
        <f>'Total and digestible IAA'!AK289/$F$2</f>
        <v>0.82149443344033879</v>
      </c>
      <c r="G289" s="23">
        <f>'Total and digestible IAA'!AL289/$G$2</f>
        <v>0.35446241448851279</v>
      </c>
      <c r="H289" s="23">
        <f>'Total and digestible IAA'!AM289/$H$2</f>
        <v>1.2353284915268385</v>
      </c>
      <c r="I289" s="23"/>
      <c r="J289" s="23">
        <f>'Total and digestible IAA'!AO289/$J$2</f>
        <v>0.79842049167438356</v>
      </c>
      <c r="K289" s="23">
        <f>'Total and digestible IAA'!AP289/$K$2</f>
        <v>0.96919609316303534</v>
      </c>
      <c r="L289" s="24">
        <f t="shared" si="7"/>
        <v>35.446241448851282</v>
      </c>
      <c r="M289" s="5" t="s">
        <v>8</v>
      </c>
      <c r="N289" s="5" t="s">
        <v>519</v>
      </c>
    </row>
    <row r="290" spans="1:14" x14ac:dyDescent="0.25">
      <c r="A290" s="5" t="str">
        <f>'IAA digestibility'!A290</f>
        <v>Wheat, hard red winter, extruded</v>
      </c>
      <c r="B290" s="5" t="str">
        <f>'IAA digestibility'!B290</f>
        <v xml:space="preserve">Cereals &amp; cereal products </v>
      </c>
      <c r="C290" s="23">
        <f>'Total and digestible IAA'!AH290/$C$2</f>
        <v>1.1876750700280112</v>
      </c>
      <c r="D290" s="23">
        <f>'Total and digestible IAA'!AI290/$D$2</f>
        <v>0.74951996927803388</v>
      </c>
      <c r="E290" s="23">
        <f>'Total and digestible IAA'!AJ290/$E$2</f>
        <v>0.9228515625</v>
      </c>
      <c r="F290" s="23">
        <f>'Total and digestible IAA'!AK290/$F$2</f>
        <v>0.85091991341991335</v>
      </c>
      <c r="G290" s="23">
        <f>'Total and digestible IAA'!AL290/$G$2</f>
        <v>0.38348475355054301</v>
      </c>
      <c r="H290" s="23">
        <f>'Total and digestible IAA'!AM290/$H$2</f>
        <v>1.206872795414462</v>
      </c>
      <c r="I290" s="23"/>
      <c r="J290" s="23">
        <f>'Total and digestible IAA'!AO290/$J$2</f>
        <v>0.81559731450719808</v>
      </c>
      <c r="K290" s="23">
        <f>'Total and digestible IAA'!AP290/$K$2</f>
        <v>0.9765625</v>
      </c>
      <c r="L290" s="24">
        <f t="shared" si="7"/>
        <v>38.348475355054305</v>
      </c>
      <c r="M290" s="5" t="s">
        <v>8</v>
      </c>
      <c r="N290" s="5" t="s">
        <v>519</v>
      </c>
    </row>
    <row r="291" spans="1:14" x14ac:dyDescent="0.25">
      <c r="A291" s="5" t="str">
        <f>'IAA digestibility'!A291</f>
        <v>Sorghum, 1.6g/kg tannin, raw</v>
      </c>
      <c r="B291" s="5" t="str">
        <f>'IAA digestibility'!B291</f>
        <v xml:space="preserve">Cereals &amp; cereal products </v>
      </c>
      <c r="C291" s="23">
        <f>'Total and digestible IAA'!AH291/$C$2</f>
        <v>0.95828426207153039</v>
      </c>
      <c r="D291" s="23">
        <f>'Total and digestible IAA'!AI291/$D$2</f>
        <v>0.73340358271865114</v>
      </c>
      <c r="E291" s="23">
        <f>'Total and digestible IAA'!AJ291/$E$2</f>
        <v>0.91280295047418336</v>
      </c>
      <c r="F291" s="23">
        <f>'Total and digestible IAA'!AK291/$F$2</f>
        <v>1.6016859852476291</v>
      </c>
      <c r="G291" s="23">
        <f>'Total and digestible IAA'!AL291/$G$2</f>
        <v>0.25363725435823486</v>
      </c>
      <c r="H291" s="23">
        <f>'Total and digestible IAA'!AM291/$H$2</f>
        <v>1.0253678335870116</v>
      </c>
      <c r="I291" s="23"/>
      <c r="J291" s="23">
        <f>'Total and digestible IAA'!AO291/$J$2</f>
        <v>0.87007131129463078</v>
      </c>
      <c r="K291" s="23">
        <f>'Total and digestible IAA'!AP291/$K$2</f>
        <v>0.80716543730242363</v>
      </c>
      <c r="L291" s="24">
        <f t="shared" si="7"/>
        <v>25.363725435823486</v>
      </c>
      <c r="M291" s="5" t="s">
        <v>8</v>
      </c>
      <c r="N291" s="5" t="s">
        <v>519</v>
      </c>
    </row>
    <row r="292" spans="1:14" x14ac:dyDescent="0.25">
      <c r="A292" s="5" t="str">
        <f>'IAA digestibility'!A292</f>
        <v xml:space="preserve">Sorghum, 1.5g/kg tannin, extruded </v>
      </c>
      <c r="B292" s="5" t="str">
        <f>'IAA digestibility'!B292</f>
        <v xml:space="preserve">Cereals &amp; cereal products </v>
      </c>
      <c r="C292" s="23">
        <f>'Total and digestible IAA'!AH292/$C$2</f>
        <v>0.88749286122215876</v>
      </c>
      <c r="D292" s="23">
        <f>'Total and digestible IAA'!AI292/$D$2</f>
        <v>0.70118662351672056</v>
      </c>
      <c r="E292" s="23">
        <f>'Total and digestible IAA'!AJ292/$E$2</f>
        <v>0.85693096008629988</v>
      </c>
      <c r="F292" s="23">
        <f>'Total and digestible IAA'!AK292/$F$2</f>
        <v>1.3909319734562451</v>
      </c>
      <c r="G292" s="23">
        <f>'Total and digestible IAA'!AL292/$G$2</f>
        <v>0.27903631787126931</v>
      </c>
      <c r="H292" s="23">
        <f>'Total and digestible IAA'!AM292/$H$2</f>
        <v>0.92908226457309506</v>
      </c>
      <c r="I292" s="23"/>
      <c r="J292" s="23">
        <f>'Total and digestible IAA'!AO292/$J$2</f>
        <v>0.80981410401143972</v>
      </c>
      <c r="K292" s="23">
        <f>'Total and digestible IAA'!AP292/$K$2</f>
        <v>0.73980582524271843</v>
      </c>
      <c r="L292" s="24">
        <f t="shared" si="7"/>
        <v>27.90363178712693</v>
      </c>
      <c r="M292" s="5" t="s">
        <v>8</v>
      </c>
      <c r="N292" s="5" t="s">
        <v>519</v>
      </c>
    </row>
    <row r="293" spans="1:14" s="6" customForma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E0AC-7282-4309-98F7-061958A6B0AF}">
  <dimension ref="A1:N293"/>
  <sheetViews>
    <sheetView workbookViewId="0">
      <pane ySplit="1" topLeftCell="A261" activePane="bottomLeft" state="frozen"/>
      <selection pane="bottomLeft" activeCell="N23" sqref="N23"/>
    </sheetView>
  </sheetViews>
  <sheetFormatPr defaultColWidth="9.5703125" defaultRowHeight="15" x14ac:dyDescent="0.25"/>
  <cols>
    <col min="1" max="1" width="53.28515625" style="5" customWidth="1"/>
    <col min="2" max="2" width="24.5703125" style="5" customWidth="1"/>
    <col min="3" max="3" width="8.7109375" style="2" customWidth="1"/>
    <col min="4" max="4" width="8.85546875" style="2" customWidth="1"/>
    <col min="5" max="5" width="7.42578125" style="2" customWidth="1"/>
    <col min="6" max="6" width="6.85546875" style="2" customWidth="1"/>
    <col min="7" max="7" width="6.42578125" style="2" customWidth="1"/>
    <col min="8" max="8" width="7.5703125" style="2" customWidth="1"/>
    <col min="9" max="9" width="7.42578125" style="2" customWidth="1"/>
    <col min="10" max="10" width="7.5703125" style="2" customWidth="1"/>
    <col min="11" max="11" width="6.7109375" style="2" customWidth="1"/>
    <col min="12" max="12" width="17.28515625" style="2" customWidth="1"/>
    <col min="13" max="13" width="15.7109375" style="5" customWidth="1"/>
    <col min="14" max="14" width="87.42578125" style="5" customWidth="1"/>
    <col min="15" max="16384" width="9.5703125" style="5"/>
  </cols>
  <sheetData>
    <row r="1" spans="1:14" s="12" customFormat="1" x14ac:dyDescent="0.25">
      <c r="A1" s="12" t="s">
        <v>0</v>
      </c>
      <c r="B1" s="12" t="s">
        <v>1</v>
      </c>
      <c r="C1" s="20" t="s">
        <v>362</v>
      </c>
      <c r="D1" s="20" t="s">
        <v>343</v>
      </c>
      <c r="E1" s="20" t="s">
        <v>344</v>
      </c>
      <c r="F1" s="20" t="s">
        <v>345</v>
      </c>
      <c r="G1" s="20" t="s">
        <v>346</v>
      </c>
      <c r="H1" s="20" t="s">
        <v>355</v>
      </c>
      <c r="I1" s="20" t="s">
        <v>356</v>
      </c>
      <c r="J1" s="20" t="s">
        <v>351</v>
      </c>
      <c r="K1" s="20" t="s">
        <v>353</v>
      </c>
      <c r="L1" s="20" t="s">
        <v>360</v>
      </c>
      <c r="M1" s="12" t="s">
        <v>361</v>
      </c>
      <c r="N1" s="12" t="s">
        <v>255</v>
      </c>
    </row>
    <row r="2" spans="1:14" s="13" customFormat="1" ht="15.75" thickBot="1" x14ac:dyDescent="0.3">
      <c r="B2" s="13" t="s">
        <v>533</v>
      </c>
      <c r="C2" s="21">
        <v>6.6</v>
      </c>
      <c r="D2" s="21">
        <v>25</v>
      </c>
      <c r="E2" s="21">
        <v>30</v>
      </c>
      <c r="F2" s="21">
        <v>61</v>
      </c>
      <c r="G2" s="21">
        <v>48</v>
      </c>
      <c r="H2" s="21">
        <v>23</v>
      </c>
      <c r="I2" s="21">
        <v>41</v>
      </c>
      <c r="J2" s="21">
        <v>40</v>
      </c>
      <c r="K2" s="21">
        <v>16</v>
      </c>
      <c r="L2" s="22"/>
    </row>
    <row r="3" spans="1:14" s="4" customFormat="1" x14ac:dyDescent="0.25">
      <c r="A3" s="4" t="s">
        <v>39</v>
      </c>
      <c r="B3" s="4" t="s">
        <v>10</v>
      </c>
      <c r="C3" s="23">
        <f>'Total and digestible IAA'!AH3/$C$2</f>
        <v>1.4829713059801553</v>
      </c>
      <c r="D3" s="23">
        <f>'Total and digestible IAA'!AI3/$D$2</f>
        <v>1.0353982300884956</v>
      </c>
      <c r="E3" s="23">
        <f>'Total and digestible IAA'!AJ3/$E$2</f>
        <v>0.97964601769911497</v>
      </c>
      <c r="F3" s="23">
        <f>'Total and digestible IAA'!AK3/$F$2</f>
        <v>0.92717249383432465</v>
      </c>
      <c r="G3" s="23">
        <f>'Total and digestible IAA'!AL3/$G$2</f>
        <v>0.59457964601769908</v>
      </c>
      <c r="H3" s="23">
        <f>'Total and digestible IAA'!AM3/$H$2</f>
        <v>1.4470950365525201</v>
      </c>
      <c r="I3" s="23">
        <f>'Total and digestible IAA'!AN3/$I$2</f>
        <v>1.5704726958774013</v>
      </c>
      <c r="J3" s="23">
        <f>'Total and digestible IAA'!AO3/$J$2</f>
        <v>1.0088495575221239</v>
      </c>
      <c r="K3" s="23">
        <f>'Total and digestible IAA'!AP3/$K$2</f>
        <v>1.1648230088495577</v>
      </c>
      <c r="L3" s="24">
        <f>MIN(C3:K3)*100</f>
        <v>59.457964601769909</v>
      </c>
      <c r="M3" s="14" t="s">
        <v>8</v>
      </c>
    </row>
    <row r="4" spans="1:14" x14ac:dyDescent="0.25">
      <c r="A4" s="5" t="s">
        <v>220</v>
      </c>
      <c r="B4" s="4" t="s">
        <v>10</v>
      </c>
      <c r="C4" s="23">
        <f>'Total and digestible IAA'!AH4/$C$2</f>
        <v>1.078582434514638</v>
      </c>
      <c r="D4" s="23">
        <f>'Total and digestible IAA'!AI4/$D$2</f>
        <v>0.82983050847457618</v>
      </c>
      <c r="E4" s="23">
        <f>'Total and digestible IAA'!AJ4/$E$2</f>
        <v>0.83728813559322046</v>
      </c>
      <c r="F4" s="23">
        <f>'Total and digestible IAA'!AK4/$F$2</f>
        <v>0.80119477632675751</v>
      </c>
      <c r="G4" s="23">
        <f>'Total and digestible IAA'!AL4/$G$2</f>
        <v>0.50953389830508478</v>
      </c>
      <c r="H4" s="23">
        <f>'Total and digestible IAA'!AM4/$H$2</f>
        <v>1.1665438467207074</v>
      </c>
      <c r="I4" s="23">
        <f>'Total and digestible IAA'!AN4/$I$2</f>
        <v>1.3619264158743283</v>
      </c>
      <c r="J4" s="23">
        <f>'Total and digestible IAA'!AO4/$J$2</f>
        <v>0.86461864406779654</v>
      </c>
      <c r="K4" s="23">
        <f>'Total and digestible IAA'!AP4/$K$2</f>
        <v>1.0725635593220342</v>
      </c>
      <c r="L4" s="24">
        <f t="shared" ref="L4:L67" si="0">MIN(C4:K4)*100</f>
        <v>50.953389830508478</v>
      </c>
      <c r="M4" s="14" t="s">
        <v>8</v>
      </c>
    </row>
    <row r="5" spans="1:14" x14ac:dyDescent="0.25">
      <c r="A5" s="5" t="s">
        <v>20</v>
      </c>
      <c r="B5" s="4" t="s">
        <v>10</v>
      </c>
      <c r="C5" s="23">
        <f>'Total and digestible IAA'!AH5/$C$2</f>
        <v>1.2869435091657315</v>
      </c>
      <c r="D5" s="23">
        <f>'Total and digestible IAA'!AI5/$D$2</f>
        <v>1.2133333333333334</v>
      </c>
      <c r="E5" s="23">
        <f>'Total and digestible IAA'!AJ5/$E$2</f>
        <v>1.0979423868312757</v>
      </c>
      <c r="F5" s="23">
        <f>'Total and digestible IAA'!AK5/$F$2</f>
        <v>0.99453551912568317</v>
      </c>
      <c r="G5" s="23">
        <f>'Total and digestible IAA'!AL5/$G$2</f>
        <v>0.45781893004115232</v>
      </c>
      <c r="H5" s="23">
        <f>'Total and digestible IAA'!AM5/$H$2</f>
        <v>1.3735909822866346</v>
      </c>
      <c r="I5" s="23">
        <f>'Total and digestible IAA'!AN5/$I$2</f>
        <v>1.6314363143631436</v>
      </c>
      <c r="J5" s="23">
        <f>'Total and digestible IAA'!AO5/$J$2</f>
        <v>1.0277777777777779</v>
      </c>
      <c r="K5" s="23">
        <f>'Total and digestible IAA'!AP5/$K$2</f>
        <v>1.3634259259259258</v>
      </c>
      <c r="L5" s="24">
        <f t="shared" si="0"/>
        <v>45.781893004115233</v>
      </c>
      <c r="M5" s="14" t="s">
        <v>8</v>
      </c>
    </row>
    <row r="6" spans="1:14" x14ac:dyDescent="0.25">
      <c r="A6" s="5" t="s">
        <v>19</v>
      </c>
      <c r="B6" s="4" t="s">
        <v>10</v>
      </c>
      <c r="C6" s="23">
        <f>'Total and digestible IAA'!AH6/$C$2</f>
        <v>1.3523666416228401</v>
      </c>
      <c r="D6" s="23">
        <f>'Total and digestible IAA'!AI6/$D$2</f>
        <v>1.203305785123967</v>
      </c>
      <c r="E6" s="23">
        <f>'Total and digestible IAA'!AJ6/$E$2</f>
        <v>1.1151515151515154</v>
      </c>
      <c r="F6" s="23">
        <f>'Total and digestible IAA'!AK6/$F$2</f>
        <v>1.0079934968161497</v>
      </c>
      <c r="G6" s="23">
        <f>'Total and digestible IAA'!AL6/$G$2</f>
        <v>0.47520661157024796</v>
      </c>
      <c r="H6" s="23">
        <f>'Total and digestible IAA'!AM6/$H$2</f>
        <v>1.414301113905857</v>
      </c>
      <c r="I6" s="23">
        <f>'Total and digestible IAA'!AN6/$I$2</f>
        <v>1.6307196129812538</v>
      </c>
      <c r="J6" s="23">
        <f>'Total and digestible IAA'!AO6/$J$2</f>
        <v>1.0340909090909089</v>
      </c>
      <c r="K6" s="23">
        <f>'Total and digestible IAA'!AP6/$K$2</f>
        <v>1.3780991735537191</v>
      </c>
      <c r="L6" s="24">
        <f t="shared" si="0"/>
        <v>47.520661157024797</v>
      </c>
      <c r="M6" s="14" t="s">
        <v>8</v>
      </c>
    </row>
    <row r="7" spans="1:14" x14ac:dyDescent="0.25">
      <c r="A7" s="5" t="s">
        <v>44</v>
      </c>
      <c r="B7" s="4" t="s">
        <v>10</v>
      </c>
      <c r="C7" s="23">
        <f>'Total and digestible IAA'!AH7/$C$2</f>
        <v>0.77751196172248815</v>
      </c>
      <c r="D7" s="23">
        <f>'Total and digestible IAA'!AI7/$D$2</f>
        <v>1.08</v>
      </c>
      <c r="E7" s="23">
        <f>'Total and digestible IAA'!AJ7/$E$2</f>
        <v>0.98070175438596496</v>
      </c>
      <c r="F7" s="23">
        <f>'Total and digestible IAA'!AK7/$F$2</f>
        <v>1.8257118205349441</v>
      </c>
      <c r="G7" s="23">
        <f>'Total and digestible IAA'!AL7/$G$2</f>
        <v>0.45833333333333343</v>
      </c>
      <c r="H7" s="23">
        <f>'Total and digestible IAA'!AM7/$H$2</f>
        <v>1.6104118993135015</v>
      </c>
      <c r="I7" s="23">
        <f>'Total and digestible IAA'!AN7/$I$2</f>
        <v>1.8151476251604624</v>
      </c>
      <c r="J7" s="23">
        <f>'Total and digestible IAA'!AO7/$J$2</f>
        <v>1.0345394736842106</v>
      </c>
      <c r="K7" s="23">
        <f>'Total and digestible IAA'!AP7/$K$2</f>
        <v>1.5888157894736841</v>
      </c>
      <c r="L7" s="24">
        <f t="shared" si="0"/>
        <v>45.833333333333343</v>
      </c>
      <c r="M7" s="14" t="s">
        <v>8</v>
      </c>
    </row>
    <row r="8" spans="1:14" x14ac:dyDescent="0.25">
      <c r="A8" s="5" t="s">
        <v>40</v>
      </c>
      <c r="B8" s="4" t="s">
        <v>10</v>
      </c>
      <c r="C8" s="23">
        <f>'Total and digestible IAA'!AH8/$C$2</f>
        <v>0.82644628099173556</v>
      </c>
      <c r="D8" s="23">
        <f>'Total and digestible IAA'!AI8/$D$2</f>
        <v>1.2450000000000001</v>
      </c>
      <c r="E8" s="23">
        <f>'Total and digestible IAA'!AJ8/$E$2</f>
        <v>1.1000000000000001</v>
      </c>
      <c r="F8" s="23">
        <f>'Total and digestible IAA'!AK8/$F$2</f>
        <v>1.8710879284649777</v>
      </c>
      <c r="G8" s="23">
        <f>'Total and digestible IAA'!AL8/$G$2</f>
        <v>0.51136363636363635</v>
      </c>
      <c r="H8" s="23">
        <f>'Total and digestible IAA'!AM8/$H$2</f>
        <v>1.8216403162055337</v>
      </c>
      <c r="I8" s="23">
        <f>'Total and digestible IAA'!AN8/$I$2</f>
        <v>2.0074833702882486</v>
      </c>
      <c r="J8" s="23">
        <f>'Total and digestible IAA'!AO8/$J$2</f>
        <v>1.0875000000000001</v>
      </c>
      <c r="K8" s="23">
        <f>'Total and digestible IAA'!AP8/$K$2</f>
        <v>1.6434659090909092</v>
      </c>
      <c r="L8" s="24">
        <f t="shared" si="0"/>
        <v>51.136363636363633</v>
      </c>
      <c r="M8" s="14" t="s">
        <v>8</v>
      </c>
    </row>
    <row r="9" spans="1:14" x14ac:dyDescent="0.25">
      <c r="A9" s="5" t="s">
        <v>42</v>
      </c>
      <c r="B9" s="4" t="s">
        <v>10</v>
      </c>
      <c r="C9" s="23">
        <f>'Total and digestible IAA'!AH9/$C$2</f>
        <v>0.85743801652892571</v>
      </c>
      <c r="D9" s="23">
        <f>'Total and digestible IAA'!AI9/$D$2</f>
        <v>1.2150000000000001</v>
      </c>
      <c r="E9" s="23">
        <f>'Total and digestible IAA'!AJ9/$E$2</f>
        <v>1.0874999999999999</v>
      </c>
      <c r="F9" s="23">
        <f>'Total and digestible IAA'!AK9/$F$2</f>
        <v>1.8308494783904623</v>
      </c>
      <c r="G9" s="23">
        <f>'Total and digestible IAA'!AL9/$G$2</f>
        <v>0.50497159090909094</v>
      </c>
      <c r="H9" s="23">
        <f>'Total and digestible IAA'!AM9/$H$2</f>
        <v>1.7811264822134385</v>
      </c>
      <c r="I9" s="23">
        <f>'Total and digestible IAA'!AN9/$I$2</f>
        <v>1.9853104212860313</v>
      </c>
      <c r="J9" s="23">
        <f>'Total and digestible IAA'!AO9/$J$2</f>
        <v>1.075</v>
      </c>
      <c r="K9" s="23">
        <f>'Total and digestible IAA'!AP9/$K$2</f>
        <v>1.6065340909090911</v>
      </c>
      <c r="L9" s="24">
        <f t="shared" si="0"/>
        <v>50.497159090909093</v>
      </c>
      <c r="M9" s="14" t="s">
        <v>8</v>
      </c>
    </row>
    <row r="10" spans="1:14" x14ac:dyDescent="0.25">
      <c r="A10" s="5" t="s">
        <v>41</v>
      </c>
      <c r="B10" s="4" t="s">
        <v>10</v>
      </c>
      <c r="C10" s="23">
        <f>'Total and digestible IAA'!AH10/$C$2</f>
        <v>0.85743801652892571</v>
      </c>
      <c r="D10" s="23">
        <f>'Total and digestible IAA'!AI10/$D$2</f>
        <v>1.2150000000000001</v>
      </c>
      <c r="E10" s="23">
        <f>'Total and digestible IAA'!AJ10/$E$2</f>
        <v>1.0874999999999999</v>
      </c>
      <c r="F10" s="23">
        <f>'Total and digestible IAA'!AK10/$F$2</f>
        <v>1.8308494783904623</v>
      </c>
      <c r="G10" s="23">
        <f>'Total and digestible IAA'!AL10/$G$2</f>
        <v>0.50497159090909094</v>
      </c>
      <c r="H10" s="23">
        <f>'Total and digestible IAA'!AM10/$H$2</f>
        <v>1.7811264822134385</v>
      </c>
      <c r="I10" s="23">
        <f>'Total and digestible IAA'!AN10/$I$2</f>
        <v>1.9853104212860313</v>
      </c>
      <c r="J10" s="23">
        <f>'Total and digestible IAA'!AO10/$J$2</f>
        <v>1.075</v>
      </c>
      <c r="K10" s="23">
        <f>'Total and digestible IAA'!AP10/$K$2</f>
        <v>1.6065340909090911</v>
      </c>
      <c r="L10" s="24">
        <f t="shared" si="0"/>
        <v>50.497159090909093</v>
      </c>
      <c r="M10" s="14" t="s">
        <v>8</v>
      </c>
    </row>
    <row r="11" spans="1:14" x14ac:dyDescent="0.25">
      <c r="A11" s="5" t="s">
        <v>43</v>
      </c>
      <c r="B11" s="4" t="s">
        <v>10</v>
      </c>
      <c r="C11" s="23">
        <f>'Total and digestible IAA'!AH11/$C$2</f>
        <v>0.79051383399209474</v>
      </c>
      <c r="D11" s="23">
        <f>'Total and digestible IAA'!AI11/$D$2</f>
        <v>1.2269565217391303</v>
      </c>
      <c r="E11" s="23">
        <f>'Total and digestible IAA'!AJ11/$E$2</f>
        <v>1.0840579710144926</v>
      </c>
      <c r="F11" s="23">
        <f>'Total and digestible IAA'!AK11/$F$2</f>
        <v>1.8891660727013542</v>
      </c>
      <c r="G11" s="23">
        <f>'Total and digestible IAA'!AL11/$G$2</f>
        <v>0.50724637681159412</v>
      </c>
      <c r="H11" s="23">
        <f>'Total and digestible IAA'!AM11/$H$2</f>
        <v>1.7736294896030245</v>
      </c>
      <c r="I11" s="23">
        <f>'Total and digestible IAA'!AN11/$I$2</f>
        <v>2.0161717921527038</v>
      </c>
      <c r="J11" s="23">
        <f>'Total and digestible IAA'!AO11/$J$2</f>
        <v>1.0874999999999999</v>
      </c>
      <c r="K11" s="23">
        <f>'Total and digestible IAA'!AP11/$K$2</f>
        <v>1.6324728260869565</v>
      </c>
      <c r="L11" s="24">
        <f t="shared" si="0"/>
        <v>50.724637681159415</v>
      </c>
      <c r="M11" s="14" t="s">
        <v>8</v>
      </c>
    </row>
    <row r="12" spans="1:14" x14ac:dyDescent="0.25">
      <c r="A12" s="5" t="s">
        <v>13</v>
      </c>
      <c r="B12" s="4" t="s">
        <v>10</v>
      </c>
      <c r="C12" s="23">
        <f>'Total and digestible IAA'!AH12/$C$2</f>
        <v>0.77852998065764012</v>
      </c>
      <c r="D12" s="23">
        <f>'Total and digestible IAA'!AI12/$D$2</f>
        <v>0.98297872340425529</v>
      </c>
      <c r="E12" s="23">
        <f>'Total and digestible IAA'!AJ12/$E$2</f>
        <v>0.90106382978723398</v>
      </c>
      <c r="F12" s="23">
        <f>'Total and digestible IAA'!AK12/$F$2</f>
        <v>1.4832577607254971</v>
      </c>
      <c r="G12" s="23">
        <f>'Total and digestible IAA'!AL12/$G$2</f>
        <v>0.4521276595744681</v>
      </c>
      <c r="H12" s="23">
        <f>'Total and digestible IAA'!AM12/$H$2</f>
        <v>1.4380203515263645</v>
      </c>
      <c r="I12" s="23">
        <f>'Total and digestible IAA'!AN12/$I$2</f>
        <v>1.6190970420342503</v>
      </c>
      <c r="J12" s="23">
        <f>'Total and digestible IAA'!AO12/$J$2</f>
        <v>0.98297872340425518</v>
      </c>
      <c r="K12" s="23">
        <f>'Total and digestible IAA'!AP12/$K$2</f>
        <v>1.4361702127659575</v>
      </c>
      <c r="L12" s="24">
        <f t="shared" si="0"/>
        <v>45.212765957446813</v>
      </c>
      <c r="M12" s="14" t="s">
        <v>8</v>
      </c>
    </row>
    <row r="13" spans="1:14" x14ac:dyDescent="0.25">
      <c r="A13" s="5" t="s">
        <v>221</v>
      </c>
      <c r="B13" s="4" t="s">
        <v>10</v>
      </c>
      <c r="C13" s="23">
        <f>'Total and digestible IAA'!AH13/$C$2</f>
        <v>0.70707070707070707</v>
      </c>
      <c r="D13" s="23">
        <f>'Total and digestible IAA'!AI13/$D$2</f>
        <v>0.85866666666666658</v>
      </c>
      <c r="E13" s="23">
        <f>'Total and digestible IAA'!AJ13/$E$2</f>
        <v>0.77688888888888874</v>
      </c>
      <c r="F13" s="23">
        <f>'Total and digestible IAA'!AK13/$F$2</f>
        <v>1.3036065573770492</v>
      </c>
      <c r="G13" s="23">
        <f>'Total and digestible IAA'!AL13/$G$2</f>
        <v>0.47916666666666669</v>
      </c>
      <c r="H13" s="23">
        <f>'Total and digestible IAA'!AM13/$H$2</f>
        <v>1.3553623188405799</v>
      </c>
      <c r="I13" s="23">
        <f>'Total and digestible IAA'!AN13/$I$2</f>
        <v>1.2770731707317076</v>
      </c>
      <c r="J13" s="23">
        <f>'Total and digestible IAA'!AO13/$J$2</f>
        <v>0.80000000000000016</v>
      </c>
      <c r="K13" s="23">
        <f>'Total and digestible IAA'!AP13/$K$2</f>
        <v>1.3141666666666667</v>
      </c>
      <c r="L13" s="24">
        <f t="shared" si="0"/>
        <v>47.916666666666671</v>
      </c>
      <c r="M13" s="14" t="s">
        <v>8</v>
      </c>
    </row>
    <row r="14" spans="1:14" x14ac:dyDescent="0.25">
      <c r="A14" s="5" t="s">
        <v>222</v>
      </c>
      <c r="B14" s="4" t="s">
        <v>10</v>
      </c>
      <c r="C14" s="23">
        <f>'Total and digestible IAA'!AH14/$C$2</f>
        <v>0.62844352617079891</v>
      </c>
      <c r="D14" s="23">
        <f>'Total and digestible IAA'!AI14/$D$2</f>
        <v>0.93272727272727263</v>
      </c>
      <c r="E14" s="23">
        <f>'Total and digestible IAA'!AJ14/$E$2</f>
        <v>0.92045454545454541</v>
      </c>
      <c r="F14" s="23">
        <f>'Total and digestible IAA'!AK14/$F$2</f>
        <v>1.6095380029806261</v>
      </c>
      <c r="G14" s="23">
        <f>'Total and digestible IAA'!AL14/$G$2</f>
        <v>0.54237689393939392</v>
      </c>
      <c r="H14" s="23">
        <f>'Total and digestible IAA'!AM14/$H$2</f>
        <v>1.4530632411067195</v>
      </c>
      <c r="I14" s="23">
        <f>'Total and digestible IAA'!AN14/$I$2</f>
        <v>1.5166297117516629</v>
      </c>
      <c r="J14" s="23">
        <f>'Total and digestible IAA'!AO14/$J$2</f>
        <v>0.93181818181818188</v>
      </c>
      <c r="K14" s="23">
        <f>'Total and digestible IAA'!AP14/$K$2</f>
        <v>1.6065340909090911</v>
      </c>
      <c r="L14" s="24">
        <f t="shared" si="0"/>
        <v>54.237689393939391</v>
      </c>
      <c r="M14" s="14" t="s">
        <v>8</v>
      </c>
    </row>
    <row r="15" spans="1:14" x14ac:dyDescent="0.25">
      <c r="A15" s="5" t="s">
        <v>295</v>
      </c>
      <c r="B15" s="4" t="s">
        <v>10</v>
      </c>
      <c r="C15" s="23"/>
      <c r="D15" s="23"/>
      <c r="E15" s="23"/>
      <c r="F15" s="23"/>
      <c r="G15" s="23"/>
      <c r="H15" s="23"/>
      <c r="I15" s="23"/>
      <c r="J15" s="23"/>
      <c r="K15" s="23"/>
      <c r="L15" s="24"/>
      <c r="M15" s="14"/>
    </row>
    <row r="16" spans="1:14" x14ac:dyDescent="0.25">
      <c r="A16" s="5" t="s">
        <v>280</v>
      </c>
      <c r="B16" s="4" t="s">
        <v>10</v>
      </c>
      <c r="C16" s="23"/>
      <c r="D16" s="23"/>
      <c r="E16" s="23"/>
      <c r="F16" s="23"/>
      <c r="G16" s="23"/>
      <c r="H16" s="23"/>
      <c r="I16" s="23"/>
      <c r="J16" s="23"/>
      <c r="K16" s="23"/>
      <c r="L16" s="24"/>
      <c r="M16" s="14"/>
    </row>
    <row r="17" spans="1:13" s="7" customFormat="1" x14ac:dyDescent="0.25">
      <c r="A17" s="4" t="s">
        <v>299</v>
      </c>
      <c r="B17" s="4" t="s">
        <v>10</v>
      </c>
      <c r="C17" s="23">
        <f>'Total and digestible IAA'!AH17/$C$2</f>
        <v>2.453333333333334</v>
      </c>
      <c r="D17" s="23">
        <f>'Total and digestible IAA'!AI17/$D$2</f>
        <v>1.36416</v>
      </c>
      <c r="E17" s="23">
        <f>'Total and digestible IAA'!AJ17/$E$2</f>
        <v>1.3346666666666667</v>
      </c>
      <c r="F17" s="23">
        <f>'Total and digestible IAA'!AK17/$F$2</f>
        <v>1.9572459016393442</v>
      </c>
      <c r="G17" s="23">
        <f>'Total and digestible IAA'!AL17/$G$2</f>
        <v>0.4443333333333333</v>
      </c>
      <c r="H17" s="23">
        <f>'Total and digestible IAA'!AM17/$H$2</f>
        <v>2.1954782608695651</v>
      </c>
      <c r="I17" s="23">
        <f>'Total and digestible IAA'!AN17/$I$2</f>
        <v>1.7689756097560974</v>
      </c>
      <c r="J17" s="23">
        <f>'Total and digestible IAA'!AO17/$J$2</f>
        <v>1.224</v>
      </c>
      <c r="K17" s="23">
        <f>'Total and digestible IAA'!AP17/$K$2</f>
        <v>1.3340000000000001</v>
      </c>
      <c r="L17" s="24">
        <f t="shared" si="0"/>
        <v>44.43333333333333</v>
      </c>
      <c r="M17" s="14" t="s">
        <v>8</v>
      </c>
    </row>
    <row r="18" spans="1:13" s="7" customFormat="1" x14ac:dyDescent="0.25">
      <c r="A18" s="4" t="s">
        <v>300</v>
      </c>
      <c r="B18" s="4" t="s">
        <v>10</v>
      </c>
      <c r="C18" s="23">
        <f>'Total and digestible IAA'!AH18/$C$2</f>
        <v>2.1361502347417844</v>
      </c>
      <c r="D18" s="23">
        <f>'Total and digestible IAA'!AI18/$D$2</f>
        <v>1.1560563380281692</v>
      </c>
      <c r="E18" s="23">
        <f>'Total and digestible IAA'!AJ18/$E$2</f>
        <v>1.2169014084507042</v>
      </c>
      <c r="F18" s="23">
        <f>'Total and digestible IAA'!AK18/$F$2</f>
        <v>1.8205957053798199</v>
      </c>
      <c r="G18" s="23">
        <f>'Total and digestible IAA'!AL18/$G$2</f>
        <v>0.36150234741784049</v>
      </c>
      <c r="H18" s="23">
        <f>'Total and digestible IAA'!AM18/$H$2</f>
        <v>2.0437844458052665</v>
      </c>
      <c r="I18" s="23">
        <f>'Total and digestible IAA'!AN18/$I$2</f>
        <v>1.6296805221573343</v>
      </c>
      <c r="J18" s="23">
        <f>'Total and digestible IAA'!AO18/$J$2</f>
        <v>1.0709507042253521</v>
      </c>
      <c r="K18" s="23">
        <f>'Total and digestible IAA'!AP18/$K$2</f>
        <v>1.118838028169014</v>
      </c>
      <c r="L18" s="24">
        <f t="shared" si="0"/>
        <v>36.150234741784047</v>
      </c>
      <c r="M18" s="14" t="s">
        <v>8</v>
      </c>
    </row>
    <row r="19" spans="1:13" s="7" customFormat="1" x14ac:dyDescent="0.25">
      <c r="A19" s="4" t="s">
        <v>301</v>
      </c>
      <c r="B19" s="4" t="s">
        <v>10</v>
      </c>
      <c r="C19" s="23">
        <f>'Total and digestible IAA'!AH19/$C$2</f>
        <v>1.5530303030303032</v>
      </c>
      <c r="D19" s="23">
        <f>'Total and digestible IAA'!AI19/$D$2</f>
        <v>1.125</v>
      </c>
      <c r="E19" s="23">
        <f>'Total and digestible IAA'!AJ19/$E$2</f>
        <v>1.0591145833333333</v>
      </c>
      <c r="F19" s="23">
        <f>'Total and digestible IAA'!AK19/$F$2</f>
        <v>0.99923155737704916</v>
      </c>
      <c r="G19" s="23">
        <f>'Total and digestible IAA'!AL19/$G$2</f>
        <v>0.68147786458333337</v>
      </c>
      <c r="H19" s="23">
        <f>'Total and digestible IAA'!AM19/$H$2</f>
        <v>1.7900815217391304</v>
      </c>
      <c r="I19" s="23">
        <f>'Total and digestible IAA'!AN19/$I$2</f>
        <v>1.7730564024390243</v>
      </c>
      <c r="J19" s="23">
        <f>'Total and digestible IAA'!AO19/$J$2</f>
        <v>1.0757812499999999</v>
      </c>
      <c r="K19" s="23">
        <f>'Total and digestible IAA'!AP19/$K$2</f>
        <v>1.134765625</v>
      </c>
      <c r="L19" s="24">
        <f t="shared" si="0"/>
        <v>68.147786458333343</v>
      </c>
      <c r="M19" s="14" t="s">
        <v>8</v>
      </c>
    </row>
    <row r="20" spans="1:13" x14ac:dyDescent="0.25">
      <c r="A20" s="4" t="s">
        <v>302</v>
      </c>
      <c r="B20" s="4" t="s">
        <v>10</v>
      </c>
      <c r="C20" s="23">
        <f>'Total and digestible IAA'!AH20/$C$2</f>
        <v>1.3725490196078429</v>
      </c>
      <c r="D20" s="23">
        <f>'Total and digestible IAA'!AI20/$D$2</f>
        <v>0.9882352941176471</v>
      </c>
      <c r="E20" s="23">
        <f>'Total and digestible IAA'!AJ20/$E$2</f>
        <v>0.99346405228758172</v>
      </c>
      <c r="F20" s="23">
        <f>'Total and digestible IAA'!AK20/$F$2</f>
        <v>0.98842815814850526</v>
      </c>
      <c r="G20" s="23">
        <f>'Total and digestible IAA'!AL20/$G$2</f>
        <v>0.65196078431372551</v>
      </c>
      <c r="H20" s="23">
        <f>'Total and digestible IAA'!AM20/$H$2</f>
        <v>1.5456095481670926</v>
      </c>
      <c r="I20" s="23">
        <f>'Total and digestible IAA'!AN20/$I$2</f>
        <v>1.6427546628407466</v>
      </c>
      <c r="J20" s="23">
        <f>'Total and digestible IAA'!AO20/$J$2</f>
        <v>1.0262254901960786</v>
      </c>
      <c r="K20" s="23">
        <f>'Total and digestible IAA'!AP20/$K$2</f>
        <v>1.1458333333333333</v>
      </c>
      <c r="L20" s="24">
        <f t="shared" si="0"/>
        <v>65.196078431372555</v>
      </c>
      <c r="M20" s="14" t="s">
        <v>8</v>
      </c>
    </row>
    <row r="21" spans="1:13" s="7" customFormat="1" x14ac:dyDescent="0.25">
      <c r="A21" s="4" t="s">
        <v>303</v>
      </c>
      <c r="B21" s="4" t="s">
        <v>10</v>
      </c>
      <c r="C21" s="23">
        <f>'Total and digestible IAA'!AH21/$C$2</f>
        <v>1.531986531986532</v>
      </c>
      <c r="D21" s="23">
        <f>'Total and digestible IAA'!AI21/$D$2</f>
        <v>0.97111111111111104</v>
      </c>
      <c r="E21" s="23">
        <f>'Total and digestible IAA'!AJ21/$E$2</f>
        <v>0.99969135802469122</v>
      </c>
      <c r="F21" s="23">
        <f>'Total and digestible IAA'!AK21/$F$2</f>
        <v>0.97131147540983631</v>
      </c>
      <c r="G21" s="23">
        <f>'Total and digestible IAA'!AL21/$G$2</f>
        <v>0.63368055555555558</v>
      </c>
      <c r="H21" s="23">
        <f>'Total and digestible IAA'!AM21/$H$2</f>
        <v>1.7294685990338166</v>
      </c>
      <c r="I21" s="23">
        <f>'Total and digestible IAA'!AN21/$I$2</f>
        <v>1.7109304426377598</v>
      </c>
      <c r="J21" s="23">
        <f>'Total and digestible IAA'!AO21/$J$2</f>
        <v>1.0159722222222223</v>
      </c>
      <c r="K21" s="23">
        <f>'Total and digestible IAA'!AP21/$K$2</f>
        <v>1.1047453703703702</v>
      </c>
      <c r="L21" s="24">
        <f t="shared" si="0"/>
        <v>63.368055555555557</v>
      </c>
      <c r="M21" s="14" t="s">
        <v>8</v>
      </c>
    </row>
    <row r="22" spans="1:13" s="7" customFormat="1" x14ac:dyDescent="0.25">
      <c r="A22" s="4" t="s">
        <v>45</v>
      </c>
      <c r="B22" s="4" t="s">
        <v>10</v>
      </c>
      <c r="C22" s="23">
        <f>'Total and digestible IAA'!AH22/$C$2</f>
        <v>1.531986531986532</v>
      </c>
      <c r="D22" s="23">
        <f>'Total and digestible IAA'!AI22/$D$2</f>
        <v>0.97111111111111104</v>
      </c>
      <c r="E22" s="23">
        <f>'Total and digestible IAA'!AJ22/$E$2</f>
        <v>0.99969135802469122</v>
      </c>
      <c r="F22" s="23">
        <f>'Total and digestible IAA'!AK22/$F$2</f>
        <v>0.97131147540983631</v>
      </c>
      <c r="G22" s="23">
        <f>'Total and digestible IAA'!AL22/$G$2</f>
        <v>0.63368055555555558</v>
      </c>
      <c r="H22" s="23">
        <f>'Total and digestible IAA'!AM22/$H$2</f>
        <v>1.7294685990338166</v>
      </c>
      <c r="I22" s="23">
        <f>'Total and digestible IAA'!AN22/$I$2</f>
        <v>1.812104787714544</v>
      </c>
      <c r="J22" s="23">
        <f>'Total and digestible IAA'!AO22/$J$2</f>
        <v>1.0159722222222223</v>
      </c>
      <c r="K22" s="23">
        <f>'Total and digestible IAA'!AP22/$K$2</f>
        <v>1.1047453703703702</v>
      </c>
      <c r="L22" s="24">
        <f t="shared" si="0"/>
        <v>63.368055555555557</v>
      </c>
      <c r="M22" s="14" t="s">
        <v>8</v>
      </c>
    </row>
    <row r="23" spans="1:13" x14ac:dyDescent="0.25">
      <c r="A23" s="5" t="s">
        <v>223</v>
      </c>
      <c r="B23" s="4" t="s">
        <v>10</v>
      </c>
      <c r="C23" s="23">
        <f>'Total and digestible IAA'!AH23/$C$2</f>
        <v>0.94841545223224621</v>
      </c>
      <c r="D23" s="23">
        <f>'Total and digestible IAA'!AI23/$D$2</f>
        <v>1.0635114503816794</v>
      </c>
      <c r="E23" s="23">
        <f>'Total and digestible IAA'!AJ23/$E$2</f>
        <v>1.1290076335877861</v>
      </c>
      <c r="F23" s="23">
        <f>'Total and digestible IAA'!AK23/$F$2</f>
        <v>1.0669503191089977</v>
      </c>
      <c r="G23" s="23">
        <f>'Total and digestible IAA'!AL23/$G$2</f>
        <v>0.77958015267175584</v>
      </c>
      <c r="H23" s="23">
        <f>'Total and digestible IAA'!AM23/$H$2</f>
        <v>1.7092598738798543</v>
      </c>
      <c r="I23" s="23">
        <f>'Total and digestible IAA'!AN23/$I$2</f>
        <v>1.6544405138707872</v>
      </c>
      <c r="J23" s="23">
        <f>'Total and digestible IAA'!AO23/$J$2</f>
        <v>1.1517175572519081</v>
      </c>
      <c r="K23" s="23">
        <f>'Total and digestible IAA'!AP23/$K$2</f>
        <v>1.3435114503816796</v>
      </c>
      <c r="L23" s="24">
        <f t="shared" si="0"/>
        <v>77.958015267175583</v>
      </c>
      <c r="M23" s="14" t="s">
        <v>8</v>
      </c>
    </row>
    <row r="24" spans="1:13" x14ac:dyDescent="0.25">
      <c r="A24" s="5" t="s">
        <v>14</v>
      </c>
      <c r="B24" s="4" t="s">
        <v>10</v>
      </c>
      <c r="C24" s="23">
        <f>'Total and digestible IAA'!AH24/$C$2</f>
        <v>1.555944055944056</v>
      </c>
      <c r="D24" s="23">
        <f>'Total and digestible IAA'!AI24/$D$2</f>
        <v>1.2194871794871793</v>
      </c>
      <c r="E24" s="23">
        <f>'Total and digestible IAA'!AJ24/$E$2</f>
        <v>0.9294871794871794</v>
      </c>
      <c r="F24" s="23">
        <f>'Total and digestible IAA'!AK24/$F$2</f>
        <v>0.97036569987389676</v>
      </c>
      <c r="G24" s="23">
        <f>'Total and digestible IAA'!AL24/$G$2</f>
        <v>0.81089743589743579</v>
      </c>
      <c r="H24" s="23">
        <f>'Total and digestible IAA'!AM24/$H$2</f>
        <v>1.6861761426978823</v>
      </c>
      <c r="I24" s="23">
        <f>'Total and digestible IAA'!AN24/$I$2</f>
        <v>1.6619762351469671</v>
      </c>
      <c r="J24" s="23">
        <f>'Total and digestible IAA'!AO24/$J$2</f>
        <v>1.2128205128205127</v>
      </c>
      <c r="K24" s="23">
        <f>'Total and digestible IAA'!AP24/$K$2</f>
        <v>1.6658653846153848</v>
      </c>
      <c r="L24" s="24">
        <f t="shared" si="0"/>
        <v>81.089743589743577</v>
      </c>
      <c r="M24" s="14" t="s">
        <v>8</v>
      </c>
    </row>
    <row r="25" spans="1:13" s="7" customFormat="1" x14ac:dyDescent="0.25">
      <c r="A25" s="4" t="s">
        <v>304</v>
      </c>
      <c r="B25" s="4" t="s">
        <v>10</v>
      </c>
      <c r="C25" s="23">
        <f>'Total and digestible IAA'!AH25/$C$2</f>
        <v>2.2077922077922079</v>
      </c>
      <c r="D25" s="23">
        <f>'Total and digestible IAA'!AI25/$D$2</f>
        <v>1.2159999999999997</v>
      </c>
      <c r="E25" s="23">
        <f>'Total and digestible IAA'!AJ25/$E$2</f>
        <v>1.2831746031746032</v>
      </c>
      <c r="F25" s="23">
        <f>'Total and digestible IAA'!AK25/$F$2</f>
        <v>1.1540983606557378</v>
      </c>
      <c r="G25" s="23">
        <f>'Total and digestible IAA'!AL25/$G$2</f>
        <v>0.66547619047619044</v>
      </c>
      <c r="H25" s="23">
        <f>'Total and digestible IAA'!AM25/$H$2</f>
        <v>1.4828157349896478</v>
      </c>
      <c r="I25" s="23">
        <f>'Total and digestible IAA'!AN25/$I$2</f>
        <v>2.0364692218350759</v>
      </c>
      <c r="J25" s="23">
        <f>'Total and digestible IAA'!AO25/$J$2</f>
        <v>1.249047619047619</v>
      </c>
      <c r="K25" s="23">
        <f>'Total and digestible IAA'!AP25/$K$2</f>
        <v>1.2571428571428573</v>
      </c>
      <c r="L25" s="24">
        <f t="shared" si="0"/>
        <v>66.547619047619051</v>
      </c>
      <c r="M25" s="14" t="s">
        <v>8</v>
      </c>
    </row>
    <row r="26" spans="1:13" s="7" customFormat="1" x14ac:dyDescent="0.25">
      <c r="A26" s="4" t="s">
        <v>46</v>
      </c>
      <c r="B26" s="4" t="s">
        <v>10</v>
      </c>
      <c r="C26" s="23">
        <f>'Total and digestible IAA'!AH26/$C$2</f>
        <v>2.0320855614973263</v>
      </c>
      <c r="D26" s="23">
        <f>'Total and digestible IAA'!AI26/$D$2</f>
        <v>1.0941176470588236</v>
      </c>
      <c r="E26" s="23">
        <f>'Total and digestible IAA'!AJ26/$E$2</f>
        <v>1.192156862745098</v>
      </c>
      <c r="F26" s="23">
        <f>'Total and digestible IAA'!AK26/$F$2</f>
        <v>1.0595949855351976</v>
      </c>
      <c r="G26" s="23">
        <f>'Total and digestible IAA'!AL26/$G$2</f>
        <v>0.58823529411764708</v>
      </c>
      <c r="H26" s="23">
        <f>'Total and digestible IAA'!AM26/$H$2</f>
        <v>1.4890025575447567</v>
      </c>
      <c r="I26" s="23">
        <f>'Total and digestible IAA'!AN26/$I$2</f>
        <v>1.8608321377331418</v>
      </c>
      <c r="J26" s="23">
        <f>'Total and digestible IAA'!AO26/$J$2</f>
        <v>1.1470588235294117</v>
      </c>
      <c r="K26" s="23">
        <f>'Total and digestible IAA'!AP26/$K$2</f>
        <v>1.1176470588235294</v>
      </c>
      <c r="L26" s="24">
        <f t="shared" si="0"/>
        <v>58.82352941176471</v>
      </c>
      <c r="M26" s="14" t="s">
        <v>8</v>
      </c>
    </row>
    <row r="27" spans="1:13" s="7" customFormat="1" x14ac:dyDescent="0.25">
      <c r="A27" s="4" t="s">
        <v>47</v>
      </c>
      <c r="B27" s="4" t="s">
        <v>10</v>
      </c>
      <c r="C27" s="23">
        <f>'Total and digestible IAA'!AH27/$C$2</f>
        <v>2.5032938076416338</v>
      </c>
      <c r="D27" s="23">
        <f>'Total and digestible IAA'!AI27/$D$2</f>
        <v>1.3486956521739129</v>
      </c>
      <c r="E27" s="23">
        <f>'Total and digestible IAA'!AJ27/$E$2</f>
        <v>1.3963768115942028</v>
      </c>
      <c r="F27" s="23">
        <f>'Total and digestible IAA'!AK27/$F$2</f>
        <v>1.2357448325017819</v>
      </c>
      <c r="G27" s="23">
        <f>'Total and digestible IAA'!AL27/$G$2</f>
        <v>0.74501811594202916</v>
      </c>
      <c r="H27" s="23">
        <f>'Total and digestible IAA'!AM27/$H$2</f>
        <v>1.6880907372400757</v>
      </c>
      <c r="I27" s="23">
        <f>'Total and digestible IAA'!AN27/$I$2</f>
        <v>2.0190880169671264</v>
      </c>
      <c r="J27" s="23">
        <f>'Total and digestible IAA'!AO27/$J$2</f>
        <v>1.3940217391304348</v>
      </c>
      <c r="K27" s="23">
        <f>'Total and digestible IAA'!AP27/$K$2</f>
        <v>1.3410326086956521</v>
      </c>
      <c r="L27" s="24">
        <f t="shared" si="0"/>
        <v>74.50181159420292</v>
      </c>
      <c r="M27" s="14" t="s">
        <v>8</v>
      </c>
    </row>
    <row r="28" spans="1:13" x14ac:dyDescent="0.25">
      <c r="A28" s="5" t="s">
        <v>224</v>
      </c>
      <c r="B28" s="4" t="s">
        <v>10</v>
      </c>
      <c r="C28" s="23">
        <f>'Total and digestible IAA'!AH28/$C$2</f>
        <v>1.1195286195286196</v>
      </c>
      <c r="D28" s="23">
        <f>'Total and digestible IAA'!AI28/$D$2</f>
        <v>1.0920000000000001</v>
      </c>
      <c r="E28" s="23">
        <f>'Total and digestible IAA'!AJ28/$E$2</f>
        <v>1.1925925925925929</v>
      </c>
      <c r="F28" s="23">
        <f>'Total and digestible IAA'!AK28/$F$2</f>
        <v>1.1300546448087432</v>
      </c>
      <c r="G28" s="23">
        <f>'Total and digestible IAA'!AL28/$G$2</f>
        <v>0.63888888888888895</v>
      </c>
      <c r="H28" s="23">
        <f>'Total and digestible IAA'!AM28/$H$2</f>
        <v>1.8265700483091789</v>
      </c>
      <c r="I28" s="23">
        <f>'Total and digestible IAA'!AN28/$I$2</f>
        <v>1.6547425474254744</v>
      </c>
      <c r="J28" s="23">
        <f>'Total and digestible IAA'!AO28/$J$2</f>
        <v>1.2794444444444442</v>
      </c>
      <c r="K28" s="23">
        <f>'Total and digestible IAA'!AP28/$K$2</f>
        <v>1.3270833333333336</v>
      </c>
      <c r="L28" s="24">
        <f t="shared" si="0"/>
        <v>63.888888888888893</v>
      </c>
      <c r="M28" s="14" t="s">
        <v>8</v>
      </c>
    </row>
    <row r="29" spans="1:13" x14ac:dyDescent="0.25">
      <c r="A29" s="5" t="s">
        <v>294</v>
      </c>
      <c r="B29" s="4" t="s">
        <v>10</v>
      </c>
      <c r="C29" s="23">
        <f>'Total and digestible IAA'!AH29/$C$2</f>
        <v>1.2205975842339478</v>
      </c>
      <c r="D29" s="23">
        <f>'Total and digestible IAA'!AI29/$D$2</f>
        <v>0.94881118881118864</v>
      </c>
      <c r="E29" s="23">
        <f>'Total and digestible IAA'!AJ29/$E$2</f>
        <v>0.82773892773892777</v>
      </c>
      <c r="F29" s="23">
        <f>'Total and digestible IAA'!AK29/$F$2</f>
        <v>0.79880774962742185</v>
      </c>
      <c r="G29" s="23">
        <f>'Total and digestible IAA'!AL29/$G$2</f>
        <v>0.60314685314685301</v>
      </c>
      <c r="H29" s="23">
        <f>'Total and digestible IAA'!AM29/$H$2</f>
        <v>1.2785041045910612</v>
      </c>
      <c r="I29" s="23">
        <f>'Total and digestible IAA'!AN29/$I$2</f>
        <v>1.4373187787821933</v>
      </c>
      <c r="J29" s="23">
        <f>'Total and digestible IAA'!AO29/$J$2</f>
        <v>0.91153846153846152</v>
      </c>
      <c r="K29" s="23">
        <f>'Total and digestible IAA'!AP29/$K$2</f>
        <v>1.3125</v>
      </c>
      <c r="L29" s="24">
        <f t="shared" si="0"/>
        <v>60.314685314685299</v>
      </c>
      <c r="M29" s="14" t="s">
        <v>8</v>
      </c>
    </row>
    <row r="30" spans="1:13" s="7" customFormat="1" x14ac:dyDescent="0.25">
      <c r="A30" s="4" t="s">
        <v>48</v>
      </c>
      <c r="B30" s="4" t="s">
        <v>10</v>
      </c>
      <c r="C30" s="23">
        <f>'Total and digestible IAA'!AH30/$C$2</f>
        <v>1.057513914656772</v>
      </c>
      <c r="D30" s="23">
        <f>'Total and digestible IAA'!AI30/$D$2</f>
        <v>0.98530612244897953</v>
      </c>
      <c r="E30" s="23">
        <f>'Total and digestible IAA'!AJ30/$E$2</f>
        <v>0.89047619047619053</v>
      </c>
      <c r="F30" s="23">
        <f>'Total and digestible IAA'!AK30/$F$2</f>
        <v>0.78287052525928402</v>
      </c>
      <c r="G30" s="23">
        <f>'Total and digestible IAA'!AL30/$G$2</f>
        <v>0.59693877551020413</v>
      </c>
      <c r="H30" s="23">
        <f>'Total and digestible IAA'!AM30/$H$2</f>
        <v>1.432120674356699</v>
      </c>
      <c r="I30" s="23">
        <f>'Total and digestible IAA'!AN30/$I$2</f>
        <v>1.3566450970632156</v>
      </c>
      <c r="J30" s="23">
        <f>'Total and digestible IAA'!AO30/$J$2</f>
        <v>0.91836734693877542</v>
      </c>
      <c r="K30" s="23">
        <f>'Total and digestible IAA'!AP30/$K$2</f>
        <v>1.0580357142857144</v>
      </c>
      <c r="L30" s="24">
        <f t="shared" si="0"/>
        <v>59.693877551020414</v>
      </c>
      <c r="M30" s="14" t="s">
        <v>8</v>
      </c>
    </row>
    <row r="31" spans="1:13" x14ac:dyDescent="0.25">
      <c r="A31" s="5" t="s">
        <v>225</v>
      </c>
      <c r="B31" s="4" t="s">
        <v>10</v>
      </c>
      <c r="C31" s="23">
        <f>'Total and digestible IAA'!AH31/$C$2</f>
        <v>0.84522915101427509</v>
      </c>
      <c r="D31" s="23">
        <f>'Total and digestible IAA'!AI31/$D$2</f>
        <v>0.69818181818181824</v>
      </c>
      <c r="E31" s="23">
        <f>'Total and digestible IAA'!AJ31/$E$2</f>
        <v>0.75371900826446281</v>
      </c>
      <c r="F31" s="23">
        <f>'Total and digestible IAA'!AK31/$F$2</f>
        <v>0.67172469855033201</v>
      </c>
      <c r="G31" s="23">
        <f>'Total and digestible IAA'!AL31/$G$2</f>
        <v>0.47296831955922869</v>
      </c>
      <c r="H31" s="23">
        <f>'Total and digestible IAA'!AM31/$H$2</f>
        <v>1.0894717930291054</v>
      </c>
      <c r="I31" s="23">
        <f>'Total and digestible IAA'!AN31/$I$2</f>
        <v>1.0729691594436608</v>
      </c>
      <c r="J31" s="23">
        <f>'Total and digestible IAA'!AO31/$J$2</f>
        <v>0.74814049586776843</v>
      </c>
      <c r="K31" s="23">
        <f>'Total and digestible IAA'!AP31/$K$2</f>
        <v>1.0340909090909092</v>
      </c>
      <c r="L31" s="24">
        <f t="shared" si="0"/>
        <v>47.296831955922869</v>
      </c>
      <c r="M31" s="14" t="s">
        <v>8</v>
      </c>
    </row>
    <row r="32" spans="1:13" s="4" customFormat="1" x14ac:dyDescent="0.25">
      <c r="A32" s="4" t="s">
        <v>243</v>
      </c>
      <c r="B32" s="4" t="s">
        <v>10</v>
      </c>
      <c r="C32" s="23">
        <f>'Total and digestible IAA'!AH32/$C$2</f>
        <v>3.8044564131520664</v>
      </c>
      <c r="D32" s="23">
        <f>'Total and digestible IAA'!AI32/$D$2</f>
        <v>0.82725274725274711</v>
      </c>
      <c r="E32" s="23">
        <f>'Total and digestible IAA'!AJ32/$E$2</f>
        <v>1.1631788501353717</v>
      </c>
      <c r="F32" s="23">
        <f>'Total and digestible IAA'!AK32/$F$2</f>
        <v>1.072176576096747</v>
      </c>
      <c r="G32" s="23">
        <f>'Total and digestible IAA'!AL32/$G$2</f>
        <v>0.28231008122312468</v>
      </c>
      <c r="H32" s="23">
        <f>'Total and digestible IAA'!AM32/$H$2</f>
        <v>1.6149483786534826</v>
      </c>
      <c r="I32" s="23">
        <f>'Total and digestible IAA'!AN32/$I$2</f>
        <v>1.7381166023795926</v>
      </c>
      <c r="J32" s="23">
        <f>'Total and digestible IAA'!AO32/$J$2</f>
        <v>0.90186335403726703</v>
      </c>
      <c r="K32" s="23">
        <f>'Total and digestible IAA'!AP32/$K$2</f>
        <v>1.3417343526039176</v>
      </c>
      <c r="L32" s="24">
        <f t="shared" si="0"/>
        <v>28.231008122312467</v>
      </c>
      <c r="M32" s="14" t="s">
        <v>8</v>
      </c>
    </row>
    <row r="33" spans="1:13" s="7" customFormat="1" x14ac:dyDescent="0.25">
      <c r="A33" s="4" t="s">
        <v>305</v>
      </c>
      <c r="B33" s="4" t="s">
        <v>10</v>
      </c>
      <c r="C33" s="23">
        <f>'Total and digestible IAA'!AH33/$C$2</f>
        <v>1.2421383647798743</v>
      </c>
      <c r="D33" s="23">
        <f>'Total and digestible IAA'!AI33/$D$2</f>
        <v>1.0037735849056606</v>
      </c>
      <c r="E33" s="23">
        <f>'Total and digestible IAA'!AJ33/$E$2</f>
        <v>1.1745283018867922</v>
      </c>
      <c r="F33" s="23">
        <f>'Total and digestible IAA'!AK33/$F$2</f>
        <v>1.9152489947417259</v>
      </c>
      <c r="G33" s="23">
        <f>'Total and digestible IAA'!AL33/$G$2</f>
        <v>0.36360062893081757</v>
      </c>
      <c r="H33" s="23">
        <f>'Total and digestible IAA'!AM33/$H$2</f>
        <v>1.2592288761279737</v>
      </c>
      <c r="I33" s="23">
        <f>'Total and digestible IAA'!AN33/$I$2</f>
        <v>1.9558214450069027</v>
      </c>
      <c r="J33" s="23">
        <f>'Total and digestible IAA'!AO33/$J$2</f>
        <v>1.1080188679245284</v>
      </c>
      <c r="K33" s="23">
        <f>'Total and digestible IAA'!AP33/$K$2</f>
        <v>1.1037735849056602</v>
      </c>
      <c r="L33" s="24">
        <f t="shared" si="0"/>
        <v>36.360062893081761</v>
      </c>
      <c r="M33" s="14" t="s">
        <v>8</v>
      </c>
    </row>
    <row r="34" spans="1:13" x14ac:dyDescent="0.25">
      <c r="A34" s="5" t="s">
        <v>305</v>
      </c>
      <c r="B34" s="4" t="s">
        <v>10</v>
      </c>
      <c r="C34" s="23">
        <f>'Total and digestible IAA'!AH34/$C$2</f>
        <v>1.5151515151515151</v>
      </c>
      <c r="D34" s="23">
        <f>'Total and digestible IAA'!AI34/$D$2</f>
        <v>1.1200000000000001</v>
      </c>
      <c r="E34" s="23">
        <f>'Total and digestible IAA'!AJ34/$E$2</f>
        <v>1.1666666666666665</v>
      </c>
      <c r="F34" s="23">
        <f>'Total and digestible IAA'!AK34/$F$2</f>
        <v>1.8737516487657813</v>
      </c>
      <c r="G34" s="23">
        <f>'Total and digestible IAA'!AL34/$G$2</f>
        <v>0.39727011494252878</v>
      </c>
      <c r="H34" s="23">
        <f>'Total and digestible IAA'!AM34/$H$2</f>
        <v>1.3193403298350828</v>
      </c>
      <c r="I34" s="23">
        <f>'Total and digestible IAA'!AN34/$I$2</f>
        <v>1.9579478553406222</v>
      </c>
      <c r="J34" s="23">
        <f>'Total and digestible IAA'!AO34/$J$2</f>
        <v>1.0626436781609194</v>
      </c>
      <c r="K34" s="23">
        <f>'Total and digestible IAA'!AP34/$K$2</f>
        <v>1.2219827586206899</v>
      </c>
      <c r="L34" s="24">
        <f t="shared" si="0"/>
        <v>39.727011494252878</v>
      </c>
      <c r="M34" s="14" t="s">
        <v>8</v>
      </c>
    </row>
    <row r="35" spans="1:13" x14ac:dyDescent="0.25">
      <c r="A35" s="5" t="s">
        <v>226</v>
      </c>
      <c r="B35" s="4" t="s">
        <v>10</v>
      </c>
      <c r="C35" s="23">
        <f>'Total and digestible IAA'!AH35/$C$2</f>
        <v>0.56431663574520718</v>
      </c>
      <c r="D35" s="23">
        <f>'Total and digestible IAA'!AI35/$D$2</f>
        <v>0.80489795918367346</v>
      </c>
      <c r="E35" s="23">
        <f>'Total and digestible IAA'!AJ35/$E$2</f>
        <v>0.93129251700680271</v>
      </c>
      <c r="F35" s="23">
        <f>'Total and digestible IAA'!AK35/$F$2</f>
        <v>1.5764469722315158</v>
      </c>
      <c r="G35" s="23">
        <f>'Total and digestible IAA'!AL35/$G$2</f>
        <v>0.29336734693877548</v>
      </c>
      <c r="H35" s="23">
        <f>'Total and digestible IAA'!AM35/$H$2</f>
        <v>0.96495119787045247</v>
      </c>
      <c r="I35" s="23">
        <f>'Total and digestible IAA'!AN35/$I$2</f>
        <v>1.4191139870582379</v>
      </c>
      <c r="J35" s="23">
        <f>'Total and digestible IAA'!AO35/$J$2</f>
        <v>0.85663265306122438</v>
      </c>
      <c r="K35" s="23">
        <f>'Total and digestible IAA'!AP35/$K$2</f>
        <v>1.0382653061224489</v>
      </c>
      <c r="L35" s="24">
        <f t="shared" si="0"/>
        <v>29.336734693877549</v>
      </c>
      <c r="M35" s="14" t="s">
        <v>8</v>
      </c>
    </row>
    <row r="36" spans="1:13" s="7" customFormat="1" x14ac:dyDescent="0.25">
      <c r="A36" s="4" t="s">
        <v>306</v>
      </c>
      <c r="B36" s="4" t="s">
        <v>10</v>
      </c>
      <c r="C36" s="23">
        <f>'Total and digestible IAA'!AH36/$C$2</f>
        <v>1.6231884057971013</v>
      </c>
      <c r="D36" s="23">
        <f>'Total and digestible IAA'!AI36/$D$2</f>
        <v>1.0838260869565217</v>
      </c>
      <c r="E36" s="23">
        <f>'Total and digestible IAA'!AJ36/$E$2</f>
        <v>1.1095652173913042</v>
      </c>
      <c r="F36" s="23">
        <f>'Total and digestible IAA'!AK36/$F$2</f>
        <v>0.91575196008553095</v>
      </c>
      <c r="G36" s="23">
        <f>'Total and digestible IAA'!AL36/$G$2</f>
        <v>0.67663043478260854</v>
      </c>
      <c r="H36" s="23">
        <f>'Total and digestible IAA'!AM36/$H$2</f>
        <v>1.7126654064272211</v>
      </c>
      <c r="I36" s="23">
        <f>'Total and digestible IAA'!AN36/$I$2</f>
        <v>1.6224814422057263</v>
      </c>
      <c r="J36" s="23">
        <f>'Total and digestible IAA'!AO36/$J$2</f>
        <v>1.0282608695652173</v>
      </c>
      <c r="K36" s="23">
        <f>'Total and digestible IAA'!AP36/$K$2</f>
        <v>1.3059782608695654</v>
      </c>
      <c r="L36" s="24">
        <f t="shared" si="0"/>
        <v>67.66304347826086</v>
      </c>
      <c r="M36" s="14" t="s">
        <v>8</v>
      </c>
    </row>
    <row r="37" spans="1:13" s="7" customFormat="1" x14ac:dyDescent="0.25">
      <c r="A37" s="4" t="s">
        <v>49</v>
      </c>
      <c r="B37" s="4" t="s">
        <v>10</v>
      </c>
      <c r="C37" s="23">
        <f>'Total and digestible IAA'!AH37/$C$2</f>
        <v>1.4634146341463414</v>
      </c>
      <c r="D37" s="23">
        <f>'Total and digestible IAA'!AI37/$D$2</f>
        <v>0.9717073170731706</v>
      </c>
      <c r="E37" s="23">
        <f>'Total and digestible IAA'!AJ37/$E$2</f>
        <v>1.0672764227642275</v>
      </c>
      <c r="F37" s="23">
        <f>'Total and digestible IAA'!AK37/$F$2</f>
        <v>0.99860055977608952</v>
      </c>
      <c r="G37" s="23">
        <f>'Total and digestible IAA'!AL37/$G$2</f>
        <v>0.44245426829268292</v>
      </c>
      <c r="H37" s="23">
        <f>'Total and digestible IAA'!AM37/$H$2</f>
        <v>1.4819724284199365</v>
      </c>
      <c r="I37" s="23">
        <f>'Total and digestible IAA'!AN37/$I$2</f>
        <v>1.7787031528851875</v>
      </c>
      <c r="J37" s="23">
        <f>'Total and digestible IAA'!AO37/$J$2</f>
        <v>0.93079268292682915</v>
      </c>
      <c r="K37" s="23">
        <f>'Total and digestible IAA'!AP37/$K$2</f>
        <v>1.2690548780487805</v>
      </c>
      <c r="L37" s="24">
        <f t="shared" si="0"/>
        <v>44.24542682926829</v>
      </c>
      <c r="M37" s="14" t="s">
        <v>8</v>
      </c>
    </row>
    <row r="38" spans="1:13" s="7" customFormat="1" x14ac:dyDescent="0.25">
      <c r="A38" s="4" t="s">
        <v>50</v>
      </c>
      <c r="B38" s="4" t="s">
        <v>10</v>
      </c>
      <c r="C38" s="23">
        <f>'Total and digestible IAA'!AH38/$C$2</f>
        <v>1.5873015873015877</v>
      </c>
      <c r="D38" s="23">
        <f>'Total and digestible IAA'!AI38/$D$2</f>
        <v>1.0012698412698413</v>
      </c>
      <c r="E38" s="23">
        <f>'Total and digestible IAA'!AJ38/$E$2</f>
        <v>1.0595238095238095</v>
      </c>
      <c r="F38" s="23">
        <f>'Total and digestible IAA'!AK38/$F$2</f>
        <v>0.99531615925058547</v>
      </c>
      <c r="G38" s="23">
        <f>'Total and digestible IAA'!AL38/$G$2</f>
        <v>0.48214285714285721</v>
      </c>
      <c r="H38" s="23">
        <f>'Total and digestible IAA'!AM38/$H$2</f>
        <v>1.5876466528640441</v>
      </c>
      <c r="I38" s="23">
        <f>'Total and digestible IAA'!AN38/$I$2</f>
        <v>1.7187379016647315</v>
      </c>
      <c r="J38" s="23">
        <f>'Total and digestible IAA'!AO38/$J$2</f>
        <v>0.95555555555555549</v>
      </c>
      <c r="K38" s="23">
        <f>'Total and digestible IAA'!AP38/$K$2</f>
        <v>1.294642857142857</v>
      </c>
      <c r="L38" s="24">
        <f t="shared" si="0"/>
        <v>48.214285714285722</v>
      </c>
      <c r="M38" s="14" t="s">
        <v>8</v>
      </c>
    </row>
    <row r="39" spans="1:13" x14ac:dyDescent="0.25">
      <c r="A39" s="5" t="s">
        <v>18</v>
      </c>
      <c r="B39" s="4" t="s">
        <v>10</v>
      </c>
      <c r="C39" s="23">
        <f>'Total and digestible IAA'!AH39/$C$2</f>
        <v>1.9264069264069266</v>
      </c>
      <c r="D39" s="23">
        <f>'Total and digestible IAA'!AI39/$D$2</f>
        <v>1.1392207792207791</v>
      </c>
      <c r="E39" s="23">
        <f>'Total and digestible IAA'!AJ39/$E$2</f>
        <v>0.95454545454545459</v>
      </c>
      <c r="F39" s="23">
        <f>'Total and digestible IAA'!AK39/$F$2</f>
        <v>0.92026825633383014</v>
      </c>
      <c r="G39" s="23">
        <f>'Total and digestible IAA'!AL39/$G$2</f>
        <v>0.71793831168831168</v>
      </c>
      <c r="H39" s="23">
        <f>'Total and digestible IAA'!AM39/$H$2</f>
        <v>1.4121964991530209</v>
      </c>
      <c r="I39" s="23">
        <f>'Total and digestible IAA'!AN39/$I$2</f>
        <v>1.5155210643015518</v>
      </c>
      <c r="J39" s="23">
        <f>'Total and digestible IAA'!AO39/$J$2</f>
        <v>1.051948051948052</v>
      </c>
      <c r="K39" s="23">
        <f>'Total and digestible IAA'!AP39/$K$2</f>
        <v>1.551136363636364</v>
      </c>
      <c r="L39" s="24">
        <f t="shared" si="0"/>
        <v>71.793831168831161</v>
      </c>
      <c r="M39" s="14" t="s">
        <v>8</v>
      </c>
    </row>
    <row r="40" spans="1:13" x14ac:dyDescent="0.25">
      <c r="A40" s="5" t="s">
        <v>227</v>
      </c>
      <c r="B40" s="4" t="s">
        <v>10</v>
      </c>
      <c r="C40" s="23">
        <f>'Total and digestible IAA'!AH40/$C$2</f>
        <v>1.3903743315508024</v>
      </c>
      <c r="D40" s="23">
        <f>'Total and digestible IAA'!AI40/$D$2</f>
        <v>0.69915966386554618</v>
      </c>
      <c r="E40" s="23">
        <f>'Total and digestible IAA'!AJ40/$E$2</f>
        <v>0.86302521008403366</v>
      </c>
      <c r="F40" s="23">
        <f>'Total and digestible IAA'!AK40/$F$2</f>
        <v>0.81457501033200164</v>
      </c>
      <c r="G40" s="23">
        <f>'Total and digestible IAA'!AL40/$G$2</f>
        <v>0.43452380952380948</v>
      </c>
      <c r="H40" s="23">
        <f>'Total and digestible IAA'!AM40/$H$2</f>
        <v>1.3481914504932406</v>
      </c>
      <c r="I40" s="23">
        <f>'Total and digestible IAA'!AN40/$I$2</f>
        <v>1.2531256405001026</v>
      </c>
      <c r="J40" s="23">
        <f>'Total and digestible IAA'!AO40/$J$2</f>
        <v>0.7720588235294118</v>
      </c>
      <c r="K40" s="23">
        <f>'Total and digestible IAA'!AP40/$K$2</f>
        <v>1.1029411764705883</v>
      </c>
      <c r="L40" s="24">
        <f t="shared" si="0"/>
        <v>43.452380952380949</v>
      </c>
      <c r="M40" s="14" t="s">
        <v>8</v>
      </c>
    </row>
    <row r="41" spans="1:13" s="4" customFormat="1" x14ac:dyDescent="0.25">
      <c r="A41" s="4" t="s">
        <v>257</v>
      </c>
      <c r="B41" s="4" t="s">
        <v>10</v>
      </c>
      <c r="C41" s="23">
        <f>'Total and digestible IAA'!AH41/$C$2</f>
        <v>0.1334030303030303</v>
      </c>
      <c r="D41" s="23">
        <f>'Total and digestible IAA'!AI41/$D$2</f>
        <v>0.84519600000000006</v>
      </c>
      <c r="E41" s="23">
        <f>'Total and digestible IAA'!AJ41/$E$2</f>
        <v>1.0891333333333333</v>
      </c>
      <c r="F41" s="23">
        <f>'Total and digestible IAA'!AK41/$F$2</f>
        <v>2.4376557377049179</v>
      </c>
      <c r="G41" s="23">
        <f>'Total and digestible IAA'!AL41/$G$2</f>
        <v>5.2408333333333335E-3</v>
      </c>
      <c r="H41" s="23">
        <f>'Total and digestible IAA'!AM41/$H$2</f>
        <v>0.8526086956521739</v>
      </c>
      <c r="I41" s="23">
        <f>'Total and digestible IAA'!AN41/$I$2</f>
        <v>2.093321951219512</v>
      </c>
      <c r="J41" s="23">
        <f>'Total and digestible IAA'!AO41/$J$2</f>
        <v>0.7254600000000001</v>
      </c>
      <c r="K41" s="23">
        <f>'Total and digestible IAA'!AP41/$K$2</f>
        <v>0.58691250000000006</v>
      </c>
      <c r="L41" s="24">
        <f t="shared" si="0"/>
        <v>0.52408333333333335</v>
      </c>
      <c r="M41" s="14" t="s">
        <v>8</v>
      </c>
    </row>
    <row r="42" spans="1:13" s="6" customFormat="1" x14ac:dyDescent="0.25">
      <c r="C42" s="36"/>
      <c r="D42" s="36"/>
      <c r="E42" s="36"/>
      <c r="F42" s="36"/>
      <c r="G42" s="36"/>
      <c r="H42" s="36"/>
      <c r="I42" s="36"/>
      <c r="J42" s="36"/>
      <c r="K42" s="36"/>
      <c r="L42" s="37"/>
      <c r="M42" s="16"/>
    </row>
    <row r="43" spans="1:13" s="4" customFormat="1" x14ac:dyDescent="0.25">
      <c r="A43" s="4" t="s">
        <v>139</v>
      </c>
      <c r="B43" s="4" t="s">
        <v>296</v>
      </c>
      <c r="C43" s="23">
        <f>'Total and digestible IAA'!AH43/$C$2</f>
        <v>0.76779026217228463</v>
      </c>
      <c r="D43" s="23">
        <f>'Total and digestible IAA'!AI43/$D$2</f>
        <v>0.55730337078651682</v>
      </c>
      <c r="E43" s="23">
        <f>'Total and digestible IAA'!AJ43/$E$2</f>
        <v>0.86179775280898874</v>
      </c>
      <c r="F43" s="23">
        <f>'Total and digestible IAA'!AK43/$F$2</f>
        <v>0.68465647448885614</v>
      </c>
      <c r="G43" s="23">
        <f>'Total and digestible IAA'!AL43/$G$2</f>
        <v>0.59691011235955049</v>
      </c>
      <c r="H43" s="23">
        <f>'Total and digestible IAA'!AM43/$H$2</f>
        <v>0.55446995603321936</v>
      </c>
      <c r="I43" s="23">
        <f>'Total and digestible IAA'!AN43/$I$2</f>
        <v>1.1655248013154289</v>
      </c>
      <c r="J43" s="23">
        <f>'Total and digestible IAA'!AO43/$J$2</f>
        <v>0.71966292134831455</v>
      </c>
      <c r="K43" s="23">
        <f>'Total and digestible IAA'!AP43/$K$2</f>
        <v>1.4564606741573032</v>
      </c>
      <c r="L43" s="24">
        <f t="shared" si="0"/>
        <v>55.446995603321938</v>
      </c>
      <c r="M43" s="14" t="s">
        <v>355</v>
      </c>
    </row>
    <row r="44" spans="1:13" s="4" customFormat="1" x14ac:dyDescent="0.25">
      <c r="A44" s="4" t="s">
        <v>141</v>
      </c>
      <c r="B44" s="4" t="s">
        <v>296</v>
      </c>
      <c r="C44" s="23">
        <f>'Total and digestible IAA'!AH44/$C$2</f>
        <v>0.64263322884012553</v>
      </c>
      <c r="D44" s="23">
        <f>'Total and digestible IAA'!AI44/$D$2</f>
        <v>0.55586206896551726</v>
      </c>
      <c r="E44" s="23">
        <f>'Total and digestible IAA'!AJ44/$E$2</f>
        <v>0.85900383141762449</v>
      </c>
      <c r="F44" s="23">
        <f>'Total and digestible IAA'!AK44/$F$2</f>
        <v>0.67816091954022983</v>
      </c>
      <c r="G44" s="23">
        <f>'Total and digestible IAA'!AL44/$G$2</f>
        <v>0.59865900383141757</v>
      </c>
      <c r="H44" s="23">
        <f>'Total and digestible IAA'!AM44/$H$2</f>
        <v>0.53673163418290859</v>
      </c>
      <c r="I44" s="23">
        <f>'Total and digestible IAA'!AN44/$I$2</f>
        <v>1.2668909447715169</v>
      </c>
      <c r="J44" s="23">
        <f>'Total and digestible IAA'!AO44/$J$2</f>
        <v>0.72413793103448287</v>
      </c>
      <c r="K44" s="23">
        <f>'Total and digestible IAA'!AP44/$K$2</f>
        <v>1.4461206896551724</v>
      </c>
      <c r="L44" s="24">
        <f t="shared" si="0"/>
        <v>53.673163418290862</v>
      </c>
      <c r="M44" s="14" t="s">
        <v>355</v>
      </c>
    </row>
    <row r="45" spans="1:13" s="4" customFormat="1" x14ac:dyDescent="0.25">
      <c r="A45" s="4" t="s">
        <v>143</v>
      </c>
      <c r="B45" s="4" t="s">
        <v>296</v>
      </c>
      <c r="C45" s="23">
        <f>'Total and digestible IAA'!AH45/$C$2</f>
        <v>0.92226613965744386</v>
      </c>
      <c r="D45" s="23">
        <f>'Total and digestible IAA'!AI45/$D$2</f>
        <v>0.83999999999999986</v>
      </c>
      <c r="E45" s="23">
        <f>'Total and digestible IAA'!AJ45/$E$2</f>
        <v>0.7710144927536231</v>
      </c>
      <c r="F45" s="23">
        <f>'Total and digestible IAA'!AK45/$F$2</f>
        <v>0.66714183891660717</v>
      </c>
      <c r="G45" s="23">
        <f>'Total and digestible IAA'!AL45/$G$2</f>
        <v>0.5625</v>
      </c>
      <c r="H45" s="23">
        <f>'Total and digestible IAA'!AM45/$H$2</f>
        <v>1.1039697542533082</v>
      </c>
      <c r="I45" s="23">
        <f>'Total and digestible IAA'!AN45/$I$2</f>
        <v>1.1686108165429481</v>
      </c>
      <c r="J45" s="23">
        <f>'Total and digestible IAA'!AO45/$J$2</f>
        <v>0.80434782608695643</v>
      </c>
      <c r="K45" s="23">
        <f>'Total and digestible IAA'!AP45/$K$2</f>
        <v>1.4456521739130432</v>
      </c>
      <c r="L45" s="24">
        <f t="shared" si="0"/>
        <v>56.25</v>
      </c>
      <c r="M45" s="14" t="s">
        <v>8</v>
      </c>
    </row>
    <row r="46" spans="1:13" x14ac:dyDescent="0.25">
      <c r="A46" s="5" t="s">
        <v>21</v>
      </c>
      <c r="B46" s="4" t="s">
        <v>296</v>
      </c>
      <c r="C46" s="23">
        <f>'Total and digestible IAA'!AH46/$C$2</f>
        <v>0.87774294670846409</v>
      </c>
      <c r="D46" s="23">
        <f>'Total and digestible IAA'!AI46/$D$2</f>
        <v>0.85655172413793101</v>
      </c>
      <c r="E46" s="23">
        <f>'Total and digestible IAA'!AJ46/$E$2</f>
        <v>0.30000000000000004</v>
      </c>
      <c r="F46" s="23">
        <f>'Total and digestible IAA'!AK46/$F$2</f>
        <v>0.63595251554550603</v>
      </c>
      <c r="G46" s="23">
        <f>'Total and digestible IAA'!AL46/$G$2</f>
        <v>0.50574712643678166</v>
      </c>
      <c r="H46" s="23">
        <f>'Total and digestible IAA'!AM46/$H$2</f>
        <v>1.184407796101949</v>
      </c>
      <c r="I46" s="23">
        <f>'Total and digestible IAA'!AN46/$I$2</f>
        <v>0.91000841042893188</v>
      </c>
      <c r="J46" s="23">
        <f>'Total and digestible IAA'!AO46/$J$2</f>
        <v>0.82931034482758625</v>
      </c>
      <c r="K46" s="23">
        <f>'Total and digestible IAA'!AP46/$K$2</f>
        <v>1.9655172413793101</v>
      </c>
      <c r="L46" s="24">
        <f t="shared" si="0"/>
        <v>30.000000000000004</v>
      </c>
      <c r="M46" s="15" t="s">
        <v>7</v>
      </c>
    </row>
    <row r="47" spans="1:13" s="4" customFormat="1" x14ac:dyDescent="0.25">
      <c r="A47" s="4" t="s">
        <v>145</v>
      </c>
      <c r="B47" s="4" t="s">
        <v>296</v>
      </c>
      <c r="C47" s="23">
        <f>'Total and digestible IAA'!AH47/$C$2</f>
        <v>0.91991341991342002</v>
      </c>
      <c r="D47" s="23">
        <f>'Total and digestible IAA'!AI47/$D$2</f>
        <v>0.78857142857142848</v>
      </c>
      <c r="E47" s="23">
        <f>'Total and digestible IAA'!AJ47/$E$2</f>
        <v>0.27619047619047615</v>
      </c>
      <c r="F47" s="23">
        <f>'Total and digestible IAA'!AK47/$F$2</f>
        <v>0.65866510538641687</v>
      </c>
      <c r="G47" s="23">
        <f>'Total and digestible IAA'!AL47/$G$2</f>
        <v>0.52380952380952384</v>
      </c>
      <c r="H47" s="23">
        <f>'Total and digestible IAA'!AM47/$H$2</f>
        <v>1.2267080745341616</v>
      </c>
      <c r="I47" s="23">
        <f>'Total and digestible IAA'!AN47/$I$2</f>
        <v>0.94250871080139365</v>
      </c>
      <c r="J47" s="23">
        <f>'Total and digestible IAA'!AO47/$J$2</f>
        <v>0.79285714285714293</v>
      </c>
      <c r="K47" s="23">
        <f>'Total and digestible IAA'!AP47/$K$2</f>
        <v>2.0357142857142856</v>
      </c>
      <c r="L47" s="24">
        <f t="shared" si="0"/>
        <v>27.619047619047617</v>
      </c>
      <c r="M47" s="14" t="s">
        <v>7</v>
      </c>
    </row>
    <row r="48" spans="1:13" s="4" customFormat="1" x14ac:dyDescent="0.25">
      <c r="A48" s="4" t="s">
        <v>147</v>
      </c>
      <c r="B48" s="4" t="s">
        <v>296</v>
      </c>
      <c r="C48" s="23">
        <f>'Total and digestible IAA'!AH48/$C$2</f>
        <v>1.7311041448972482</v>
      </c>
      <c r="D48" s="23">
        <f>'Total and digestible IAA'!AI48/$D$2</f>
        <v>1.0942528735632182</v>
      </c>
      <c r="E48" s="23">
        <f>'Total and digestible IAA'!AJ48/$E$2</f>
        <v>1.0191570881226055</v>
      </c>
      <c r="F48" s="23">
        <f>'Total and digestible IAA'!AK48/$F$2</f>
        <v>0.86715658564160547</v>
      </c>
      <c r="G48" s="23">
        <f>'Total and digestible IAA'!AL48/$G$2</f>
        <v>0.61135057471264365</v>
      </c>
      <c r="H48" s="23">
        <f>'Total and digestible IAA'!AM48/$H$2</f>
        <v>0.60069965017491256</v>
      </c>
      <c r="I48" s="23">
        <f>'Total and digestible IAA'!AN48/$I$2</f>
        <v>1.3910849453322121</v>
      </c>
      <c r="J48" s="23">
        <f>'Total and digestible IAA'!AO48/$J$2</f>
        <v>0.82931034482758625</v>
      </c>
      <c r="K48" s="23">
        <f>'Total and digestible IAA'!AP48/$K$2</f>
        <v>0.81896551724137945</v>
      </c>
      <c r="L48" s="24">
        <f t="shared" si="0"/>
        <v>60.069965017491256</v>
      </c>
      <c r="M48" s="14" t="s">
        <v>355</v>
      </c>
    </row>
    <row r="49" spans="1:14" s="4" customFormat="1" x14ac:dyDescent="0.25">
      <c r="A49" s="4" t="s">
        <v>149</v>
      </c>
      <c r="B49" s="4" t="s">
        <v>296</v>
      </c>
      <c r="C49" s="23">
        <f>'Total and digestible IAA'!AH49/$C$2</f>
        <v>1.5809101718733107</v>
      </c>
      <c r="D49" s="23">
        <f>'Total and digestible IAA'!AI49/$D$2</f>
        <v>2.0204518430439955</v>
      </c>
      <c r="E49" s="23">
        <f>'Total and digestible IAA'!AJ49/$E$2</f>
        <v>1.6579468886246533</v>
      </c>
      <c r="F49" s="23">
        <f>'Total and digestible IAA'!AK49/$F$2</f>
        <v>1.4953509678173913</v>
      </c>
      <c r="G49" s="23">
        <f>'Total and digestible IAA'!AL49/$G$2</f>
        <v>1.4154280618311537</v>
      </c>
      <c r="H49" s="23">
        <f>'Total and digestible IAA'!AM49/$H$2</f>
        <v>1.3300418756139174</v>
      </c>
      <c r="I49" s="23">
        <f>'Total and digestible IAA'!AN49/$I$2</f>
        <v>2.5393695078449001</v>
      </c>
      <c r="J49" s="23">
        <f>'Total and digestible IAA'!AO49/$J$2</f>
        <v>1.4577586206896551</v>
      </c>
      <c r="K49" s="23">
        <f>'Total and digestible IAA'!AP49/$K$2</f>
        <v>1.1839328180737219</v>
      </c>
      <c r="L49" s="24">
        <f t="shared" si="0"/>
        <v>118.39328180737219</v>
      </c>
      <c r="M49" s="14" t="s">
        <v>9</v>
      </c>
    </row>
    <row r="50" spans="1:14" s="4" customFormat="1" x14ac:dyDescent="0.25">
      <c r="A50" s="4" t="s">
        <v>151</v>
      </c>
      <c r="B50" s="4" t="s">
        <v>296</v>
      </c>
      <c r="C50" s="23">
        <f>'Total and digestible IAA'!AH50/$C$2</f>
        <v>0.42087542087542096</v>
      </c>
      <c r="D50" s="23">
        <f>'Total and digestible IAA'!AI50/$D$2</f>
        <v>0.38370370370370371</v>
      </c>
      <c r="E50" s="23">
        <f>'Total and digestible IAA'!AJ50/$E$2</f>
        <v>9.7530864197530889E-2</v>
      </c>
      <c r="F50" s="23">
        <f>'Total and digestible IAA'!AK50/$F$2</f>
        <v>0.56557377049180324</v>
      </c>
      <c r="G50" s="23">
        <f>'Total and digestible IAA'!AL50/$G$2</f>
        <v>0.19984567901234571</v>
      </c>
      <c r="H50" s="23">
        <f>'Total and digestible IAA'!AM50/$H$2</f>
        <v>0.59822866344605463</v>
      </c>
      <c r="I50" s="23">
        <f>'Total and digestible IAA'!AN50/$I$2</f>
        <v>0.61878952122854558</v>
      </c>
      <c r="J50" s="23">
        <f>'Total and digestible IAA'!AO50/$J$2</f>
        <v>0.49907407407407406</v>
      </c>
      <c r="K50" s="23">
        <f>'Total and digestible IAA'!AP50/$K$2</f>
        <v>0.46296296296296297</v>
      </c>
      <c r="L50" s="24">
        <f t="shared" si="0"/>
        <v>9.7530864197530889</v>
      </c>
      <c r="M50" s="14" t="s">
        <v>7</v>
      </c>
    </row>
    <row r="51" spans="1:14" s="4" customFormat="1" x14ac:dyDescent="0.25">
      <c r="A51" s="4" t="s">
        <v>153</v>
      </c>
      <c r="B51" s="4" t="s">
        <v>296</v>
      </c>
      <c r="C51" s="23">
        <f>'Total and digestible IAA'!AH51/$C$2</f>
        <v>1.1253309796999118</v>
      </c>
      <c r="D51" s="23">
        <f>'Total and digestible IAA'!AI51/$D$2</f>
        <v>1.1743689320388351</v>
      </c>
      <c r="E51" s="23">
        <f>'Total and digestible IAA'!AJ51/$E$2</f>
        <v>0.89061488673139166</v>
      </c>
      <c r="F51" s="23">
        <f>'Total and digestible IAA'!AK51/$F$2</f>
        <v>0.71430845137673071</v>
      </c>
      <c r="G51" s="23">
        <f>'Total and digestible IAA'!AL51/$G$2</f>
        <v>0.80016181229773453</v>
      </c>
      <c r="H51" s="23">
        <f>'Total and digestible IAA'!AM51/$H$2</f>
        <v>1.016462642465175</v>
      </c>
      <c r="I51" s="23">
        <f>'Total and digestible IAA'!AN51/$I$2</f>
        <v>1.583708264267109</v>
      </c>
      <c r="J51" s="23">
        <f>'Total and digestible IAA'!AO51/$J$2</f>
        <v>0.99029126213592245</v>
      </c>
      <c r="K51" s="23">
        <f>'Total and digestible IAA'!AP51/$K$2</f>
        <v>0.85436893203883502</v>
      </c>
      <c r="L51" s="24">
        <f t="shared" si="0"/>
        <v>71.430845137673074</v>
      </c>
      <c r="M51" s="14" t="s">
        <v>526</v>
      </c>
    </row>
    <row r="52" spans="1:14" x14ac:dyDescent="0.25">
      <c r="A52" s="5" t="s">
        <v>158</v>
      </c>
      <c r="B52" s="4" t="s">
        <v>296</v>
      </c>
      <c r="C52" s="23">
        <f>'Total and digestible IAA'!AH52/$C$2</f>
        <v>0.60349255264509494</v>
      </c>
      <c r="D52" s="23">
        <f>'Total and digestible IAA'!AI52/$D$2</f>
        <v>0.73288135593220327</v>
      </c>
      <c r="E52" s="23">
        <f>'Total and digestible IAA'!AJ52/$E$2</f>
        <v>0.54689265536723164</v>
      </c>
      <c r="F52" s="23">
        <f>'Total and digestible IAA'!AK52/$F$2</f>
        <v>0.4701305918310642</v>
      </c>
      <c r="G52" s="23">
        <f>'Total and digestible IAA'!AL52/$G$2</f>
        <v>0.5423728813559322</v>
      </c>
      <c r="H52" s="23">
        <f>'Total and digestible IAA'!AM52/$H$2</f>
        <v>0.51879145173176122</v>
      </c>
      <c r="I52" s="23">
        <f>'Total and digestible IAA'!AN52/$I$2</f>
        <v>0.81603968582058684</v>
      </c>
      <c r="J52" s="23">
        <f>'Total and digestible IAA'!AO52/$J$2</f>
        <v>0.61737288135593205</v>
      </c>
      <c r="K52" s="23">
        <f>'Total and digestible IAA'!AP52/$K$2</f>
        <v>0.44491525423728812</v>
      </c>
      <c r="L52" s="24">
        <f t="shared" si="0"/>
        <v>44.49152542372881</v>
      </c>
      <c r="M52" s="15" t="s">
        <v>9</v>
      </c>
    </row>
    <row r="53" spans="1:14" x14ac:dyDescent="0.25">
      <c r="A53" s="5" t="s">
        <v>22</v>
      </c>
      <c r="B53" s="4" t="s">
        <v>296</v>
      </c>
      <c r="C53" s="23">
        <f>'Total and digestible IAA'!AH53/$C$2</f>
        <v>0.61038961038961037</v>
      </c>
      <c r="D53" s="23">
        <f>'Total and digestible IAA'!AI53/$D$2</f>
        <v>0.80228571428571438</v>
      </c>
      <c r="E53" s="23">
        <f>'Total and digestible IAA'!AJ53/$E$2</f>
        <v>0.63142857142857145</v>
      </c>
      <c r="F53" s="23">
        <f>'Total and digestible IAA'!AK53/$F$2</f>
        <v>0.52365339578454329</v>
      </c>
      <c r="G53" s="23">
        <f>'Total and digestible IAA'!AL53/$G$2</f>
        <v>0.57678571428571435</v>
      </c>
      <c r="H53" s="23">
        <f>'Total and digestible IAA'!AM53/$H$2</f>
        <v>0.58260869565217388</v>
      </c>
      <c r="I53" s="23">
        <f>'Total and digestible IAA'!AN53/$I$2</f>
        <v>0.88188153310104533</v>
      </c>
      <c r="J53" s="23">
        <f>'Total and digestible IAA'!AO53/$J$2</f>
        <v>0.68714285714285717</v>
      </c>
      <c r="K53" s="23">
        <f>'Total and digestible IAA'!AP53/$K$2</f>
        <v>0.50357142857142856</v>
      </c>
      <c r="L53" s="24">
        <f t="shared" si="0"/>
        <v>50.357142857142854</v>
      </c>
      <c r="M53" s="15" t="s">
        <v>9</v>
      </c>
    </row>
    <row r="54" spans="1:14" x14ac:dyDescent="0.25">
      <c r="A54" s="5" t="s">
        <v>288</v>
      </c>
      <c r="B54" s="4" t="s">
        <v>296</v>
      </c>
      <c r="C54" s="23">
        <f>'Total and digestible IAA'!AH54/$C$2</f>
        <v>0.59343434343434343</v>
      </c>
      <c r="D54" s="23">
        <f>'Total and digestible IAA'!AI54/$D$2</f>
        <v>0.80888888888888888</v>
      </c>
      <c r="E54" s="23">
        <f>'Total and digestible IAA'!AJ54/$E$2</f>
        <v>0.63750000000000007</v>
      </c>
      <c r="F54" s="23">
        <f>'Total and digestible IAA'!AK54/$F$2</f>
        <v>0.50091074681238623</v>
      </c>
      <c r="G54" s="23">
        <f>'Total and digestible IAA'!AL54/$G$2</f>
        <v>0.58680555555555558</v>
      </c>
      <c r="H54" s="23">
        <f>'Total and digestible IAA'!AM54/$H$2</f>
        <v>0.56642512077294682</v>
      </c>
      <c r="I54" s="23">
        <f>'Total and digestible IAA'!AN54/$I$2</f>
        <v>0.92411924119241184</v>
      </c>
      <c r="J54" s="23">
        <f>'Total and digestible IAA'!AO54/$J$2</f>
        <v>0.66805555555555562</v>
      </c>
      <c r="K54" s="23">
        <f>'Total and digestible IAA'!AP54/$K$2</f>
        <v>0.48958333333333331</v>
      </c>
      <c r="L54" s="24">
        <f t="shared" si="0"/>
        <v>48.958333333333329</v>
      </c>
      <c r="M54" s="15" t="s">
        <v>9</v>
      </c>
    </row>
    <row r="55" spans="1:14" x14ac:dyDescent="0.25">
      <c r="A55" s="5" t="s">
        <v>289</v>
      </c>
      <c r="B55" s="4" t="s">
        <v>296</v>
      </c>
      <c r="C55" s="23">
        <f>'Total and digestible IAA'!AH55/$C$2</f>
        <v>0.66761363636363635</v>
      </c>
      <c r="D55" s="23">
        <f>'Total and digestible IAA'!AI55/$D$2</f>
        <v>0.75</v>
      </c>
      <c r="E55" s="23">
        <f>'Total and digestible IAA'!AJ55/$E$2</f>
        <v>0.66249999999999998</v>
      </c>
      <c r="F55" s="23">
        <f>'Total and digestible IAA'!AK55/$F$2</f>
        <v>0.49948770491803279</v>
      </c>
      <c r="G55" s="23">
        <f>'Total and digestible IAA'!AL55/$G$2</f>
        <v>0.59244791666666663</v>
      </c>
      <c r="H55" s="23">
        <f>'Total and digestible IAA'!AM55/$H$2</f>
        <v>0.60054347826086962</v>
      </c>
      <c r="I55" s="23">
        <f>'Total and digestible IAA'!AN55/$I$2</f>
        <v>0.89405487804878048</v>
      </c>
      <c r="J55" s="23">
        <f>'Total and digestible IAA'!AO55/$J$2</f>
        <v>0.65742187499999993</v>
      </c>
      <c r="K55" s="23">
        <f>'Total and digestible IAA'!AP55/$K$2</f>
        <v>0.5478515625</v>
      </c>
      <c r="L55" s="24">
        <f t="shared" si="0"/>
        <v>49.94877049180328</v>
      </c>
      <c r="M55" s="15" t="s">
        <v>526</v>
      </c>
    </row>
    <row r="56" spans="1:14" x14ac:dyDescent="0.25">
      <c r="A56" s="5" t="s">
        <v>23</v>
      </c>
      <c r="B56" s="4" t="s">
        <v>296</v>
      </c>
      <c r="C56" s="23">
        <f>'Total and digestible IAA'!AH56/$C$2</f>
        <v>1.0720104268491364</v>
      </c>
      <c r="D56" s="23">
        <f>'Total and digestible IAA'!AI56/$D$2</f>
        <v>0.98666666666666669</v>
      </c>
      <c r="E56" s="23">
        <f>'Total and digestible IAA'!AJ56/$E$2</f>
        <v>0.88315412186379938</v>
      </c>
      <c r="F56" s="23">
        <f>'Total and digestible IAA'!AK56/$F$2</f>
        <v>0.6317644985016746</v>
      </c>
      <c r="G56" s="23">
        <f>'Total and digestible IAA'!AL56/$G$2</f>
        <v>0.66666666666666663</v>
      </c>
      <c r="H56" s="23">
        <f>'Total and digestible IAA'!AM56/$H$2</f>
        <v>0.84712482468443195</v>
      </c>
      <c r="I56" s="23">
        <f>'Total and digestible IAA'!AN56/$I$2</f>
        <v>1.1455546813532651</v>
      </c>
      <c r="J56" s="23">
        <f>'Total and digestible IAA'!AO56/$J$2</f>
        <v>0.73279569892473118</v>
      </c>
      <c r="K56" s="23">
        <f>'Total and digestible IAA'!AP56/$K$2</f>
        <v>0.56989247311827962</v>
      </c>
      <c r="L56" s="24">
        <f t="shared" si="0"/>
        <v>56.98924731182796</v>
      </c>
      <c r="M56" s="15" t="s">
        <v>9</v>
      </c>
    </row>
    <row r="57" spans="1:14" x14ac:dyDescent="0.25">
      <c r="A57" s="5" t="s">
        <v>290</v>
      </c>
      <c r="B57" s="4" t="s">
        <v>296</v>
      </c>
      <c r="C57" s="23">
        <f>'Total and digestible IAA'!AH57/$C$2</f>
        <v>0.79254079254079268</v>
      </c>
      <c r="D57" s="23">
        <f>'Total and digestible IAA'!AI57/$D$2</f>
        <v>0.93794871794871815</v>
      </c>
      <c r="E57" s="23">
        <f>'Total and digestible IAA'!AJ57/$E$2</f>
        <v>0.69401709401709399</v>
      </c>
      <c r="F57" s="23">
        <f>'Total and digestible IAA'!AK57/$F$2</f>
        <v>0.5912147961328289</v>
      </c>
      <c r="G57" s="23">
        <f>'Total and digestible IAA'!AL57/$G$2</f>
        <v>0.7235576923076924</v>
      </c>
      <c r="H57" s="23">
        <f>'Total and digestible IAA'!AM57/$H$2</f>
        <v>0.6764214046822743</v>
      </c>
      <c r="I57" s="23">
        <f>'Total and digestible IAA'!AN57/$I$2</f>
        <v>1.0515947467166979</v>
      </c>
      <c r="J57" s="23">
        <f>'Total and digestible IAA'!AO57/$J$2</f>
        <v>0.69711538461538458</v>
      </c>
      <c r="K57" s="23">
        <f>'Total and digestible IAA'!AP57/$K$2</f>
        <v>0.59375</v>
      </c>
      <c r="L57" s="24">
        <f t="shared" si="0"/>
        <v>59.121479613282887</v>
      </c>
      <c r="M57" s="15" t="s">
        <v>9</v>
      </c>
    </row>
    <row r="58" spans="1:14" x14ac:dyDescent="0.25">
      <c r="A58" s="5" t="s">
        <v>292</v>
      </c>
      <c r="B58" s="4" t="s">
        <v>296</v>
      </c>
      <c r="C58" s="23">
        <f>'Total and digestible IAA'!AH58/$C$2</f>
        <v>0.73849607182940513</v>
      </c>
      <c r="D58" s="23">
        <f>'Total and digestible IAA'!AI58/$D$2</f>
        <v>0.93688888888888899</v>
      </c>
      <c r="E58" s="23">
        <f>'Total and digestible IAA'!AJ58/$E$2</f>
        <v>0.70172839506172846</v>
      </c>
      <c r="F58" s="23">
        <f>'Total and digestible IAA'!AK58/$F$2</f>
        <v>0.59162112932604738</v>
      </c>
      <c r="G58" s="23">
        <f>'Total and digestible IAA'!AL58/$G$2</f>
        <v>0.73086419753086418</v>
      </c>
      <c r="H58" s="23">
        <f>'Total and digestible IAA'!AM58/$H$2</f>
        <v>0.68599033816425115</v>
      </c>
      <c r="I58" s="23">
        <f>'Total and digestible IAA'!AN58/$I$2</f>
        <v>1.0616079494128277</v>
      </c>
      <c r="J58" s="23">
        <f>'Total and digestible IAA'!AO58/$J$2</f>
        <v>0.69814814814814807</v>
      </c>
      <c r="K58" s="23">
        <f>'Total and digestible IAA'!AP58/$K$2</f>
        <v>0.64953703703703691</v>
      </c>
      <c r="L58" s="24">
        <f t="shared" si="0"/>
        <v>59.162112932604735</v>
      </c>
      <c r="M58" s="15" t="s">
        <v>526</v>
      </c>
    </row>
    <row r="59" spans="1:14" x14ac:dyDescent="0.25">
      <c r="A59" s="5" t="s">
        <v>291</v>
      </c>
      <c r="B59" s="4" t="s">
        <v>296</v>
      </c>
      <c r="C59" s="23">
        <f>'Total and digestible IAA'!AH59/$C$2</f>
        <v>0.6811594202898551</v>
      </c>
      <c r="D59" s="23">
        <f>'Total and digestible IAA'!AI59/$D$2</f>
        <v>0.96417391304347833</v>
      </c>
      <c r="E59" s="23">
        <f>'Total and digestible IAA'!AJ59/$E$2</f>
        <v>0.7011594202898549</v>
      </c>
      <c r="F59" s="23">
        <f>'Total and digestible IAA'!AK59/$F$2</f>
        <v>0.57690662865288678</v>
      </c>
      <c r="G59" s="23">
        <f>'Total and digestible IAA'!AL59/$G$2</f>
        <v>0.70760869565217377</v>
      </c>
      <c r="H59" s="23">
        <f>'Total and digestible IAA'!AM59/$H$2</f>
        <v>0.63591682419659734</v>
      </c>
      <c r="I59" s="23">
        <f>'Total and digestible IAA'!AN59/$I$2</f>
        <v>1.0615058324496287</v>
      </c>
      <c r="J59" s="23">
        <f>'Total and digestible IAA'!AO59/$J$2</f>
        <v>0.68152173913043479</v>
      </c>
      <c r="K59" s="23">
        <f>'Total and digestible IAA'!AP59/$K$2</f>
        <v>0.5989130434782608</v>
      </c>
      <c r="L59" s="24">
        <f t="shared" si="0"/>
        <v>57.690662865288679</v>
      </c>
      <c r="M59" s="15" t="s">
        <v>526</v>
      </c>
    </row>
    <row r="60" spans="1:14" x14ac:dyDescent="0.25">
      <c r="A60" s="5" t="s">
        <v>293</v>
      </c>
      <c r="B60" s="4" t="s">
        <v>296</v>
      </c>
      <c r="C60" s="23">
        <f>'Total and digestible IAA'!AH60/$C$2</f>
        <v>0.77243018419489018</v>
      </c>
      <c r="D60" s="23">
        <f>'Total and digestible IAA'!AI60/$D$2</f>
        <v>0.93294117647058827</v>
      </c>
      <c r="E60" s="23">
        <f>'Total and digestible IAA'!AJ60/$E$2</f>
        <v>0.6771241830065361</v>
      </c>
      <c r="F60" s="23">
        <f>'Total and digestible IAA'!AK60/$F$2</f>
        <v>0.59739633558341365</v>
      </c>
      <c r="G60" s="23">
        <f>'Total and digestible IAA'!AL60/$G$2</f>
        <v>0.72058823529411764</v>
      </c>
      <c r="H60" s="23">
        <f>'Total and digestible IAA'!AM60/$H$2</f>
        <v>0.63086104006820121</v>
      </c>
      <c r="I60" s="23">
        <f>'Total and digestible IAA'!AN60/$I$2</f>
        <v>1.0621712099473934</v>
      </c>
      <c r="J60" s="23">
        <f>'Total and digestible IAA'!AO60/$J$2</f>
        <v>0.69656862745098036</v>
      </c>
      <c r="K60" s="23">
        <f>'Total and digestible IAA'!AP60/$K$2</f>
        <v>0.58333333333333337</v>
      </c>
      <c r="L60" s="24">
        <f t="shared" si="0"/>
        <v>58.333333333333336</v>
      </c>
      <c r="M60" s="15" t="s">
        <v>9</v>
      </c>
    </row>
    <row r="61" spans="1:14" x14ac:dyDescent="0.25">
      <c r="A61" s="5" t="s">
        <v>157</v>
      </c>
      <c r="B61" s="4" t="s">
        <v>296</v>
      </c>
      <c r="C61" s="23">
        <f>'Total and digestible IAA'!AH61/$C$2</f>
        <v>0.71212121212121215</v>
      </c>
      <c r="D61" s="23">
        <f>'Total and digestible IAA'!AI61/$D$2</f>
        <v>0.66299999999999992</v>
      </c>
      <c r="E61" s="23">
        <f>'Total and digestible IAA'!AJ61/$E$2</f>
        <v>0.55000000000000004</v>
      </c>
      <c r="F61" s="23">
        <f>'Total and digestible IAA'!AK61/$F$2</f>
        <v>0.45983606557377049</v>
      </c>
      <c r="G61" s="23">
        <f>'Total and digestible IAA'!AL61/$G$2</f>
        <v>0.44166666666666671</v>
      </c>
      <c r="H61" s="23">
        <f>'Total and digestible IAA'!AM61/$H$2</f>
        <v>0.7239130434782608</v>
      </c>
      <c r="I61" s="23">
        <f>'Total and digestible IAA'!AN61/$I$2</f>
        <v>0.85914634146341484</v>
      </c>
      <c r="J61" s="23">
        <f>'Total and digestible IAA'!AO61/$J$2</f>
        <v>0.47000000000000003</v>
      </c>
      <c r="K61" s="23">
        <f>'Total and digestible IAA'!AP61/$K$2</f>
        <v>0.44062499999999993</v>
      </c>
      <c r="L61" s="24">
        <f t="shared" si="0"/>
        <v>44.062499999999993</v>
      </c>
      <c r="M61" s="15" t="s">
        <v>9</v>
      </c>
    </row>
    <row r="62" spans="1:14" s="4" customFormat="1" x14ac:dyDescent="0.25">
      <c r="A62" s="4" t="s">
        <v>155</v>
      </c>
      <c r="B62" s="4" t="s">
        <v>296</v>
      </c>
      <c r="C62" s="23">
        <f>'Total and digestible IAA'!AH62/$C$2</f>
        <v>2.2459893048128343</v>
      </c>
      <c r="D62" s="23">
        <f>'Total and digestible IAA'!AI62/$D$2</f>
        <v>1.5623529411764701</v>
      </c>
      <c r="E62" s="23">
        <f>'Total and digestible IAA'!AJ62/$E$2</f>
        <v>1.1666666666666665</v>
      </c>
      <c r="F62" s="23">
        <f>'Total and digestible IAA'!AK62/$F$2</f>
        <v>0.75506268081002903</v>
      </c>
      <c r="G62" s="23">
        <f>'Total and digestible IAA'!AL62/$G$2</f>
        <v>0.65972222222222221</v>
      </c>
      <c r="H62" s="23">
        <f>'Total and digestible IAA'!AM62/$H$2</f>
        <v>1.0161977834612106</v>
      </c>
      <c r="I62" s="23">
        <f>'Total and digestible IAA'!AN62/$I$2</f>
        <v>2.1367766618842658</v>
      </c>
      <c r="J62" s="23">
        <f>'Total and digestible IAA'!AO62/$J$2</f>
        <v>1.125</v>
      </c>
      <c r="K62" s="23">
        <f>'Total and digestible IAA'!AP62/$K$2</f>
        <v>1.3860294117647058</v>
      </c>
      <c r="L62" s="24">
        <f t="shared" si="0"/>
        <v>65.972222222222214</v>
      </c>
      <c r="M62" s="14" t="s">
        <v>8</v>
      </c>
    </row>
    <row r="63" spans="1:14" s="6" customFormat="1" x14ac:dyDescent="0.25">
      <c r="C63" s="36"/>
      <c r="D63" s="36"/>
      <c r="E63" s="36"/>
      <c r="F63" s="36"/>
      <c r="G63" s="36"/>
      <c r="H63" s="36"/>
      <c r="I63" s="36"/>
      <c r="J63" s="36"/>
      <c r="K63" s="36"/>
      <c r="L63" s="37"/>
      <c r="M63" s="16"/>
    </row>
    <row r="64" spans="1:14" s="4" customFormat="1" x14ac:dyDescent="0.25">
      <c r="A64" s="4" t="s">
        <v>250</v>
      </c>
      <c r="B64" s="4" t="s">
        <v>298</v>
      </c>
      <c r="C64" s="23">
        <f>'Total and digestible IAA'!AH64/$C$2</f>
        <v>1.0065359477124185</v>
      </c>
      <c r="D64" s="23">
        <f>'Total and digestible IAA'!AI64/$D$2</f>
        <v>0.89656470588235282</v>
      </c>
      <c r="E64" s="23">
        <f>'Total and digestible IAA'!AJ64/$E$2</f>
        <v>0.89179084967320277</v>
      </c>
      <c r="F64" s="23">
        <f>'Total and digestible IAA'!AK64/$F$2</f>
        <v>1.3159884281581484</v>
      </c>
      <c r="G64" s="23">
        <f>'Total and digestible IAA'!AL64/$G$2</f>
        <v>0.96950980392156849</v>
      </c>
      <c r="H64" s="23">
        <f>'Total and digestible IAA'!AM64/$H$2</f>
        <v>0.78356351236146637</v>
      </c>
      <c r="I64" s="23">
        <f>'Total and digestible IAA'!AN64/$I$2</f>
        <v>0.9925585844093735</v>
      </c>
      <c r="J64" s="23">
        <f>'Total and digestible IAA'!AO64/$J$2</f>
        <v>0.80454901960784331</v>
      </c>
      <c r="K64" s="23">
        <f>'Total and digestible IAA'!AP64/$K$2</f>
        <v>1.5906127450980392</v>
      </c>
      <c r="L64" s="24">
        <f t="shared" si="0"/>
        <v>78.356351236146637</v>
      </c>
      <c r="M64" s="4" t="s">
        <v>355</v>
      </c>
      <c r="N64" s="14" t="s">
        <v>364</v>
      </c>
    </row>
    <row r="65" spans="1:14" s="4" customFormat="1" x14ac:dyDescent="0.25">
      <c r="A65" s="4" t="s">
        <v>175</v>
      </c>
      <c r="B65" s="4" t="s">
        <v>298</v>
      </c>
      <c r="C65" s="23">
        <f>'Total and digestible IAA'!AH65/$C$2</f>
        <v>1.8398650819145519</v>
      </c>
      <c r="D65" s="23">
        <f>'Total and digestible IAA'!AI65/$D$2</f>
        <v>1.5185865724381626</v>
      </c>
      <c r="E65" s="23">
        <f>'Total and digestible IAA'!AJ65/$E$2</f>
        <v>1.3811542991755004</v>
      </c>
      <c r="F65" s="23">
        <f>'Total and digestible IAA'!AK65/$F$2</f>
        <v>1.2189074900075305</v>
      </c>
      <c r="G65" s="23">
        <f>'Total and digestible IAA'!AL65/$G$2</f>
        <v>1.0070671378091873</v>
      </c>
      <c r="H65" s="23">
        <f>'Total and digestible IAA'!AM65/$H$2</f>
        <v>1.0809648179443847</v>
      </c>
      <c r="I65" s="23">
        <f>'Total and digestible IAA'!AN65/$I$2</f>
        <v>2.1103593898129791</v>
      </c>
      <c r="J65" s="23">
        <f>'Total and digestible IAA'!AO65/$J$2</f>
        <v>1.2128533568904594</v>
      </c>
      <c r="K65" s="23">
        <f>'Total and digestible IAA'!AP65/$K$2</f>
        <v>1.3264134275618376</v>
      </c>
      <c r="L65" s="24">
        <f t="shared" si="0"/>
        <v>100.70671378091873</v>
      </c>
      <c r="M65" s="14" t="s">
        <v>8</v>
      </c>
    </row>
    <row r="66" spans="1:14" s="4" customFormat="1" x14ac:dyDescent="0.25">
      <c r="A66" s="4" t="s">
        <v>177</v>
      </c>
      <c r="B66" s="4" t="s">
        <v>298</v>
      </c>
      <c r="C66" s="23">
        <f>'Total and digestible IAA'!AH66/$C$2</f>
        <v>0.98395721925133695</v>
      </c>
      <c r="D66" s="23">
        <f>'Total and digestible IAA'!AI66/$D$2</f>
        <v>0.90423529411764703</v>
      </c>
      <c r="E66" s="23">
        <f>'Total and digestible IAA'!AJ66/$E$2</f>
        <v>0.8666666666666667</v>
      </c>
      <c r="F66" s="23">
        <f>'Total and digestible IAA'!AK66/$F$2</f>
        <v>0.79845708775313395</v>
      </c>
      <c r="G66" s="23">
        <f>'Total and digestible IAA'!AL66/$G$2</f>
        <v>0.48529411764705888</v>
      </c>
      <c r="H66" s="23">
        <f>'Total and digestible IAA'!AM66/$H$2</f>
        <v>0.52301790281329918</v>
      </c>
      <c r="I66" s="23">
        <f>'Total and digestible IAA'!AN66/$I$2</f>
        <v>1.2086083213773313</v>
      </c>
      <c r="J66" s="23">
        <f>'Total and digestible IAA'!AO66/$J$2</f>
        <v>1.0148529411764708</v>
      </c>
      <c r="K66" s="23">
        <f>'Total and digestible IAA'!AP66/$K$2</f>
        <v>0.48198529411764696</v>
      </c>
      <c r="L66" s="24">
        <f t="shared" si="0"/>
        <v>48.198529411764696</v>
      </c>
      <c r="M66" s="14" t="s">
        <v>9</v>
      </c>
    </row>
    <row r="67" spans="1:14" s="4" customFormat="1" x14ac:dyDescent="0.25">
      <c r="A67" s="4" t="s">
        <v>179</v>
      </c>
      <c r="B67" s="4" t="s">
        <v>298</v>
      </c>
      <c r="C67" s="23">
        <f>'Total and digestible IAA'!AH67/$C$2</f>
        <v>1.0296143250688707</v>
      </c>
      <c r="D67" s="23">
        <f>'Total and digestible IAA'!AI67/$D$2</f>
        <v>1.2109090909090907</v>
      </c>
      <c r="E67" s="23">
        <f>'Total and digestible IAA'!AJ67/$E$2</f>
        <v>1.1079545454545454</v>
      </c>
      <c r="F67" s="23">
        <f>'Total and digestible IAA'!AK67/$F$2</f>
        <v>0.98975409836065575</v>
      </c>
      <c r="G67" s="23">
        <f>'Total and digestible IAA'!AL67/$G$2</f>
        <v>0.77272727272727282</v>
      </c>
      <c r="H67" s="23">
        <f>'Total and digestible IAA'!AM67/$H$2</f>
        <v>0.69960474308300391</v>
      </c>
      <c r="I67" s="23">
        <f>'Total and digestible IAA'!AN67/$I$2</f>
        <v>1.6023651145602367</v>
      </c>
      <c r="J67" s="23">
        <f>'Total and digestible IAA'!AO67/$J$2</f>
        <v>1.0840909090909092</v>
      </c>
      <c r="K67" s="23">
        <f>'Total and digestible IAA'!AP67/$K$2</f>
        <v>0.82102272727272729</v>
      </c>
      <c r="L67" s="24">
        <f t="shared" si="0"/>
        <v>69.960474308300391</v>
      </c>
      <c r="M67" s="14" t="s">
        <v>355</v>
      </c>
    </row>
    <row r="68" spans="1:14" s="4" customFormat="1" x14ac:dyDescent="0.25">
      <c r="A68" s="4" t="s">
        <v>251</v>
      </c>
      <c r="B68" s="4" t="s">
        <v>298</v>
      </c>
      <c r="C68" s="23">
        <f>'Total and digestible IAA'!AH68/$C$2</f>
        <v>0.89455157636975835</v>
      </c>
      <c r="D68" s="23">
        <f>'Total and digestible IAA'!AI68/$D$2</f>
        <v>1.1172525252525254</v>
      </c>
      <c r="E68" s="23">
        <f>'Total and digestible IAA'!AJ68/$E$2</f>
        <v>1.0841750841750841</v>
      </c>
      <c r="F68" s="23">
        <f>'Total and digestible IAA'!AK68/$F$2</f>
        <v>1.5286747253960367</v>
      </c>
      <c r="G68" s="23">
        <f>'Total and digestible IAA'!AL68/$G$2</f>
        <v>1.0947811447811449</v>
      </c>
      <c r="H68" s="23">
        <f>'Total and digestible IAA'!AM68/$H$2</f>
        <v>0.92108036890645584</v>
      </c>
      <c r="I68" s="23">
        <f>'Total and digestible IAA'!AN68/$I$2</f>
        <v>1.0445265664777861</v>
      </c>
      <c r="J68" s="23">
        <f>'Total and digestible IAA'!AO68/$J$2</f>
        <v>0.8741919191919193</v>
      </c>
      <c r="K68" s="23">
        <f>'Total and digestible IAA'!AP68/$K$2</f>
        <v>1.4471590909090908</v>
      </c>
      <c r="L68" s="24">
        <f t="shared" ref="L68:L131" si="1">MIN(C68:K68)*100</f>
        <v>87.419191919191931</v>
      </c>
      <c r="M68" s="4" t="s">
        <v>535</v>
      </c>
      <c r="N68" s="14" t="s">
        <v>364</v>
      </c>
    </row>
    <row r="69" spans="1:14" s="4" customFormat="1" ht="14.25" customHeight="1" x14ac:dyDescent="0.25">
      <c r="A69" s="4" t="s">
        <v>307</v>
      </c>
      <c r="B69" s="4" t="s">
        <v>298</v>
      </c>
      <c r="C69" s="23">
        <f>'Total and digestible IAA'!AH69/$C$2</f>
        <v>1.180822307582871</v>
      </c>
      <c r="D69" s="23">
        <f>'Total and digestible IAA'!AI69/$D$2</f>
        <v>1.0989671361502347</v>
      </c>
      <c r="E69" s="23">
        <f>'Total and digestible IAA'!AJ69/$E$2</f>
        <v>1.0651017214397496</v>
      </c>
      <c r="F69" s="23">
        <f>'Total and digestible IAA'!AK69/$F$2</f>
        <v>1.032555991687832</v>
      </c>
      <c r="G69" s="23">
        <f>'Total and digestible IAA'!AL69/$G$2</f>
        <v>1.3239436619718308</v>
      </c>
      <c r="H69" s="23">
        <f>'Total and digestible IAA'!AM69/$H$2</f>
        <v>0.94468258828332308</v>
      </c>
      <c r="I69" s="23">
        <f>'Total and digestible IAA'!AN69/$I$2</f>
        <v>1.6917439596931183</v>
      </c>
      <c r="J69" s="23">
        <f>'Total and digestible IAA'!AO69/$J$2</f>
        <v>0.81760563380281681</v>
      </c>
      <c r="K69" s="23">
        <f>'Total and digestible IAA'!AP69/$K$2</f>
        <v>1.3785211267605635</v>
      </c>
      <c r="L69" s="24">
        <f t="shared" si="1"/>
        <v>81.760563380281681</v>
      </c>
      <c r="M69" s="14" t="s">
        <v>535</v>
      </c>
    </row>
    <row r="70" spans="1:14" s="4" customFormat="1" x14ac:dyDescent="0.25">
      <c r="A70" s="4" t="s">
        <v>308</v>
      </c>
      <c r="B70" s="4" t="s">
        <v>298</v>
      </c>
      <c r="C70" s="23"/>
      <c r="D70" s="23">
        <f>'Total and digestible IAA'!AI70/$D$2</f>
        <v>1.9223724378543392</v>
      </c>
      <c r="E70" s="23">
        <f>'Total and digestible IAA'!AJ70/$E$2</f>
        <v>1.1951446431167319</v>
      </c>
      <c r="F70" s="23">
        <f>'Total and digestible IAA'!AK70/$F$2</f>
        <v>0.88097774409643026</v>
      </c>
      <c r="G70" s="23">
        <f>'Total and digestible IAA'!AL70/$G$2</f>
        <v>0.78499781945050151</v>
      </c>
      <c r="H70" s="23"/>
      <c r="I70" s="23"/>
      <c r="J70" s="23">
        <f>'Total and digestible IAA'!AO70/$J$2</f>
        <v>0.81924334932402965</v>
      </c>
      <c r="K70" s="23"/>
      <c r="L70" s="24">
        <f t="shared" si="1"/>
        <v>78.499781945050145</v>
      </c>
      <c r="M70" s="14" t="s">
        <v>8</v>
      </c>
      <c r="N70" s="5" t="s">
        <v>525</v>
      </c>
    </row>
    <row r="71" spans="1:14" s="4" customFormat="1" x14ac:dyDescent="0.25">
      <c r="A71" s="4" t="s">
        <v>253</v>
      </c>
      <c r="B71" s="4" t="s">
        <v>298</v>
      </c>
      <c r="C71" s="23">
        <f>'Total and digestible IAA'!AH71/$C$2</f>
        <v>1.1449275362318843</v>
      </c>
      <c r="D71" s="23">
        <f>'Total and digestible IAA'!AI71/$D$2</f>
        <v>0.91639525691699608</v>
      </c>
      <c r="E71" s="23">
        <f>'Total and digestible IAA'!AJ71/$E$2</f>
        <v>0.93849802371541502</v>
      </c>
      <c r="F71" s="23">
        <f>'Total and digestible IAA'!AK71/$F$2</f>
        <v>1.3281993131601115</v>
      </c>
      <c r="G71" s="23">
        <f>'Total and digestible IAA'!AL71/$G$2</f>
        <v>0.94496047430830032</v>
      </c>
      <c r="H71" s="23">
        <f>'Total and digestible IAA'!AM71/$H$2</f>
        <v>1.360525863550438</v>
      </c>
      <c r="I71" s="23">
        <f>'Total and digestible IAA'!AN71/$I$2</f>
        <v>1.0091873132170055</v>
      </c>
      <c r="J71" s="23">
        <f>'Total and digestible IAA'!AO71/$J$2</f>
        <v>0.70873517786561258</v>
      </c>
      <c r="K71" s="23">
        <f>'Total and digestible IAA'!AP71/$K$2</f>
        <v>1.1657608695652173</v>
      </c>
      <c r="L71" s="24">
        <f t="shared" si="1"/>
        <v>70.873517786561251</v>
      </c>
      <c r="M71" s="4" t="s">
        <v>535</v>
      </c>
      <c r="N71" s="14" t="s">
        <v>364</v>
      </c>
    </row>
    <row r="72" spans="1:14" s="4" customFormat="1" x14ac:dyDescent="0.25">
      <c r="A72" s="4" t="s">
        <v>285</v>
      </c>
      <c r="B72" s="4" t="s">
        <v>298</v>
      </c>
      <c r="C72" s="23"/>
      <c r="D72" s="23"/>
      <c r="E72" s="23"/>
      <c r="F72" s="23"/>
      <c r="G72" s="23"/>
      <c r="H72" s="23"/>
      <c r="I72" s="23"/>
      <c r="J72" s="23"/>
      <c r="K72" s="23"/>
      <c r="L72" s="24"/>
      <c r="M72" s="14"/>
    </row>
    <row r="73" spans="1:14" s="4" customFormat="1" x14ac:dyDescent="0.25">
      <c r="A73" s="4" t="s">
        <v>309</v>
      </c>
      <c r="B73" s="4" t="s">
        <v>298</v>
      </c>
      <c r="C73" s="23">
        <f>'Total and digestible IAA'!AH73/$C$2</f>
        <v>1.3971035657782644</v>
      </c>
      <c r="D73" s="23">
        <f>'Total and digestible IAA'!AI73/$D$2</f>
        <v>1.3063453815261044</v>
      </c>
      <c r="E73" s="23">
        <f>'Total and digestible IAA'!AJ73/$E$2</f>
        <v>1.0506024096385542</v>
      </c>
      <c r="F73" s="23">
        <f>'Total and digestible IAA'!AK73/$F$2</f>
        <v>0.93021265389426544</v>
      </c>
      <c r="G73" s="23">
        <f>'Total and digestible IAA'!AL73/$G$2</f>
        <v>1.1663319946452475</v>
      </c>
      <c r="H73" s="23">
        <f>'Total and digestible IAA'!AM73/$H$2</f>
        <v>0.8548978522786802</v>
      </c>
      <c r="I73" s="23">
        <f>'Total and digestible IAA'!AN73/$I$2</f>
        <v>1.5888921539817811</v>
      </c>
      <c r="J73" s="23">
        <f>'Total and digestible IAA'!AO73/$J$2</f>
        <v>0.83534136546184745</v>
      </c>
      <c r="K73" s="23">
        <f>'Total and digestible IAA'!AP73/$K$2</f>
        <v>1.0768072289156627</v>
      </c>
      <c r="L73" s="24">
        <f t="shared" si="1"/>
        <v>83.53413654618474</v>
      </c>
      <c r="M73" s="14" t="s">
        <v>535</v>
      </c>
    </row>
    <row r="74" spans="1:14" s="4" customFormat="1" x14ac:dyDescent="0.25">
      <c r="A74" s="4" t="s">
        <v>310</v>
      </c>
      <c r="B74" s="4" t="s">
        <v>298</v>
      </c>
      <c r="C74" s="23">
        <f>'Total and digestible IAA'!AH74/$C$2</f>
        <v>1.0440089945390298</v>
      </c>
      <c r="D74" s="23">
        <f>'Total and digestible IAA'!AI74/$D$2</f>
        <v>1.0012720848056536</v>
      </c>
      <c r="E74" s="23">
        <f>'Total and digestible IAA'!AJ74/$E$2</f>
        <v>0.97314487632508839</v>
      </c>
      <c r="F74" s="23">
        <f>'Total and digestible IAA'!AK74/$F$2</f>
        <v>0.85101083241615005</v>
      </c>
      <c r="G74" s="23">
        <f>'Total and digestible IAA'!AL74/$G$2</f>
        <v>0.90724381625441708</v>
      </c>
      <c r="H74" s="23">
        <f>'Total and digestible IAA'!AM74/$H$2</f>
        <v>0.82040251958826238</v>
      </c>
      <c r="I74" s="23">
        <f>'Total and digestible IAA'!AN74/$I$2</f>
        <v>1.3189692320951478</v>
      </c>
      <c r="J74" s="23">
        <f>'Total and digestible IAA'!AO74/$J$2</f>
        <v>1.0530035335689047</v>
      </c>
      <c r="K74" s="23">
        <f>'Total and digestible IAA'!AP74/$K$2</f>
        <v>1.264796819787986</v>
      </c>
      <c r="L74" s="24">
        <f t="shared" si="1"/>
        <v>82.040251958826232</v>
      </c>
      <c r="M74" s="14" t="s">
        <v>355</v>
      </c>
    </row>
    <row r="75" spans="1:14" s="4" customFormat="1" x14ac:dyDescent="0.25">
      <c r="A75" s="4" t="s">
        <v>311</v>
      </c>
      <c r="B75" s="4" t="s">
        <v>298</v>
      </c>
      <c r="C75" s="23">
        <f>'Total and digestible IAA'!AH75/$C$2</f>
        <v>1.3181818181818181</v>
      </c>
      <c r="D75" s="23">
        <f>'Total and digestible IAA'!AI75/$D$2</f>
        <v>0.98090909090909106</v>
      </c>
      <c r="E75" s="23">
        <f>'Total and digestible IAA'!AJ75/$E$2</f>
        <v>0.81848484848484848</v>
      </c>
      <c r="F75" s="23">
        <f>'Total and digestible IAA'!AK75/$F$2</f>
        <v>0.73770491803278682</v>
      </c>
      <c r="G75" s="23">
        <f>'Total and digestible IAA'!AL75/$G$2</f>
        <v>0.63030303030303036</v>
      </c>
      <c r="H75" s="23">
        <f>'Total and digestible IAA'!AM75/$H$2</f>
        <v>0.96719367588932814</v>
      </c>
      <c r="I75" s="23">
        <f>'Total and digestible IAA'!AN75/$I$2</f>
        <v>1.5730598669623062</v>
      </c>
      <c r="J75" s="23">
        <f>'Total and digestible IAA'!AO75/$J$2</f>
        <v>0.70795454545454539</v>
      </c>
      <c r="K75" s="23">
        <f>'Total and digestible IAA'!AP75/$K$2</f>
        <v>1.6772727272727268</v>
      </c>
      <c r="L75" s="24">
        <f t="shared" si="1"/>
        <v>63.030303030303038</v>
      </c>
      <c r="M75" s="14" t="s">
        <v>8</v>
      </c>
    </row>
    <row r="76" spans="1:14" s="4" customFormat="1" x14ac:dyDescent="0.25">
      <c r="A76" s="4" t="s">
        <v>312</v>
      </c>
      <c r="B76" s="4" t="s">
        <v>298</v>
      </c>
      <c r="C76" s="23">
        <f>'Total and digestible IAA'!AH76/$C$2</f>
        <v>1.3181818181818181</v>
      </c>
      <c r="D76" s="23">
        <f>'Total and digestible IAA'!AI76/$D$2</f>
        <v>0.98090909090909106</v>
      </c>
      <c r="E76" s="23">
        <f>'Total and digestible IAA'!AJ76/$E$2</f>
        <v>0.81848484848484848</v>
      </c>
      <c r="F76" s="23">
        <f>'Total and digestible IAA'!AK76/$F$2</f>
        <v>0.73770491803278682</v>
      </c>
      <c r="G76" s="23">
        <f>'Total and digestible IAA'!AL76/$G$2</f>
        <v>0.63030303030303036</v>
      </c>
      <c r="H76" s="23">
        <f>'Total and digestible IAA'!AM76/$H$2</f>
        <v>0.96719367588932814</v>
      </c>
      <c r="I76" s="23">
        <f>'Total and digestible IAA'!AN76/$I$2</f>
        <v>1.5730598669623062</v>
      </c>
      <c r="J76" s="23">
        <f>'Total and digestible IAA'!AO76/$J$2</f>
        <v>0.70795454545454539</v>
      </c>
      <c r="K76" s="23">
        <f>'Total and digestible IAA'!AP76/$K$2</f>
        <v>1.6772727272727268</v>
      </c>
      <c r="L76" s="24">
        <f t="shared" si="1"/>
        <v>63.030303030303038</v>
      </c>
      <c r="M76" s="14" t="s">
        <v>8</v>
      </c>
    </row>
    <row r="77" spans="1:14" s="4" customFormat="1" x14ac:dyDescent="0.25">
      <c r="A77" s="4" t="s">
        <v>313</v>
      </c>
      <c r="B77" s="4" t="s">
        <v>298</v>
      </c>
      <c r="C77" s="23">
        <f>'Total and digestible IAA'!AH77/$C$2</f>
        <v>1.3915151515151514</v>
      </c>
      <c r="D77" s="23">
        <f>'Total and digestible IAA'!AI77/$D$2</f>
        <v>1.2312000000000001</v>
      </c>
      <c r="E77" s="23">
        <f>'Total and digestible IAA'!AJ77/$E$2</f>
        <v>1.1200000000000001</v>
      </c>
      <c r="F77" s="23">
        <f>'Total and digestible IAA'!AK77/$F$2</f>
        <v>1.0489180327868852</v>
      </c>
      <c r="G77" s="23">
        <f>'Total and digestible IAA'!AL77/$G$2</f>
        <v>1.1138333333333332</v>
      </c>
      <c r="H77" s="23">
        <f>'Total and digestible IAA'!AM77/$H$2</f>
        <v>0.94295652173913036</v>
      </c>
      <c r="I77" s="23">
        <f>'Total and digestible IAA'!AN77/$I$2</f>
        <v>1.7714146341463415</v>
      </c>
      <c r="J77" s="23">
        <f>'Total and digestible IAA'!AO77/$J$2</f>
        <v>0.97109999999999985</v>
      </c>
      <c r="K77" s="23">
        <f>'Total and digestible IAA'!AP77/$K$2</f>
        <v>1.7424999999999997</v>
      </c>
      <c r="L77" s="24">
        <f t="shared" si="1"/>
        <v>94.295652173913041</v>
      </c>
      <c r="M77" s="14" t="s">
        <v>355</v>
      </c>
    </row>
    <row r="78" spans="1:14" s="4" customFormat="1" x14ac:dyDescent="0.25">
      <c r="A78" s="4" t="s">
        <v>338</v>
      </c>
      <c r="B78" s="4" t="s">
        <v>298</v>
      </c>
      <c r="C78" s="23">
        <f>'Total and digestible IAA'!AH78/$C$2</f>
        <v>0.8628659476117102</v>
      </c>
      <c r="D78" s="23">
        <f>'Total and digestible IAA'!AI78/$D$2</f>
        <v>1.1389830508474577</v>
      </c>
      <c r="E78" s="23">
        <f>'Total and digestible IAA'!AJ78/$E$2</f>
        <v>1.111864406779661</v>
      </c>
      <c r="F78" s="23">
        <f>'Total and digestible IAA'!AK78/$F$2</f>
        <v>1.0456237843845513</v>
      </c>
      <c r="G78" s="23">
        <f>'Total and digestible IAA'!AL78/$G$2</f>
        <v>1.1525423728813557</v>
      </c>
      <c r="H78" s="23">
        <f>'Total and digestible IAA'!AM78/$H$2</f>
        <v>0.64568901989683125</v>
      </c>
      <c r="I78" s="23">
        <f>'Total and digestible IAA'!AN78/$I$2</f>
        <v>1.4804464654816039</v>
      </c>
      <c r="J78" s="23">
        <f>'Total and digestible IAA'!AO78/$J$2</f>
        <v>0.89042372881355936</v>
      </c>
      <c r="K78" s="23">
        <f>'Total and digestible IAA'!AP78/$K$2</f>
        <v>1.3506355932203389</v>
      </c>
      <c r="L78" s="24">
        <f t="shared" si="1"/>
        <v>64.568901989683127</v>
      </c>
      <c r="M78" s="14" t="s">
        <v>355</v>
      </c>
    </row>
    <row r="79" spans="1:14" s="4" customFormat="1" x14ac:dyDescent="0.25">
      <c r="A79" s="4" t="s">
        <v>340</v>
      </c>
      <c r="B79" s="4" t="s">
        <v>298</v>
      </c>
      <c r="C79" s="23">
        <f>'Total and digestible IAA'!AH79/$C$2</f>
        <v>0.87519260400616328</v>
      </c>
      <c r="D79" s="23">
        <f>'Total and digestible IAA'!AI79/$D$2</f>
        <v>1.1532203389830511</v>
      </c>
      <c r="E79" s="23">
        <f>'Total and digestible IAA'!AJ79/$E$2</f>
        <v>1.111864406779661</v>
      </c>
      <c r="F79" s="23">
        <f>'Total and digestible IAA'!AK79/$F$2</f>
        <v>1.0580716865796054</v>
      </c>
      <c r="G79" s="23">
        <f>'Total and digestible IAA'!AL79/$G$2</f>
        <v>1.1796610169491526</v>
      </c>
      <c r="H79" s="23">
        <f>'Total and digestible IAA'!AM79/$H$2</f>
        <v>0.66897568165070009</v>
      </c>
      <c r="I79" s="23">
        <f>'Total and digestible IAA'!AN79/$I$2</f>
        <v>1.4906986357999175</v>
      </c>
      <c r="J79" s="23">
        <f>'Total and digestible IAA'!AO79/$J$2</f>
        <v>0.91296610169491554</v>
      </c>
      <c r="K79" s="23">
        <f>'Total and digestible IAA'!AP79/$K$2</f>
        <v>1.3506355932203389</v>
      </c>
      <c r="L79" s="24">
        <f t="shared" si="1"/>
        <v>66.897568165070012</v>
      </c>
      <c r="M79" s="14" t="s">
        <v>355</v>
      </c>
    </row>
    <row r="80" spans="1:14" s="4" customFormat="1" x14ac:dyDescent="0.25">
      <c r="A80" s="4" t="s">
        <v>54</v>
      </c>
      <c r="B80" s="4" t="s">
        <v>298</v>
      </c>
      <c r="C80" s="23">
        <f>'Total and digestible IAA'!AH80/$C$2</f>
        <v>0.95001461560947109</v>
      </c>
      <c r="D80" s="23">
        <f>'Total and digestible IAA'!AI80/$D$2</f>
        <v>1.1992282958199356</v>
      </c>
      <c r="E80" s="23">
        <f>'Total and digestible IAA'!AJ80/$E$2</f>
        <v>1.1344051446945338</v>
      </c>
      <c r="F80" s="23">
        <f>'Total and digestible IAA'!AK80/$F$2</f>
        <v>1.0822834853196985</v>
      </c>
      <c r="G80" s="23">
        <f>'Total and digestible IAA'!AL80/$G$2</f>
        <v>1.192390139335477</v>
      </c>
      <c r="H80" s="23">
        <f>'Total and digestible IAA'!AM80/$H$2</f>
        <v>0.69509296798546072</v>
      </c>
      <c r="I80" s="23">
        <f>'Total and digestible IAA'!AN80/$I$2</f>
        <v>1.546937495098424</v>
      </c>
      <c r="J80" s="23">
        <f>'Total and digestible IAA'!AO80/$J$2</f>
        <v>0.94075562700964621</v>
      </c>
      <c r="K80" s="23">
        <f>'Total and digestible IAA'!AP80/$K$2</f>
        <v>1.4129823151125405</v>
      </c>
      <c r="L80" s="24">
        <f t="shared" si="1"/>
        <v>69.509296798546075</v>
      </c>
      <c r="M80" s="14" t="s">
        <v>355</v>
      </c>
    </row>
    <row r="81" spans="1:14" s="4" customFormat="1" x14ac:dyDescent="0.25">
      <c r="A81" s="4" t="s">
        <v>268</v>
      </c>
      <c r="B81" s="4" t="s">
        <v>298</v>
      </c>
      <c r="C81" s="23">
        <f>'Total and digestible IAA'!AH81/$C$2</f>
        <v>1.2683703992716868</v>
      </c>
      <c r="D81" s="23">
        <f>'Total and digestible IAA'!AI81/$D$2</f>
        <v>0.82753648068669516</v>
      </c>
      <c r="E81" s="23">
        <f>'Total and digestible IAA'!AJ81/$E$2</f>
        <v>1.0779399141630901</v>
      </c>
      <c r="F81" s="23">
        <f>'Total and digestible IAA'!AK81/$F$2</f>
        <v>0.99789629212692621</v>
      </c>
      <c r="G81" s="23">
        <f>'Total and digestible IAA'!AL81/$G$2</f>
        <v>0.34784066523605151</v>
      </c>
      <c r="H81" s="23">
        <f>'Total and digestible IAA'!AM81/$H$2</f>
        <v>0.79289046463892521</v>
      </c>
      <c r="I81" s="23">
        <f>'Total and digestible IAA'!AN81/$I$2</f>
        <v>2.0404584947137026</v>
      </c>
      <c r="J81" s="23">
        <f>'Total and digestible IAA'!AO81/$J$2</f>
        <v>0.96566523605150212</v>
      </c>
      <c r="K81" s="23">
        <f>'Total and digestible IAA'!AP81/$K$2</f>
        <v>1.2413626609442063</v>
      </c>
      <c r="L81" s="24">
        <f t="shared" si="1"/>
        <v>34.784066523605148</v>
      </c>
      <c r="M81" s="14" t="s">
        <v>8</v>
      </c>
    </row>
    <row r="82" spans="1:14" s="4" customFormat="1" x14ac:dyDescent="0.25">
      <c r="A82" s="4" t="s">
        <v>248</v>
      </c>
      <c r="B82" s="4" t="s">
        <v>298</v>
      </c>
      <c r="C82" s="23">
        <f>'Total and digestible IAA'!AH82/$C$2</f>
        <v>1.1262433495257924</v>
      </c>
      <c r="D82" s="23">
        <f>'Total and digestible IAA'!AI82/$D$2</f>
        <v>1.150320610687023</v>
      </c>
      <c r="E82" s="23">
        <f>'Total and digestible IAA'!AJ82/$E$2</f>
        <v>1.0978625954198473</v>
      </c>
      <c r="F82" s="23">
        <f>'Total and digestible IAA'!AK82/$F$2</f>
        <v>1.0933487673632838</v>
      </c>
      <c r="G82" s="23">
        <f>'Total and digestible IAA'!AL82/$G$2</f>
        <v>1.116793893129771</v>
      </c>
      <c r="H82" s="23">
        <f>'Total and digestible IAA'!AM82/$H$2</f>
        <v>0.73986060404912035</v>
      </c>
      <c r="I82" s="23">
        <f>'Total and digestible IAA'!AN82/$I$2</f>
        <v>1.340588344814746</v>
      </c>
      <c r="J82" s="23">
        <f>'Total and digestible IAA'!AO82/$J$2</f>
        <v>0.95300572519083993</v>
      </c>
      <c r="K82" s="23">
        <f>'Total and digestible IAA'!AP82/$K$2</f>
        <v>1.2130248091603053</v>
      </c>
      <c r="L82" s="24">
        <f t="shared" si="1"/>
        <v>73.986060404912038</v>
      </c>
      <c r="M82" s="4" t="s">
        <v>355</v>
      </c>
      <c r="N82" s="14" t="s">
        <v>364</v>
      </c>
    </row>
    <row r="83" spans="1:14" s="4" customFormat="1" x14ac:dyDescent="0.25">
      <c r="A83" s="4" t="s">
        <v>314</v>
      </c>
      <c r="B83" s="4" t="s">
        <v>298</v>
      </c>
      <c r="C83" s="23">
        <f>'Total and digestible IAA'!AH83/$C$2</f>
        <v>0.84710743801652899</v>
      </c>
      <c r="D83" s="23">
        <f>'Total and digestible IAA'!AI83/$D$2</f>
        <v>1.1290909090909091</v>
      </c>
      <c r="E83" s="23">
        <f>'Total and digestible IAA'!AJ83/$E$2</f>
        <v>1.103030303030303</v>
      </c>
      <c r="F83" s="23">
        <f>'Total and digestible IAA'!AK83/$F$2</f>
        <v>0.95591157476403366</v>
      </c>
      <c r="G83" s="23">
        <f>'Total and digestible IAA'!AL83/$G$2</f>
        <v>1.0482954545454546</v>
      </c>
      <c r="H83" s="23">
        <f>'Total and digestible IAA'!AM83/$H$2</f>
        <v>0.71903820816864294</v>
      </c>
      <c r="I83" s="23">
        <f>'Total and digestible IAA'!AN83/$I$2</f>
        <v>1.4712675535846269</v>
      </c>
      <c r="J83" s="23">
        <f>'Total and digestible IAA'!AO83/$J$2</f>
        <v>0.86458333333333326</v>
      </c>
      <c r="K83" s="23">
        <f>'Total and digestible IAA'!AP83/$K$2</f>
        <v>1.262310606060606</v>
      </c>
      <c r="L83" s="24">
        <f t="shared" si="1"/>
        <v>71.903820816864297</v>
      </c>
      <c r="M83" s="4" t="s">
        <v>355</v>
      </c>
    </row>
    <row r="84" spans="1:14" s="4" customFormat="1" x14ac:dyDescent="0.25">
      <c r="A84" s="4" t="s">
        <v>315</v>
      </c>
      <c r="B84" s="4" t="s">
        <v>298</v>
      </c>
      <c r="C84" s="23">
        <f>'Total and digestible IAA'!AH84/$C$2</f>
        <v>0.74199484725800535</v>
      </c>
      <c r="D84" s="23">
        <f>'Total and digestible IAA'!AI84/$D$2</f>
        <v>1.1130364372469637</v>
      </c>
      <c r="E84" s="23">
        <f>'Total and digestible IAA'!AJ84/$E$2</f>
        <v>1.1444264507422404</v>
      </c>
      <c r="F84" s="23">
        <f>'Total and digestible IAA'!AK84/$F$2</f>
        <v>0.92281144222472966</v>
      </c>
      <c r="G84" s="23">
        <f>'Total and digestible IAA'!AL84/$G$2</f>
        <v>1.1557017543859651</v>
      </c>
      <c r="H84" s="23">
        <f>'Total and digestible IAA'!AM84/$H$2</f>
        <v>0.58098926245379334</v>
      </c>
      <c r="I84" s="23">
        <f>'Total and digestible IAA'!AN84/$I$2</f>
        <v>1.5182976202231659</v>
      </c>
      <c r="J84" s="23">
        <f>'Total and digestible IAA'!AO84/$J$2</f>
        <v>0.93886639676113348</v>
      </c>
      <c r="K84" s="23">
        <f>'Total and digestible IAA'!AP84/$K$2</f>
        <v>1.1898532388663967</v>
      </c>
      <c r="L84" s="24">
        <f t="shared" si="1"/>
        <v>58.098926245379332</v>
      </c>
      <c r="M84" s="4" t="s">
        <v>355</v>
      </c>
    </row>
    <row r="85" spans="1:14" s="4" customFormat="1" x14ac:dyDescent="0.25">
      <c r="A85" s="4" t="s">
        <v>316</v>
      </c>
      <c r="B85" s="4" t="s">
        <v>298</v>
      </c>
      <c r="C85" s="23">
        <f>'Total and digestible IAA'!AH85/$C$2</f>
        <v>0.81182192293303401</v>
      </c>
      <c r="D85" s="23">
        <f>'Total and digestible IAA'!AI85/$D$2</f>
        <v>1.2103703703703703</v>
      </c>
      <c r="E85" s="23">
        <f>'Total and digestible IAA'!AJ85/$E$2</f>
        <v>1.2593415637860084</v>
      </c>
      <c r="F85" s="23">
        <f>'Total and digestible IAA'!AK85/$F$2</f>
        <v>1.0306145854415436</v>
      </c>
      <c r="G85" s="23">
        <f>'Total and digestible IAA'!AL85/$G$2</f>
        <v>1.2199845679012347</v>
      </c>
      <c r="H85" s="23">
        <f>'Total and digestible IAA'!AM85/$H$2</f>
        <v>0.69228842368938981</v>
      </c>
      <c r="I85" s="23">
        <f>'Total and digestible IAA'!AN85/$I$2</f>
        <v>1.6581953226939676</v>
      </c>
      <c r="J85" s="23">
        <f>'Total and digestible IAA'!AO85/$J$2</f>
        <v>1.0394135802469135</v>
      </c>
      <c r="K85" s="23">
        <f>'Total and digestible IAA'!AP85/$K$2</f>
        <v>1.3080761316872427</v>
      </c>
      <c r="L85" s="24">
        <f t="shared" si="1"/>
        <v>69.228842368938984</v>
      </c>
      <c r="M85" s="4" t="s">
        <v>355</v>
      </c>
    </row>
    <row r="86" spans="1:14" s="4" customFormat="1" x14ac:dyDescent="0.25">
      <c r="A86" s="4" t="s">
        <v>317</v>
      </c>
      <c r="B86" s="4" t="s">
        <v>298</v>
      </c>
      <c r="C86" s="23">
        <f>'Total and digestible IAA'!AH86/$C$2</f>
        <v>0.89046199701937412</v>
      </c>
      <c r="D86" s="23">
        <f>'Total and digestible IAA'!AI86/$D$2</f>
        <v>1.2392459016393442</v>
      </c>
      <c r="E86" s="23">
        <f>'Total and digestible IAA'!AJ86/$E$2</f>
        <v>1.2804918032786883</v>
      </c>
      <c r="F86" s="23">
        <f>'Total and digestible IAA'!AK86/$F$2</f>
        <v>1.0310937919914001</v>
      </c>
      <c r="G86" s="23">
        <f>'Total and digestible IAA'!AL86/$G$2</f>
        <v>1.2458504098360657</v>
      </c>
      <c r="H86" s="23">
        <f>'Total and digestible IAA'!AM86/$H$2</f>
        <v>0.63171774768353539</v>
      </c>
      <c r="I86" s="23">
        <f>'Total and digestible IAA'!AN86/$I$2</f>
        <v>1.7019392243102758</v>
      </c>
      <c r="J86" s="23">
        <f>'Total and digestible IAA'!AO86/$J$2</f>
        <v>1.0607581967213116</v>
      </c>
      <c r="K86" s="23">
        <f>'Total and digestible IAA'!AP86/$K$2</f>
        <v>1.3148053278688525</v>
      </c>
      <c r="L86" s="24">
        <f t="shared" si="1"/>
        <v>63.171774768353536</v>
      </c>
      <c r="M86" s="4" t="s">
        <v>355</v>
      </c>
    </row>
    <row r="87" spans="1:14" s="4" customFormat="1" x14ac:dyDescent="0.25">
      <c r="A87" s="4" t="s">
        <v>318</v>
      </c>
      <c r="B87" s="4" t="s">
        <v>298</v>
      </c>
      <c r="C87" s="23">
        <f>'Total and digestible IAA'!AH87/$C$2</f>
        <v>2.0471380471380471</v>
      </c>
      <c r="D87" s="23">
        <f>'Total and digestible IAA'!AI87/$D$2</f>
        <v>1.3333333333333335</v>
      </c>
      <c r="E87" s="23">
        <f>'Total and digestible IAA'!AJ87/$E$2</f>
        <v>1.2681481481481482</v>
      </c>
      <c r="F87" s="23">
        <f>'Total and digestible IAA'!AK87/$F$2</f>
        <v>0.85435336976320575</v>
      </c>
      <c r="G87" s="23">
        <f>'Total and digestible IAA'!AL87/$G$2</f>
        <v>0.61111111111111116</v>
      </c>
      <c r="H87" s="23">
        <f>'Total and digestible IAA'!AM87/$H$2</f>
        <v>1.3263768115942032</v>
      </c>
      <c r="I87" s="23">
        <f>'Total and digestible IAA'!AN87/$I$2</f>
        <v>1.6328455284552847</v>
      </c>
      <c r="J87" s="23">
        <f>'Total and digestible IAA'!AO87/$J$2</f>
        <v>1.0226666666666666</v>
      </c>
      <c r="K87" s="23">
        <f>'Total and digestible IAA'!AP87/$K$2</f>
        <v>1.1700000000000002</v>
      </c>
      <c r="L87" s="24">
        <f t="shared" si="1"/>
        <v>61.111111111111114</v>
      </c>
      <c r="M87" s="14" t="s">
        <v>8</v>
      </c>
    </row>
    <row r="88" spans="1:14" s="4" customFormat="1" x14ac:dyDescent="0.25">
      <c r="A88" s="4" t="s">
        <v>319</v>
      </c>
      <c r="B88" s="4" t="s">
        <v>298</v>
      </c>
      <c r="C88" s="23">
        <f>'Total and digestible IAA'!AH88/$C$2</f>
        <v>2.0471380471380471</v>
      </c>
      <c r="D88" s="23">
        <f>'Total and digestible IAA'!AI88/$D$2</f>
        <v>1.3333333333333335</v>
      </c>
      <c r="E88" s="23">
        <f>'Total and digestible IAA'!AJ88/$E$2</f>
        <v>1.2681481481481482</v>
      </c>
      <c r="F88" s="23">
        <f>'Total and digestible IAA'!AK88/$F$2</f>
        <v>0.85435336976320575</v>
      </c>
      <c r="G88" s="23">
        <f>'Total and digestible IAA'!AL88/$G$2</f>
        <v>0.61111111111111116</v>
      </c>
      <c r="H88" s="23">
        <f>'Total and digestible IAA'!AM88/$H$2</f>
        <v>1.3263768115942032</v>
      </c>
      <c r="I88" s="23">
        <f>'Total and digestible IAA'!AN88/$I$2</f>
        <v>1.6328455284552847</v>
      </c>
      <c r="J88" s="23">
        <f>'Total and digestible IAA'!AO88/$J$2</f>
        <v>1.0226666666666666</v>
      </c>
      <c r="K88" s="23">
        <f>'Total and digestible IAA'!AP88/$K$2</f>
        <v>1.1700000000000002</v>
      </c>
      <c r="L88" s="24">
        <f t="shared" si="1"/>
        <v>61.111111111111114</v>
      </c>
      <c r="M88" s="14" t="s">
        <v>8</v>
      </c>
    </row>
    <row r="89" spans="1:14" s="4" customFormat="1" x14ac:dyDescent="0.25">
      <c r="A89" s="4" t="s">
        <v>320</v>
      </c>
      <c r="B89" s="4" t="s">
        <v>298</v>
      </c>
      <c r="C89" s="23">
        <f>'Total and digestible IAA'!AH89/$C$2</f>
        <v>0.87587587587587601</v>
      </c>
      <c r="D89" s="23">
        <f>'Total and digestible IAA'!AI89/$D$2</f>
        <v>1.3060660660660661</v>
      </c>
      <c r="E89" s="23">
        <f>'Total and digestible IAA'!AJ89/$E$2</f>
        <v>1.3653653653653655</v>
      </c>
      <c r="F89" s="23">
        <f>'Total and digestible IAA'!AK89/$F$2</f>
        <v>1.0700536602175947</v>
      </c>
      <c r="G89" s="23">
        <f>'Total and digestible IAA'!AL89/$G$2</f>
        <v>0.91441441441441429</v>
      </c>
      <c r="H89" s="23">
        <f>'Total and digestible IAA'!AM89/$H$2</f>
        <v>0.99934717326021683</v>
      </c>
      <c r="I89" s="23">
        <f>'Total and digestible IAA'!AN89/$I$2</f>
        <v>1.8562953197099539</v>
      </c>
      <c r="J89" s="23">
        <f>'Total and digestible IAA'!AO89/$J$2</f>
        <v>0.93963963963963959</v>
      </c>
      <c r="K89" s="23">
        <f>'Total and digestible IAA'!AP89/$K$2</f>
        <v>1.295045045045045</v>
      </c>
      <c r="L89" s="24">
        <f t="shared" si="1"/>
        <v>87.587587587587606</v>
      </c>
      <c r="M89" s="14" t="s">
        <v>6</v>
      </c>
    </row>
    <row r="90" spans="1:14" s="4" customFormat="1" x14ac:dyDescent="0.25">
      <c r="A90" s="4" t="s">
        <v>321</v>
      </c>
      <c r="B90" s="4" t="s">
        <v>298</v>
      </c>
      <c r="C90" s="23">
        <f>'Total and digestible IAA'!AH90/$C$2</f>
        <v>0.80861244019138767</v>
      </c>
      <c r="D90" s="23">
        <f>'Total and digestible IAA'!AI90/$D$2</f>
        <v>1.1576842105263159</v>
      </c>
      <c r="E90" s="23">
        <f>'Total and digestible IAA'!AJ90/$E$2</f>
        <v>1.3431578947368421</v>
      </c>
      <c r="F90" s="23">
        <f>'Total and digestible IAA'!AK90/$F$2</f>
        <v>1.0239861949956859</v>
      </c>
      <c r="G90" s="23">
        <f>'Total and digestible IAA'!AL90/$G$2</f>
        <v>0.83168859649122806</v>
      </c>
      <c r="H90" s="23">
        <f>'Total and digestible IAA'!AM90/$H$2</f>
        <v>0.80869565217391315</v>
      </c>
      <c r="I90" s="23">
        <f>'Total and digestible IAA'!AN90/$I$2</f>
        <v>1.8280487804878049</v>
      </c>
      <c r="J90" s="23">
        <f>'Total and digestible IAA'!AO90/$J$2</f>
        <v>0.79842105263157903</v>
      </c>
      <c r="K90" s="23">
        <f>'Total and digestible IAA'!AP90/$K$2</f>
        <v>1.174013157894737</v>
      </c>
      <c r="L90" s="24">
        <f t="shared" si="1"/>
        <v>79.842105263157904</v>
      </c>
      <c r="M90" s="14" t="s">
        <v>535</v>
      </c>
    </row>
    <row r="91" spans="1:14" s="4" customFormat="1" x14ac:dyDescent="0.25">
      <c r="A91" s="4" t="s">
        <v>322</v>
      </c>
      <c r="B91" s="4" t="s">
        <v>298</v>
      </c>
      <c r="C91" s="23">
        <f>'Total and digestible IAA'!AH91/$C$2</f>
        <v>0.80861244019138767</v>
      </c>
      <c r="D91" s="23">
        <f>'Total and digestible IAA'!AI91/$D$2</f>
        <v>1.1576842105263159</v>
      </c>
      <c r="E91" s="23">
        <f>'Total and digestible IAA'!AJ91/$E$2</f>
        <v>1.3431578947368421</v>
      </c>
      <c r="F91" s="23">
        <f>'Total and digestible IAA'!AK91/$F$2</f>
        <v>1.0239861949956859</v>
      </c>
      <c r="G91" s="23">
        <f>'Total and digestible IAA'!AL91/$G$2</f>
        <v>0.83168859649122806</v>
      </c>
      <c r="H91" s="23">
        <f>'Total and digestible IAA'!AM91/$H$2</f>
        <v>0.80869565217391315</v>
      </c>
      <c r="I91" s="23">
        <f>'Total and digestible IAA'!AN91/$I$2</f>
        <v>1.8280487804878049</v>
      </c>
      <c r="J91" s="23">
        <f>'Total and digestible IAA'!AO91/$J$2</f>
        <v>0.79842105263157903</v>
      </c>
      <c r="K91" s="23">
        <f>'Total and digestible IAA'!AP91/$K$2</f>
        <v>1.174013157894737</v>
      </c>
      <c r="L91" s="24">
        <f t="shared" si="1"/>
        <v>79.842105263157904</v>
      </c>
      <c r="M91" s="14" t="s">
        <v>535</v>
      </c>
    </row>
    <row r="92" spans="1:14" s="4" customFormat="1" x14ac:dyDescent="0.25">
      <c r="A92" s="4" t="s">
        <v>323</v>
      </c>
      <c r="B92" s="4" t="s">
        <v>298</v>
      </c>
      <c r="C92" s="23"/>
      <c r="D92" s="23">
        <f>'Total and digestible IAA'!AI92/$D$2</f>
        <v>0.87249398556535684</v>
      </c>
      <c r="E92" s="23">
        <f>'Total and digestible IAA'!AJ92/$E$2</f>
        <v>1.0637530072173216</v>
      </c>
      <c r="F92" s="23">
        <f>'Total and digestible IAA'!AK92/$F$2</f>
        <v>0.77645365270090838</v>
      </c>
      <c r="G92" s="23">
        <f>'Total and digestible IAA'!AL92/$G$2</f>
        <v>0.84728348035284684</v>
      </c>
      <c r="H92" s="23"/>
      <c r="I92" s="23"/>
      <c r="J92" s="23">
        <f>'Total and digestible IAA'!AO92/$J$2</f>
        <v>0.82914995990376905</v>
      </c>
      <c r="K92" s="23"/>
      <c r="L92" s="24">
        <f t="shared" si="1"/>
        <v>77.645365270090835</v>
      </c>
      <c r="M92" s="14" t="s">
        <v>526</v>
      </c>
      <c r="N92" s="5" t="s">
        <v>525</v>
      </c>
    </row>
    <row r="93" spans="1:14" s="4" customFormat="1" x14ac:dyDescent="0.25">
      <c r="A93" s="4" t="s">
        <v>324</v>
      </c>
      <c r="B93" s="4" t="s">
        <v>298</v>
      </c>
      <c r="C93" s="23"/>
      <c r="D93" s="23">
        <f>'Total and digestible IAA'!AI93/$D$2</f>
        <v>1.1259435836313072</v>
      </c>
      <c r="E93" s="23">
        <f>'Total and digestible IAA'!AJ93/$E$2</f>
        <v>1.1308038670374785</v>
      </c>
      <c r="F93" s="23">
        <f>'Total and digestible IAA'!AK93/$F$2</f>
        <v>0.8945075128470662</v>
      </c>
      <c r="G93" s="23">
        <f>'Total and digestible IAA'!AL93/$G$2</f>
        <v>0.84487154019335209</v>
      </c>
      <c r="H93" s="23"/>
      <c r="I93" s="23"/>
      <c r="J93" s="23">
        <f>'Total and digestible IAA'!AO93/$J$2</f>
        <v>0.98529996027016309</v>
      </c>
      <c r="K93" s="23"/>
      <c r="L93" s="24">
        <f t="shared" si="1"/>
        <v>84.487154019335208</v>
      </c>
      <c r="M93" s="14" t="s">
        <v>8</v>
      </c>
      <c r="N93" s="5" t="s">
        <v>525</v>
      </c>
    </row>
    <row r="94" spans="1:14" s="4" customFormat="1" x14ac:dyDescent="0.25">
      <c r="A94" s="4" t="s">
        <v>249</v>
      </c>
      <c r="B94" s="4" t="s">
        <v>298</v>
      </c>
      <c r="C94" s="23">
        <f>'Total and digestible IAA'!AH94/$C$2</f>
        <v>1.1452455590386623</v>
      </c>
      <c r="D94" s="23">
        <f>'Total and digestible IAA'!AI94/$D$2</f>
        <v>0.94283524904214555</v>
      </c>
      <c r="E94" s="23">
        <f>'Total and digestible IAA'!AJ94/$E$2</f>
        <v>1.0706257982120051</v>
      </c>
      <c r="F94" s="23">
        <f>'Total and digestible IAA'!AK94/$F$2</f>
        <v>1.0698322969662712</v>
      </c>
      <c r="G94" s="23">
        <f>'Total and digestible IAA'!AL94/$G$2</f>
        <v>1.1339798850574712</v>
      </c>
      <c r="H94" s="23">
        <f>'Total and digestible IAA'!AM94/$H$2</f>
        <v>1.0042145593869731</v>
      </c>
      <c r="I94" s="23">
        <f>'Total and digestible IAA'!AN94/$I$2</f>
        <v>1.5022147462853939</v>
      </c>
      <c r="J94" s="23">
        <f>'Total and digestible IAA'!AO94/$J$2</f>
        <v>0.93586206896551727</v>
      </c>
      <c r="K94" s="23">
        <f>'Total and digestible IAA'!AP94/$K$2</f>
        <v>1.3372126436781608</v>
      </c>
      <c r="L94" s="24">
        <f t="shared" si="1"/>
        <v>93.58620689655173</v>
      </c>
      <c r="M94" s="4" t="s">
        <v>535</v>
      </c>
      <c r="N94" s="14" t="s">
        <v>364</v>
      </c>
    </row>
    <row r="95" spans="1:14" s="4" customFormat="1" x14ac:dyDescent="0.25">
      <c r="A95" s="4" t="s">
        <v>325</v>
      </c>
      <c r="B95" s="4" t="s">
        <v>298</v>
      </c>
      <c r="C95" s="23">
        <f>'Total and digestible IAA'!AH95/$C$2</f>
        <v>0.94940824554558456</v>
      </c>
      <c r="D95" s="23">
        <f>'Total and digestible IAA'!AI95/$D$2</f>
        <v>1.1612017167381974</v>
      </c>
      <c r="E95" s="23">
        <f>'Total and digestible IAA'!AJ95/$E$2</f>
        <v>1.1075822603719601</v>
      </c>
      <c r="F95" s="23">
        <f>'Total and digestible IAA'!AK95/$F$2</f>
        <v>0.93435587138535148</v>
      </c>
      <c r="G95" s="23">
        <f>'Total and digestible IAA'!AL95/$G$2</f>
        <v>1.2616237482117312</v>
      </c>
      <c r="H95" s="23">
        <f>'Total and digestible IAA'!AM95/$H$2</f>
        <v>0.7732785967531256</v>
      </c>
      <c r="I95" s="23">
        <f>'Total and digestible IAA'!AN95/$I$2</f>
        <v>1.5401444572385639</v>
      </c>
      <c r="J95" s="23">
        <f>'Total and digestible IAA'!AO95/$J$2</f>
        <v>0.90879828326180268</v>
      </c>
      <c r="K95" s="23">
        <f>'Total and digestible IAA'!AP95/$K$2</f>
        <v>1.3293991416309014</v>
      </c>
      <c r="L95" s="24">
        <f t="shared" si="1"/>
        <v>77.327859675312567</v>
      </c>
      <c r="M95" s="14" t="s">
        <v>355</v>
      </c>
    </row>
    <row r="96" spans="1:14" s="4" customFormat="1" x14ac:dyDescent="0.25">
      <c r="A96" s="4" t="s">
        <v>325</v>
      </c>
      <c r="B96" s="4" t="s">
        <v>298</v>
      </c>
      <c r="C96" s="23">
        <f>'Total and digestible IAA'!AH96/$C$2</f>
        <v>0.92700403045230639</v>
      </c>
      <c r="D96" s="23">
        <f>'Total and digestible IAA'!AI96/$D$2</f>
        <v>1.0935960591133005</v>
      </c>
      <c r="E96" s="23">
        <f>'Total and digestible IAA'!AJ96/$E$2</f>
        <v>1.0494252873563219</v>
      </c>
      <c r="F96" s="23">
        <f>'Total and digestible IAA'!AK96/$F$2</f>
        <v>0.89542114188807231</v>
      </c>
      <c r="G96" s="23">
        <f>'Total and digestible IAA'!AL96/$G$2</f>
        <v>1.1970443349753697</v>
      </c>
      <c r="H96" s="23">
        <f>'Total and digestible IAA'!AM96/$H$2</f>
        <v>0.78817733990147776</v>
      </c>
      <c r="I96" s="23">
        <f>'Total and digestible IAA'!AN96/$I$2</f>
        <v>1.4953742640874685</v>
      </c>
      <c r="J96" s="23">
        <f>'Total and digestible IAA'!AO96/$J$2</f>
        <v>0.84753694581280781</v>
      </c>
      <c r="K96" s="23">
        <f>'Total and digestible IAA'!AP96/$K$2</f>
        <v>1.2718596059113303</v>
      </c>
      <c r="L96" s="24">
        <f t="shared" si="1"/>
        <v>78.817733990147772</v>
      </c>
      <c r="M96" s="14" t="s">
        <v>355</v>
      </c>
    </row>
    <row r="97" spans="1:14" s="4" customFormat="1" x14ac:dyDescent="0.25">
      <c r="A97" s="4" t="s">
        <v>326</v>
      </c>
      <c r="B97" s="4" t="s">
        <v>298</v>
      </c>
      <c r="C97" s="23">
        <f>'Total and digestible IAA'!AH97/$C$2</f>
        <v>1.1574977240213293</v>
      </c>
      <c r="D97" s="23">
        <f>'Total and digestible IAA'!AI97/$D$2</f>
        <v>1.375107296137339</v>
      </c>
      <c r="E97" s="23">
        <f>'Total and digestible IAA'!AJ97/$E$2</f>
        <v>1.2758226037195997</v>
      </c>
      <c r="F97" s="23">
        <f>'Total and digestible IAA'!AK97/$F$2</f>
        <v>1.0745092520931543</v>
      </c>
      <c r="G97" s="23">
        <f>'Total and digestible IAA'!AL97/$G$2</f>
        <v>1.4136266094420602</v>
      </c>
      <c r="H97" s="23">
        <f>'Total and digestible IAA'!AM97/$H$2</f>
        <v>0.89456988244075408</v>
      </c>
      <c r="I97" s="23">
        <f>'Total and digestible IAA'!AN97/$I$2</f>
        <v>1.7891761750235524</v>
      </c>
      <c r="J97" s="23">
        <f>'Total and digestible IAA'!AO97/$J$2</f>
        <v>1.0504291845493563</v>
      </c>
      <c r="K97" s="23">
        <f>'Total and digestible IAA'!AP97/$K$2</f>
        <v>1.4876609442060087</v>
      </c>
      <c r="L97" s="24">
        <f t="shared" si="1"/>
        <v>89.456988244075404</v>
      </c>
      <c r="M97" s="14" t="s">
        <v>355</v>
      </c>
    </row>
    <row r="98" spans="1:14" x14ac:dyDescent="0.25">
      <c r="A98" s="5" t="s">
        <v>181</v>
      </c>
      <c r="B98" s="4" t="s">
        <v>298</v>
      </c>
      <c r="C98" s="23">
        <f>'Total and digestible IAA'!AH98/$C$2</f>
        <v>1.0752688172043012</v>
      </c>
      <c r="D98" s="23">
        <f>'Total and digestible IAA'!AI98/$D$2</f>
        <v>0.82007168458781365</v>
      </c>
      <c r="E98" s="23">
        <f>'Total and digestible IAA'!AJ98/$E$2</f>
        <v>1.1333333333333333</v>
      </c>
      <c r="F98" s="23">
        <f>'Total and digestible IAA'!AK98/$F$2</f>
        <v>1.0383688818379457</v>
      </c>
      <c r="G98" s="23">
        <f>'Total and digestible IAA'!AL98/$G$2</f>
        <v>1.2201314217443249</v>
      </c>
      <c r="H98" s="23">
        <f>'Total and digestible IAA'!AM98/$H$2</f>
        <v>0.6598618253597216</v>
      </c>
      <c r="I98" s="23">
        <f>'Total and digestible IAA'!AN98/$I$2</f>
        <v>1.6266282017658884</v>
      </c>
      <c r="J98" s="23">
        <f>'Total and digestible IAA'!AO98/$J$2</f>
        <v>0.93888888888888877</v>
      </c>
      <c r="K98" s="23">
        <f>'Total and digestible IAA'!AP98/$K$2</f>
        <v>1.5125448028673836</v>
      </c>
      <c r="L98" s="24">
        <f t="shared" si="1"/>
        <v>65.986182535972162</v>
      </c>
      <c r="M98" s="14" t="s">
        <v>355</v>
      </c>
    </row>
    <row r="99" spans="1:14" s="4" customFormat="1" x14ac:dyDescent="0.25">
      <c r="A99" s="4" t="s">
        <v>247</v>
      </c>
      <c r="B99" s="4" t="s">
        <v>298</v>
      </c>
      <c r="C99" s="23">
        <f>'Total and digestible IAA'!AH99/$C$2</f>
        <v>4.5838973414911468</v>
      </c>
      <c r="D99" s="23">
        <f>'Total and digestible IAA'!AI99/$D$2</f>
        <v>1.430851697438952</v>
      </c>
      <c r="E99" s="23">
        <f>'Total and digestible IAA'!AJ99/$E$2</f>
        <v>1.5024816358943816</v>
      </c>
      <c r="F99" s="23">
        <f>'Total and digestible IAA'!AK99/$F$2</f>
        <v>1.3286597213407667</v>
      </c>
      <c r="G99" s="23">
        <f>'Total and digestible IAA'!AL99/$G$2</f>
        <v>1.3748511018463372</v>
      </c>
      <c r="H99" s="23">
        <f>'Total and digestible IAA'!AM99/$H$2</f>
        <v>0.55478157288240937</v>
      </c>
      <c r="I99" s="23">
        <f>'Total and digestible IAA'!AN99/$I$2</f>
        <v>2.0944958526416708</v>
      </c>
      <c r="J99" s="23">
        <f>'Total and digestible IAA'!AO99/$J$2</f>
        <v>1.1433591423466347</v>
      </c>
      <c r="K99" s="23">
        <f>'Total and digestible IAA'!AP99/$K$2</f>
        <v>1.8111226920786183</v>
      </c>
      <c r="L99" s="24">
        <f t="shared" si="1"/>
        <v>55.478157288240936</v>
      </c>
      <c r="M99" s="14" t="s">
        <v>355</v>
      </c>
      <c r="N99" s="14" t="s">
        <v>366</v>
      </c>
    </row>
    <row r="100" spans="1:14" s="4" customFormat="1" x14ac:dyDescent="0.25">
      <c r="A100" s="4" t="s">
        <v>252</v>
      </c>
      <c r="B100" s="4" t="s">
        <v>298</v>
      </c>
      <c r="C100" s="23">
        <f>'Total and digestible IAA'!AH100/$C$2</f>
        <v>1.08741738371368</v>
      </c>
      <c r="D100" s="23">
        <f>'Total and digestible IAA'!AI100/$D$2</f>
        <v>1.1079999999999999</v>
      </c>
      <c r="E100" s="23">
        <f>'Total and digestible IAA'!AJ100/$E$2</f>
        <v>1.0913580246913581</v>
      </c>
      <c r="F100" s="23">
        <f>'Total and digestible IAA'!AK100/$F$2</f>
        <v>1.0665857113944546</v>
      </c>
      <c r="G100" s="23">
        <f>'Total and digestible IAA'!AL100/$G$2</f>
        <v>1.2326817558299041</v>
      </c>
      <c r="H100" s="23">
        <f>'Total and digestible IAA'!AM100/$H$2</f>
        <v>1.1801932367149757</v>
      </c>
      <c r="I100" s="23">
        <f>'Total and digestible IAA'!AN100/$I$2</f>
        <v>1.0491418247515809</v>
      </c>
      <c r="J100" s="23">
        <f>'Total and digestible IAA'!AO100/$J$2</f>
        <v>0.87816872427983539</v>
      </c>
      <c r="K100" s="23">
        <f>'Total and digestible IAA'!AP100/$K$2</f>
        <v>1.3925925925925928</v>
      </c>
      <c r="L100" s="24">
        <f t="shared" si="1"/>
        <v>87.81687242798354</v>
      </c>
      <c r="M100" s="4" t="s">
        <v>535</v>
      </c>
      <c r="N100" s="14" t="s">
        <v>364</v>
      </c>
    </row>
    <row r="101" spans="1:14" x14ac:dyDescent="0.25">
      <c r="A101" s="5" t="s">
        <v>327</v>
      </c>
      <c r="B101" s="4" t="s">
        <v>298</v>
      </c>
      <c r="C101" s="23"/>
      <c r="D101" s="23">
        <f>'Total and digestible IAA'!AI101/$D$2</f>
        <v>1.7062300450266066</v>
      </c>
      <c r="E101" s="23">
        <f>'Total and digestible IAA'!AJ101/$E$2</f>
        <v>1.0847318870241507</v>
      </c>
      <c r="F101" s="23">
        <f>'Total and digestible IAA'!AK101/$F$2</f>
        <v>0.76095636244069687</v>
      </c>
      <c r="G101" s="23">
        <f>'Total and digestible IAA'!AL101/$G$2</f>
        <v>0.83143164142447812</v>
      </c>
      <c r="H101" s="23"/>
      <c r="I101" s="23"/>
      <c r="J101" s="23">
        <f>'Total and digestible IAA'!AO101/$J$2</f>
        <v>0.86334424887433481</v>
      </c>
      <c r="K101" s="23"/>
      <c r="L101" s="24">
        <f t="shared" si="1"/>
        <v>76.095636244069681</v>
      </c>
      <c r="M101" s="15" t="s">
        <v>526</v>
      </c>
      <c r="N101" s="5" t="s">
        <v>525</v>
      </c>
    </row>
    <row r="102" spans="1:14" s="4" customFormat="1" x14ac:dyDescent="0.25">
      <c r="A102" s="4" t="s">
        <v>328</v>
      </c>
      <c r="B102" s="4" t="s">
        <v>298</v>
      </c>
      <c r="C102" s="23">
        <f>'Total and digestible IAA'!AH102/$C$2</f>
        <v>1.7450519959745052</v>
      </c>
      <c r="D102" s="23">
        <f>'Total and digestible IAA'!AI102/$D$2</f>
        <v>0.94819188191881909</v>
      </c>
      <c r="E102" s="23">
        <f>'Total and digestible IAA'!AJ102/$E$2</f>
        <v>1.1798277982779828</v>
      </c>
      <c r="F102" s="23">
        <f>'Total and digestible IAA'!AK102/$F$2</f>
        <v>0.90496642671344751</v>
      </c>
      <c r="G102" s="23">
        <f>'Total and digestible IAA'!AL102/$G$2</f>
        <v>0.85880996309963109</v>
      </c>
      <c r="H102" s="23">
        <f>'Total and digestible IAA'!AM102/$H$2</f>
        <v>1.1651211294721642</v>
      </c>
      <c r="I102" s="23">
        <f>'Total and digestible IAA'!AN102/$I$2</f>
        <v>1.6155521555215553</v>
      </c>
      <c r="J102" s="23">
        <f>'Total and digestible IAA'!AO102/$J$2</f>
        <v>1.1663468634686347</v>
      </c>
      <c r="K102" s="23">
        <f>'Total and digestible IAA'!AP102/$K$2</f>
        <v>1.0854243542435422</v>
      </c>
      <c r="L102" s="24">
        <f t="shared" si="1"/>
        <v>85.880996309963109</v>
      </c>
      <c r="M102" s="14" t="s">
        <v>8</v>
      </c>
    </row>
    <row r="103" spans="1:14" s="4" customFormat="1" x14ac:dyDescent="0.25">
      <c r="A103" s="4" t="s">
        <v>329</v>
      </c>
      <c r="B103" s="4" t="s">
        <v>298</v>
      </c>
      <c r="C103" s="23">
        <f>'Total and digestible IAA'!AH103/$C$2</f>
        <v>1.3772183991307496</v>
      </c>
      <c r="D103" s="23">
        <f>'Total and digestible IAA'!AI103/$D$2</f>
        <v>0.92270916334661346</v>
      </c>
      <c r="E103" s="23">
        <f>'Total and digestible IAA'!AJ103/$E$2</f>
        <v>1.1735192563081012</v>
      </c>
      <c r="F103" s="23">
        <f>'Total and digestible IAA'!AK103/$F$2</f>
        <v>0.90119521912350586</v>
      </c>
      <c r="G103" s="23">
        <f>'Total and digestible IAA'!AL103/$G$2</f>
        <v>0.82445219123505975</v>
      </c>
      <c r="H103" s="23">
        <f>'Total and digestible IAA'!AM103/$H$2</f>
        <v>1.1745886021132861</v>
      </c>
      <c r="I103" s="23">
        <f>'Total and digestible IAA'!AN103/$I$2</f>
        <v>1.5774754639976682</v>
      </c>
      <c r="J103" s="23">
        <f>'Total and digestible IAA'!AO103/$J$2</f>
        <v>1.157569721115538</v>
      </c>
      <c r="K103" s="23">
        <f>'Total and digestible IAA'!AP103/$K$2</f>
        <v>1.0649402390438247</v>
      </c>
      <c r="L103" s="24">
        <f t="shared" si="1"/>
        <v>82.445219123505979</v>
      </c>
      <c r="M103" s="14" t="s">
        <v>8</v>
      </c>
    </row>
    <row r="104" spans="1:14" s="4" customFormat="1" x14ac:dyDescent="0.25">
      <c r="A104" s="4" t="s">
        <v>330</v>
      </c>
      <c r="B104" s="4" t="s">
        <v>298</v>
      </c>
      <c r="C104" s="23">
        <f>'Total and digestible IAA'!AH104/$C$2</f>
        <v>1.4307251620684456</v>
      </c>
      <c r="D104" s="23">
        <f>'Total and digestible IAA'!AI104/$D$2</f>
        <v>1.3564179104477612</v>
      </c>
      <c r="E104" s="23">
        <f>'Total and digestible IAA'!AJ104/$E$2</f>
        <v>0.93598673300165858</v>
      </c>
      <c r="F104" s="23">
        <f>'Total and digestible IAA'!AK104/$F$2</f>
        <v>0.80490987684528181</v>
      </c>
      <c r="G104" s="23">
        <f>'Total and digestible IAA'!AL104/$G$2</f>
        <v>1.0105721393034826</v>
      </c>
      <c r="H104" s="23">
        <f>'Total and digestible IAA'!AM104/$H$2</f>
        <v>1.6361669911313002</v>
      </c>
      <c r="I104" s="23">
        <f>'Total and digestible IAA'!AN104/$I$2</f>
        <v>1.2027666545322169</v>
      </c>
      <c r="J104" s="23">
        <f>'Total and digestible IAA'!AO104/$J$2</f>
        <v>0.93159203980099503</v>
      </c>
      <c r="K104" s="23">
        <f>'Total and digestible IAA'!AP104/$K$2</f>
        <v>1.1576492537313432</v>
      </c>
      <c r="L104" s="24">
        <f t="shared" si="1"/>
        <v>80.490987684528179</v>
      </c>
      <c r="M104" s="14" t="s">
        <v>526</v>
      </c>
    </row>
    <row r="105" spans="1:14" s="4" customFormat="1" x14ac:dyDescent="0.25">
      <c r="A105" s="4" t="s">
        <v>331</v>
      </c>
      <c r="B105" s="4" t="s">
        <v>298</v>
      </c>
      <c r="C105" s="23">
        <f>'Total and digestible IAA'!AH105/$C$2</f>
        <v>1.4307251620684456</v>
      </c>
      <c r="D105" s="23">
        <f>'Total and digestible IAA'!AI105/$D$2</f>
        <v>1.3564179104477612</v>
      </c>
      <c r="E105" s="23">
        <f>'Total and digestible IAA'!AJ105/$E$2</f>
        <v>0.93598673300165858</v>
      </c>
      <c r="F105" s="23">
        <f>'Total and digestible IAA'!AK105/$F$2</f>
        <v>0.80490987684528181</v>
      </c>
      <c r="G105" s="23">
        <f>'Total and digestible IAA'!AL105/$G$2</f>
        <v>1.0105721393034826</v>
      </c>
      <c r="H105" s="23">
        <f>'Total and digestible IAA'!AM105/$H$2</f>
        <v>1.6361669911313002</v>
      </c>
      <c r="I105" s="23">
        <f>'Total and digestible IAA'!AN105/$I$2</f>
        <v>1.2027666545322169</v>
      </c>
      <c r="J105" s="23">
        <f>'Total and digestible IAA'!AO105/$J$2</f>
        <v>0.93159203980099503</v>
      </c>
      <c r="K105" s="23">
        <f>'Total and digestible IAA'!AP105/$K$2</f>
        <v>1.1576492537313432</v>
      </c>
      <c r="L105" s="24">
        <f t="shared" si="1"/>
        <v>80.490987684528179</v>
      </c>
      <c r="M105" s="14" t="s">
        <v>526</v>
      </c>
    </row>
    <row r="106" spans="1:14" s="4" customFormat="1" x14ac:dyDescent="0.25">
      <c r="A106" s="4" t="s">
        <v>332</v>
      </c>
      <c r="B106" s="4" t="s">
        <v>298</v>
      </c>
      <c r="C106" s="23">
        <f>'Total and digestible IAA'!AH106/$C$2</f>
        <v>1.4800995024875623</v>
      </c>
      <c r="D106" s="23">
        <f>'Total and digestible IAA'!AI106/$D$2</f>
        <v>1.3623880597014926</v>
      </c>
      <c r="E106" s="23">
        <f>'Total and digestible IAA'!AJ106/$E$2</f>
        <v>1.3179933665008292</v>
      </c>
      <c r="F106" s="23">
        <f>'Total and digestible IAA'!AK106/$F$2</f>
        <v>1.0502813799853195</v>
      </c>
      <c r="G106" s="23">
        <f>'Total and digestible IAA'!AL106/$G$2</f>
        <v>1.1271766169154229</v>
      </c>
      <c r="H106" s="23">
        <f>'Total and digestible IAA'!AM106/$H$2</f>
        <v>1.0436945706251353</v>
      </c>
      <c r="I106" s="23">
        <f>'Total and digestible IAA'!AN106/$I$2</f>
        <v>1.8227156898434655</v>
      </c>
      <c r="J106" s="23">
        <f>'Total and digestible IAA'!AO106/$J$2</f>
        <v>1.0134328358208955</v>
      </c>
      <c r="K106" s="23">
        <f>'Total and digestible IAA'!AP106/$K$2</f>
        <v>1.5049751243781093</v>
      </c>
      <c r="L106" s="24">
        <f t="shared" si="1"/>
        <v>101.34328358208955</v>
      </c>
      <c r="M106" s="14" t="s">
        <v>535</v>
      </c>
    </row>
    <row r="107" spans="1:14" s="4" customFormat="1" x14ac:dyDescent="0.25">
      <c r="A107" s="4" t="s">
        <v>333</v>
      </c>
      <c r="B107" s="4" t="s">
        <v>298</v>
      </c>
      <c r="C107" s="23">
        <f>'Total and digestible IAA'!AH107/$C$2</f>
        <v>1.42243328810493</v>
      </c>
      <c r="D107" s="23">
        <f>'Total and digestible IAA'!AI107/$D$2</f>
        <v>1.2650746268656718</v>
      </c>
      <c r="E107" s="23">
        <f>'Total and digestible IAA'!AJ107/$E$2</f>
        <v>1.2559701492537314</v>
      </c>
      <c r="F107" s="23">
        <f>'Total and digestible IAA'!AK107/$F$2</f>
        <v>1.0008563738683631</v>
      </c>
      <c r="G107" s="23">
        <f>'Total and digestible IAA'!AL107/$G$2</f>
        <v>1.0883084577114428</v>
      </c>
      <c r="H107" s="23">
        <f>'Total and digestible IAA'!AM107/$H$2</f>
        <v>0.9802076573653471</v>
      </c>
      <c r="I107" s="23">
        <f>'Total and digestible IAA'!AN107/$I$2</f>
        <v>1.7488168911539868</v>
      </c>
      <c r="J107" s="23">
        <f>'Total and digestible IAA'!AO107/$J$2</f>
        <v>0.96517412935323377</v>
      </c>
      <c r="K107" s="23">
        <f>'Total and digestible IAA'!AP107/$K$2</f>
        <v>1.4536691542288558</v>
      </c>
      <c r="L107" s="24">
        <f t="shared" si="1"/>
        <v>96.517412935323378</v>
      </c>
      <c r="M107" s="14" t="s">
        <v>535</v>
      </c>
    </row>
    <row r="108" spans="1:14" s="4" customFormat="1" x14ac:dyDescent="0.25">
      <c r="A108" s="4" t="s">
        <v>334</v>
      </c>
      <c r="B108" s="4" t="s">
        <v>298</v>
      </c>
      <c r="C108" s="23">
        <f>'Total and digestible IAA'!AH108/$C$2</f>
        <v>1.6186618661866188</v>
      </c>
      <c r="D108" s="23">
        <f>'Total and digestible IAA'!AI108/$D$2</f>
        <v>1.2103960396039606</v>
      </c>
      <c r="E108" s="23">
        <f>'Total and digestible IAA'!AJ108/$E$2</f>
        <v>1.1478547854785479</v>
      </c>
      <c r="F108" s="23">
        <f>'Total and digestible IAA'!AK108/$F$2</f>
        <v>0.94059405940594065</v>
      </c>
      <c r="G108" s="23">
        <f>'Total and digestible IAA'!AL108/$G$2</f>
        <v>1.0225350660066008</v>
      </c>
      <c r="H108" s="23">
        <f>'Total and digestible IAA'!AM108/$H$2</f>
        <v>0.97115798536375386</v>
      </c>
      <c r="I108" s="23">
        <f>'Total and digestible IAA'!AN108/$I$2</f>
        <v>1.6217097319488045</v>
      </c>
      <c r="J108" s="23">
        <f>'Total and digestible IAA'!AO108/$J$2</f>
        <v>0.89294554455445529</v>
      </c>
      <c r="K108" s="23">
        <f>'Total and digestible IAA'!AP108/$K$2</f>
        <v>1.3784034653465347</v>
      </c>
      <c r="L108" s="24">
        <f t="shared" si="1"/>
        <v>89.294554455445535</v>
      </c>
      <c r="M108" s="14" t="s">
        <v>535</v>
      </c>
    </row>
    <row r="109" spans="1:14" s="4" customFormat="1" x14ac:dyDescent="0.25">
      <c r="A109" s="4" t="s">
        <v>335</v>
      </c>
      <c r="B109" s="4" t="s">
        <v>298</v>
      </c>
      <c r="C109" s="23">
        <f>'Total and digestible IAA'!AH109/$C$2</f>
        <v>1.568717477808387</v>
      </c>
      <c r="D109" s="23">
        <f>'Total and digestible IAA'!AI109/$D$2</f>
        <v>1.2034343434343437</v>
      </c>
      <c r="E109" s="23">
        <f>'Total and digestible IAA'!AJ109/$E$2</f>
        <v>1.1367845117845117</v>
      </c>
      <c r="F109" s="23">
        <f>'Total and digestible IAA'!AK109/$F$2</f>
        <v>0.90358503063421092</v>
      </c>
      <c r="G109" s="23">
        <f>'Total and digestible IAA'!AL109/$G$2</f>
        <v>1.009469696969697</v>
      </c>
      <c r="H109" s="23">
        <f>'Total and digestible IAA'!AM109/$H$2</f>
        <v>0.95322793148880081</v>
      </c>
      <c r="I109" s="23">
        <f>'Total and digestible IAA'!AN109/$I$2</f>
        <v>1.5889381621088938</v>
      </c>
      <c r="J109" s="23">
        <f>'Total and digestible IAA'!AO109/$J$2</f>
        <v>0.86818181818181839</v>
      </c>
      <c r="K109" s="23">
        <f>'Total and digestible IAA'!AP109/$K$2</f>
        <v>1.3465909090909094</v>
      </c>
      <c r="L109" s="24">
        <f t="shared" si="1"/>
        <v>86.818181818181841</v>
      </c>
      <c r="M109" s="14" t="s">
        <v>535</v>
      </c>
    </row>
    <row r="110" spans="1:14" x14ac:dyDescent="0.25">
      <c r="A110" s="5" t="s">
        <v>183</v>
      </c>
      <c r="B110" s="4" t="s">
        <v>298</v>
      </c>
      <c r="C110" s="23">
        <f>'Total and digestible IAA'!AH110/$C$2</f>
        <v>2.0060813971620153</v>
      </c>
      <c r="D110" s="23">
        <f>'Total and digestible IAA'!AI110/$D$2</f>
        <v>1.3823670668953687</v>
      </c>
      <c r="E110" s="23">
        <f>'Total and digestible IAA'!AJ110/$E$2</f>
        <v>1.439393939393939</v>
      </c>
      <c r="F110" s="23">
        <f>'Total and digestible IAA'!AK110/$F$2</f>
        <v>1.194078114894694</v>
      </c>
      <c r="G110" s="23">
        <f>'Total and digestible IAA'!AL110/$G$2</f>
        <v>1.2063679245283019</v>
      </c>
      <c r="H110" s="23">
        <f>'Total and digestible IAA'!AM110/$H$2</f>
        <v>1.2261167872324559</v>
      </c>
      <c r="I110" s="23">
        <f>'Total and digestible IAA'!AN110/$I$2</f>
        <v>1.9917583566916284</v>
      </c>
      <c r="J110" s="23">
        <f>'Total and digestible IAA'!AO110/$J$2</f>
        <v>1.1206260720411665</v>
      </c>
      <c r="K110" s="23">
        <f>'Total and digestible IAA'!AP110/$K$2</f>
        <v>1.6118138936535162</v>
      </c>
      <c r="L110" s="24">
        <f t="shared" si="1"/>
        <v>112.06260720411665</v>
      </c>
      <c r="M110" s="14" t="s">
        <v>535</v>
      </c>
    </row>
    <row r="111" spans="1:14" x14ac:dyDescent="0.25">
      <c r="A111" s="5" t="s">
        <v>185</v>
      </c>
      <c r="B111" s="4" t="s">
        <v>298</v>
      </c>
      <c r="C111" s="23">
        <f>'Total and digestible IAA'!AH111/$C$2</f>
        <v>2.0264605711291592</v>
      </c>
      <c r="D111" s="23">
        <f>'Total and digestible IAA'!AI111/$D$2</f>
        <v>1.2686455331412103</v>
      </c>
      <c r="E111" s="23">
        <f>'Total and digestible IAA'!AJ111/$E$2</f>
        <v>1.3636887608069164</v>
      </c>
      <c r="F111" s="23">
        <f>'Total and digestible IAA'!AK111/$F$2</f>
        <v>1.1626588557660509</v>
      </c>
      <c r="G111" s="23">
        <f>'Total and digestible IAA'!AL111/$G$2</f>
        <v>1.2190201729106627</v>
      </c>
      <c r="H111" s="23">
        <f>'Total and digestible IAA'!AM111/$H$2</f>
        <v>1.164766320010024</v>
      </c>
      <c r="I111" s="23">
        <f>'Total and digestible IAA'!AN111/$I$2</f>
        <v>1.9311168904196245</v>
      </c>
      <c r="J111" s="23">
        <f>'Total and digestible IAA'!AO111/$J$2</f>
        <v>1.0860951008645534</v>
      </c>
      <c r="K111" s="23">
        <f>'Total and digestible IAA'!AP111/$K$2</f>
        <v>1.5656520172910664</v>
      </c>
      <c r="L111" s="24">
        <f t="shared" si="1"/>
        <v>108.60951008645534</v>
      </c>
      <c r="M111" s="14" t="s">
        <v>535</v>
      </c>
    </row>
    <row r="112" spans="1:14" x14ac:dyDescent="0.25">
      <c r="A112" s="5" t="s">
        <v>187</v>
      </c>
      <c r="B112" s="4" t="s">
        <v>298</v>
      </c>
      <c r="C112" s="23">
        <f>'Total and digestible IAA'!AH112/$C$2</f>
        <v>2.1073890564411895</v>
      </c>
      <c r="D112" s="23">
        <f>'Total and digestible IAA'!AI112/$D$2</f>
        <v>1.2369668246445498</v>
      </c>
      <c r="E112" s="23">
        <f>'Total and digestible IAA'!AJ112/$E$2</f>
        <v>1.3513428120063191</v>
      </c>
      <c r="F112" s="23">
        <f>'Total and digestible IAA'!AK112/$F$2</f>
        <v>1.1704607256623418</v>
      </c>
      <c r="G112" s="23">
        <f>'Total and digestible IAA'!AL112/$G$2</f>
        <v>1.2204778830963663</v>
      </c>
      <c r="H112" s="23">
        <f>'Total and digestible IAA'!AM112/$H$2</f>
        <v>1.1737069853698743</v>
      </c>
      <c r="I112" s="23">
        <f>'Total and digestible IAA'!AN112/$I$2</f>
        <v>1.9312218240665822</v>
      </c>
      <c r="J112" s="23">
        <f>'Total and digestible IAA'!AO112/$J$2</f>
        <v>1.0876777251184833</v>
      </c>
      <c r="K112" s="23">
        <f>'Total and digestible IAA'!AP112/$K$2</f>
        <v>1.5476895734597156</v>
      </c>
      <c r="L112" s="24">
        <f t="shared" si="1"/>
        <v>108.76777251184832</v>
      </c>
      <c r="M112" s="14" t="s">
        <v>535</v>
      </c>
    </row>
    <row r="113" spans="1:14" s="4" customFormat="1" x14ac:dyDescent="0.25">
      <c r="A113" s="4" t="s">
        <v>246</v>
      </c>
      <c r="B113" s="4" t="s">
        <v>298</v>
      </c>
      <c r="C113" s="23">
        <f>'Total and digestible IAA'!AH113/$C$2</f>
        <v>3.9482780160746263</v>
      </c>
      <c r="D113" s="23">
        <f>'Total and digestible IAA'!AI113/$D$2</f>
        <v>1.3612826385707739</v>
      </c>
      <c r="E113" s="23">
        <f>'Total and digestible IAA'!AJ113/$E$2</f>
        <v>1.4557489693082912</v>
      </c>
      <c r="F113" s="23">
        <f>'Total and digestible IAA'!AK113/$F$2</f>
        <v>1.1206341100756216</v>
      </c>
      <c r="G113" s="23">
        <f>'Total and digestible IAA'!AL113/$G$2</f>
        <v>1.0769774011299436</v>
      </c>
      <c r="H113" s="23">
        <f>'Total and digestible IAA'!AM113/$H$2</f>
        <v>1.2706287717341511</v>
      </c>
      <c r="I113" s="23">
        <f>'Total and digestible IAA'!AN113/$I$2</f>
        <v>1.7890350044132597</v>
      </c>
      <c r="J113" s="23">
        <f>'Total and digestible IAA'!AO113/$J$2</f>
        <v>1.0766834631241411</v>
      </c>
      <c r="K113" s="23">
        <f>'Total and digestible IAA'!AP113/$K$2</f>
        <v>1.6102267521759046</v>
      </c>
      <c r="L113" s="24">
        <f t="shared" si="1"/>
        <v>107.66834631241412</v>
      </c>
      <c r="M113" s="14" t="s">
        <v>535</v>
      </c>
      <c r="N113" s="14" t="s">
        <v>366</v>
      </c>
    </row>
    <row r="114" spans="1:14" s="4" customFormat="1" x14ac:dyDescent="0.25">
      <c r="A114" s="4" t="s">
        <v>267</v>
      </c>
      <c r="B114" s="4" t="s">
        <v>298</v>
      </c>
      <c r="C114" s="23">
        <f>'Total and digestible IAA'!AH114/$C$2</f>
        <v>1.4897579143389204</v>
      </c>
      <c r="D114" s="23">
        <f>'Total and digestible IAA'!AI114/$D$2</f>
        <v>1.2308379888268157</v>
      </c>
      <c r="E114" s="23">
        <f>'Total and digestible IAA'!AJ114/$E$2</f>
        <v>1.3508379888268156</v>
      </c>
      <c r="F114" s="23">
        <f>'Total and digestible IAA'!AK114/$F$2</f>
        <v>1.0653219159263669</v>
      </c>
      <c r="G114" s="23">
        <f>'Total and digestible IAA'!AL114/$G$2</f>
        <v>1.1438547486033519</v>
      </c>
      <c r="H114" s="23">
        <f>'Total and digestible IAA'!AM114/$H$2</f>
        <v>0.94368472188486752</v>
      </c>
      <c r="I114" s="23">
        <f>'Total and digestible IAA'!AN114/$I$2</f>
        <v>1.8013080801199071</v>
      </c>
      <c r="J114" s="23">
        <f>'Total and digestible IAA'!AO114/$J$2</f>
        <v>1.007932960893855</v>
      </c>
      <c r="K114" s="23">
        <f>'Total and digestible IAA'!AP114/$K$2</f>
        <v>1.4207053072625699</v>
      </c>
      <c r="L114" s="24">
        <f t="shared" si="1"/>
        <v>94.368472188486749</v>
      </c>
      <c r="M114" s="14" t="s">
        <v>355</v>
      </c>
    </row>
    <row r="115" spans="1:14" s="4" customFormat="1" x14ac:dyDescent="0.25">
      <c r="A115" s="4" t="s">
        <v>56</v>
      </c>
      <c r="B115" s="4" t="s">
        <v>298</v>
      </c>
      <c r="C115" s="23">
        <f>'Total and digestible IAA'!AH115/$C$2</f>
        <v>1.791666666666667</v>
      </c>
      <c r="D115" s="23">
        <f>'Total and digestible IAA'!AI115/$D$2</f>
        <v>1.2504999999999999</v>
      </c>
      <c r="E115" s="23">
        <f>'Total and digestible IAA'!AJ115/$E$2</f>
        <v>1.1287500000000001</v>
      </c>
      <c r="F115" s="23">
        <f>'Total and digestible IAA'!AK115/$F$2</f>
        <v>0.81864754098360659</v>
      </c>
      <c r="G115" s="23">
        <f>'Total and digestible IAA'!AL115/$G$2</f>
        <v>0.634765625</v>
      </c>
      <c r="H115" s="23">
        <f>'Total and digestible IAA'!AM115/$H$2</f>
        <v>1.5271739130434783</v>
      </c>
      <c r="I115" s="23">
        <f>'Total and digestible IAA'!AN115/$I$2</f>
        <v>1.4079268292682925</v>
      </c>
      <c r="J115" s="23">
        <f>'Total and digestible IAA'!AO115/$J$2</f>
        <v>0.95812499999999989</v>
      </c>
      <c r="K115" s="23">
        <f>'Total and digestible IAA'!AP115/$K$2</f>
        <v>1.3281249999999998</v>
      </c>
      <c r="L115" s="24">
        <f t="shared" si="1"/>
        <v>63.4765625</v>
      </c>
      <c r="M115" s="14" t="s">
        <v>8</v>
      </c>
    </row>
    <row r="116" spans="1:14" s="4" customFormat="1" x14ac:dyDescent="0.25">
      <c r="A116" s="4" t="s">
        <v>245</v>
      </c>
      <c r="B116" s="4" t="s">
        <v>298</v>
      </c>
      <c r="C116" s="23">
        <f>'Total and digestible IAA'!AH116/$C$2</f>
        <v>3.5146914100941942</v>
      </c>
      <c r="D116" s="23">
        <f>'Total and digestible IAA'!AI116/$D$2</f>
        <v>1.3336145086461408</v>
      </c>
      <c r="E116" s="23">
        <f>'Total and digestible IAA'!AJ116/$E$2</f>
        <v>1.4758470406298332</v>
      </c>
      <c r="F116" s="23">
        <f>'Total and digestible IAA'!AK116/$F$2</f>
        <v>1.1934163491920819</v>
      </c>
      <c r="G116" s="23">
        <f>'Total and digestible IAA'!AL116/$G$2</f>
        <v>1.1055989034162801</v>
      </c>
      <c r="H116" s="23">
        <f>'Total and digestible IAA'!AM116/$H$2</f>
        <v>0.88482203436451312</v>
      </c>
      <c r="I116" s="23">
        <f>'Total and digestible IAA'!AN116/$I$2</f>
        <v>1.8823384184917347</v>
      </c>
      <c r="J116" s="23">
        <f>'Total and digestible IAA'!AO116/$J$2</f>
        <v>1.1018135807676086</v>
      </c>
      <c r="K116" s="23">
        <f>'Total and digestible IAA'!AP116/$K$2</f>
        <v>1.5892819485449177</v>
      </c>
      <c r="L116" s="24">
        <f t="shared" si="1"/>
        <v>88.482203436451314</v>
      </c>
      <c r="M116" s="4" t="s">
        <v>355</v>
      </c>
      <c r="N116" s="14" t="s">
        <v>366</v>
      </c>
    </row>
    <row r="117" spans="1:14" s="6" customFormat="1" x14ac:dyDescent="0.25">
      <c r="C117" s="36"/>
      <c r="D117" s="36"/>
      <c r="E117" s="36"/>
      <c r="F117" s="36"/>
      <c r="G117" s="36"/>
      <c r="H117" s="36"/>
      <c r="I117" s="36"/>
      <c r="J117" s="36"/>
      <c r="K117" s="36"/>
      <c r="L117" s="37"/>
      <c r="M117" s="16"/>
    </row>
    <row r="118" spans="1:14" s="4" customFormat="1" x14ac:dyDescent="0.25">
      <c r="A118" s="4" t="s">
        <v>93</v>
      </c>
      <c r="B118" s="5" t="s">
        <v>123</v>
      </c>
      <c r="C118" s="23">
        <f>'Total and digestible IAA'!AH118/$C$2</f>
        <v>1.4072119613016714</v>
      </c>
      <c r="D118" s="23">
        <f>'Total and digestible IAA'!AI118/$D$2</f>
        <v>0.80200527704485491</v>
      </c>
      <c r="E118" s="23">
        <f>'Total and digestible IAA'!AJ118/$E$2</f>
        <v>0.8289357959542657</v>
      </c>
      <c r="F118" s="23">
        <f>'Total and digestible IAA'!AK118/$F$2</f>
        <v>0.73718586444050338</v>
      </c>
      <c r="G118" s="23">
        <f>'Total and digestible IAA'!AL118/$G$2</f>
        <v>0.51275285839929652</v>
      </c>
      <c r="H118" s="23">
        <f>'Total and digestible IAA'!AM118/$H$2</f>
        <v>1.1586555007456694</v>
      </c>
      <c r="I118" s="23">
        <f>'Total and digestible IAA'!AN118/$I$2</f>
        <v>1.0128708411094665</v>
      </c>
      <c r="J118" s="23">
        <f>'Total and digestible IAA'!AO118/$J$2</f>
        <v>0.85323218997361461</v>
      </c>
      <c r="K118" s="23">
        <f>'Total and digestible IAA'!AP118/$K$2</f>
        <v>1.0352902374670183</v>
      </c>
      <c r="L118" s="24">
        <f t="shared" si="1"/>
        <v>51.275285839929651</v>
      </c>
      <c r="M118" s="14" t="s">
        <v>8</v>
      </c>
    </row>
    <row r="119" spans="1:14" s="4" customFormat="1" x14ac:dyDescent="0.25">
      <c r="A119" s="4" t="s">
        <v>73</v>
      </c>
      <c r="B119" s="5" t="s">
        <v>123</v>
      </c>
      <c r="C119" s="23">
        <f>'Total and digestible IAA'!AH119/$C$2</f>
        <v>1.4781966001478197</v>
      </c>
      <c r="D119" s="23">
        <f>'Total and digestible IAA'!AI119/$D$2</f>
        <v>1.2731707317073171</v>
      </c>
      <c r="E119" s="23">
        <f>'Total and digestible IAA'!AJ119/$E$2</f>
        <v>1.04</v>
      </c>
      <c r="F119" s="23">
        <f>'Total and digestible IAA'!AK119/$F$2</f>
        <v>0.91147540983606545</v>
      </c>
      <c r="G119" s="23">
        <f>'Total and digestible IAA'!AL119/$G$2</f>
        <v>0.82317073170731725</v>
      </c>
      <c r="H119" s="23">
        <f>'Total and digestible IAA'!AM119/$H$2</f>
        <v>1.5983032873807002</v>
      </c>
      <c r="I119" s="23">
        <f>'Total and digestible IAA'!AN119/$I$2</f>
        <v>1.332183224271267</v>
      </c>
      <c r="J119" s="23">
        <f>'Total and digestible IAA'!AO119/$J$2</f>
        <v>0.97658536585365874</v>
      </c>
      <c r="K119" s="23">
        <f>'Total and digestible IAA'!AP119/$K$2</f>
        <v>1.4469512195121952</v>
      </c>
      <c r="L119" s="24">
        <f t="shared" si="1"/>
        <v>82.317073170731732</v>
      </c>
      <c r="M119" s="14" t="s">
        <v>8</v>
      </c>
    </row>
    <row r="120" spans="1:14" s="4" customFormat="1" x14ac:dyDescent="0.25">
      <c r="A120" s="4" t="s">
        <v>79</v>
      </c>
      <c r="B120" s="5" t="s">
        <v>123</v>
      </c>
      <c r="C120" s="23">
        <f>'Total and digestible IAA'!AH120/$C$2</f>
        <v>1.1198945981554678</v>
      </c>
      <c r="D120" s="23">
        <f>'Total and digestible IAA'!AI120/$D$2</f>
        <v>0.94188405797101438</v>
      </c>
      <c r="E120" s="23">
        <f>'Total and digestible IAA'!AJ120/$E$2</f>
        <v>0.8669082125603863</v>
      </c>
      <c r="F120" s="23">
        <f>'Total and digestible IAA'!AK120/$F$2</f>
        <v>0.77191732002851032</v>
      </c>
      <c r="G120" s="23">
        <f>'Total and digestible IAA'!AL120/$G$2</f>
        <v>0.59284420289855089</v>
      </c>
      <c r="H120" s="23">
        <f>'Total and digestible IAA'!AM120/$H$2</f>
        <v>0.60491493383742923</v>
      </c>
      <c r="I120" s="23">
        <f>'Total and digestible IAA'!AN120/$I$2</f>
        <v>1.2900318133616118</v>
      </c>
      <c r="J120" s="23">
        <f>'Total and digestible IAA'!AO120/$J$2</f>
        <v>0.68478260869565211</v>
      </c>
      <c r="K120" s="23">
        <f>'Total and digestible IAA'!AP120/$K$2</f>
        <v>0.7373188405797102</v>
      </c>
      <c r="L120" s="24">
        <f t="shared" si="1"/>
        <v>59.284420289855092</v>
      </c>
      <c r="M120" s="14" t="s">
        <v>8</v>
      </c>
    </row>
    <row r="121" spans="1:14" s="4" customFormat="1" x14ac:dyDescent="0.25">
      <c r="A121" s="4" t="s">
        <v>81</v>
      </c>
      <c r="B121" s="5" t="s">
        <v>123</v>
      </c>
      <c r="C121" s="23">
        <f>'Total and digestible IAA'!AH121/$C$2</f>
        <v>1.4001623376623378</v>
      </c>
      <c r="D121" s="23">
        <f>'Total and digestible IAA'!AI121/$D$2</f>
        <v>0.87339285714285719</v>
      </c>
      <c r="E121" s="23">
        <f>'Total and digestible IAA'!AJ121/$E$2</f>
        <v>0.77916666666666667</v>
      </c>
      <c r="F121" s="23">
        <f>'Total and digestible IAA'!AK121/$F$2</f>
        <v>0.77202868852459017</v>
      </c>
      <c r="G121" s="23">
        <f>'Total and digestible IAA'!AL121/$G$2</f>
        <v>0.31250000000000006</v>
      </c>
      <c r="H121" s="23">
        <f>'Total and digestible IAA'!AM121/$H$2</f>
        <v>0.89635093167701874</v>
      </c>
      <c r="I121" s="23">
        <f>'Total and digestible IAA'!AN121/$I$2</f>
        <v>1.1702961672473866</v>
      </c>
      <c r="J121" s="23">
        <f>'Total and digestible IAA'!AO121/$J$2</f>
        <v>0.9140625</v>
      </c>
      <c r="K121" s="23">
        <f>'Total and digestible IAA'!AP121/$K$2</f>
        <v>0.95758928571428581</v>
      </c>
      <c r="L121" s="24">
        <f t="shared" si="1"/>
        <v>31.250000000000007</v>
      </c>
      <c r="M121" s="14" t="s">
        <v>8</v>
      </c>
    </row>
    <row r="122" spans="1:14" s="4" customFormat="1" x14ac:dyDescent="0.25">
      <c r="A122" s="4" t="s">
        <v>83</v>
      </c>
      <c r="B122" s="5" t="s">
        <v>123</v>
      </c>
      <c r="C122" s="23">
        <f>'Total and digestible IAA'!AH122/$C$2</f>
        <v>1.3850038850038848</v>
      </c>
      <c r="D122" s="23">
        <f>'Total and digestible IAA'!AI122/$D$2</f>
        <v>0.84752136752136764</v>
      </c>
      <c r="E122" s="23">
        <f>'Total and digestible IAA'!AJ122/$E$2</f>
        <v>0.77877492877492882</v>
      </c>
      <c r="F122" s="23">
        <f>'Total and digestible IAA'!AK122/$F$2</f>
        <v>0.77140255009107472</v>
      </c>
      <c r="G122" s="23">
        <f>'Total and digestible IAA'!AL122/$G$2</f>
        <v>0.30413105413105412</v>
      </c>
      <c r="H122" s="23">
        <f>'Total and digestible IAA'!AM122/$H$2</f>
        <v>0.88610182088442957</v>
      </c>
      <c r="I122" s="23">
        <f>'Total and digestible IAA'!AN122/$I$2</f>
        <v>1.1696893892015843</v>
      </c>
      <c r="J122" s="23">
        <f>'Total and digestible IAA'!AO122/$J$2</f>
        <v>0.91666666666666663</v>
      </c>
      <c r="K122" s="23">
        <f>'Total and digestible IAA'!AP122/$K$2</f>
        <v>0.95833333333333326</v>
      </c>
      <c r="L122" s="24">
        <f t="shared" si="1"/>
        <v>30.413105413105413</v>
      </c>
      <c r="M122" s="14" t="s">
        <v>8</v>
      </c>
    </row>
    <row r="123" spans="1:14" s="4" customFormat="1" x14ac:dyDescent="0.25">
      <c r="A123" s="4" t="s">
        <v>286</v>
      </c>
      <c r="B123" s="5" t="s">
        <v>123</v>
      </c>
      <c r="C123" s="23">
        <f>'Total and digestible IAA'!AH123/$C$2</f>
        <v>0.67164179104477628</v>
      </c>
      <c r="D123" s="23">
        <f>'Total and digestible IAA'!AI123/$D$2</f>
        <v>1.0298507462686566</v>
      </c>
      <c r="E123" s="23">
        <f>'Total and digestible IAA'!AJ123/$E$2</f>
        <v>0.87686567164179108</v>
      </c>
      <c r="F123" s="23">
        <f>'Total and digestible IAA'!AK123/$F$2</f>
        <v>1.4400538292145828</v>
      </c>
      <c r="G123" s="23">
        <f>'Total and digestible IAA'!AL123/$G$2</f>
        <v>0.40111940298507459</v>
      </c>
      <c r="H123" s="23">
        <f>'Total and digestible IAA'!AM123/$H$2</f>
        <v>1.3199221284879947</v>
      </c>
      <c r="I123" s="23">
        <f>'Total and digestible IAA'!AN123/$I$2</f>
        <v>1.5928285402257005</v>
      </c>
      <c r="J123" s="23">
        <f>'Total and digestible IAA'!AO123/$J$2</f>
        <v>0.91343283582089541</v>
      </c>
      <c r="K123" s="23">
        <f>'Total and digestible IAA'!AP123/$K$2</f>
        <v>1.4188432835820894</v>
      </c>
      <c r="L123" s="24">
        <f t="shared" si="1"/>
        <v>40.111940298507456</v>
      </c>
      <c r="M123" s="14" t="s">
        <v>8</v>
      </c>
    </row>
    <row r="124" spans="1:14" s="4" customFormat="1" x14ac:dyDescent="0.25">
      <c r="A124" s="4" t="s">
        <v>85</v>
      </c>
      <c r="B124" s="5" t="s">
        <v>123</v>
      </c>
      <c r="C124" s="23">
        <f>'Total and digestible IAA'!AH124/$C$2</f>
        <v>1.410829607550919</v>
      </c>
      <c r="D124" s="23">
        <f>'Total and digestible IAA'!AI124/$D$2</f>
        <v>0.92568306010928947</v>
      </c>
      <c r="E124" s="23">
        <f>'Total and digestible IAA'!AJ124/$E$2</f>
        <v>0.80983606557377052</v>
      </c>
      <c r="F124" s="23">
        <f>'Total and digestible IAA'!AK124/$F$2</f>
        <v>0.737167428110723</v>
      </c>
      <c r="G124" s="23">
        <f>'Total and digestible IAA'!AL124/$G$2</f>
        <v>0.59699453551912562</v>
      </c>
      <c r="H124" s="23">
        <f>'Total and digestible IAA'!AM124/$H$2</f>
        <v>1.0081967213114753</v>
      </c>
      <c r="I124" s="23">
        <f>'Total and digestible IAA'!AN124/$I$2</f>
        <v>1.557043849127016</v>
      </c>
      <c r="J124" s="23">
        <f>'Total and digestible IAA'!AO124/$J$2</f>
        <v>0.81379781420765041</v>
      </c>
      <c r="K124" s="23">
        <f>'Total and digestible IAA'!AP124/$K$2</f>
        <v>1.4665300546448088</v>
      </c>
      <c r="L124" s="24">
        <f t="shared" si="1"/>
        <v>59.699453551912562</v>
      </c>
      <c r="M124" s="14" t="s">
        <v>8</v>
      </c>
    </row>
    <row r="125" spans="1:14" s="4" customFormat="1" x14ac:dyDescent="0.25">
      <c r="A125" s="4" t="s">
        <v>87</v>
      </c>
      <c r="B125" s="5" t="s">
        <v>123</v>
      </c>
      <c r="C125" s="23">
        <f>'Total and digestible IAA'!AH125/$C$2</f>
        <v>1.7092907092907093</v>
      </c>
      <c r="D125" s="23">
        <f>'Total and digestible IAA'!AI125/$D$2</f>
        <v>1.0380659340659342</v>
      </c>
      <c r="E125" s="23">
        <f>'Total and digestible IAA'!AJ125/$E$2</f>
        <v>0.87560439560439562</v>
      </c>
      <c r="F125" s="23">
        <f>'Total and digestible IAA'!AK125/$F$2</f>
        <v>0.78385876418663292</v>
      </c>
      <c r="G125" s="23">
        <f>'Total and digestible IAA'!AL125/$G$2</f>
        <v>0.63333333333333319</v>
      </c>
      <c r="H125" s="23">
        <f>'Total and digestible IAA'!AM125/$H$2</f>
        <v>1.1582417582417583</v>
      </c>
      <c r="I125" s="23">
        <f>'Total and digestible IAA'!AN125/$I$2</f>
        <v>1.7629589922272852</v>
      </c>
      <c r="J125" s="23">
        <f>'Total and digestible IAA'!AO125/$J$2</f>
        <v>0.94615384615384601</v>
      </c>
      <c r="K125" s="23">
        <f>'Total and digestible IAA'!AP125/$K$2</f>
        <v>1.6681318681318682</v>
      </c>
      <c r="L125" s="24">
        <f t="shared" si="1"/>
        <v>63.333333333333321</v>
      </c>
      <c r="M125" s="14" t="s">
        <v>8</v>
      </c>
    </row>
    <row r="126" spans="1:14" s="4" customFormat="1" x14ac:dyDescent="0.25">
      <c r="A126" s="4" t="s">
        <v>89</v>
      </c>
      <c r="B126" s="5" t="s">
        <v>123</v>
      </c>
      <c r="C126" s="23">
        <f>'Total and digestible IAA'!AH126/$C$2</f>
        <v>1.5587074677983772</v>
      </c>
      <c r="D126" s="23">
        <f>'Total and digestible IAA'!AI126/$D$2</f>
        <v>0.99891891891891893</v>
      </c>
      <c r="E126" s="23">
        <f>'Total and digestible IAA'!AJ126/$E$2</f>
        <v>0.85176085176085181</v>
      </c>
      <c r="F126" s="23">
        <f>'Total and digestible IAA'!AK126/$F$2</f>
        <v>0.76956539251621203</v>
      </c>
      <c r="G126" s="23">
        <f>'Total and digestible IAA'!AL126/$G$2</f>
        <v>0.60329647829647826</v>
      </c>
      <c r="H126" s="23">
        <f>'Total and digestible IAA'!AM126/$H$2</f>
        <v>0.9971156927678666</v>
      </c>
      <c r="I126" s="23">
        <f>'Total and digestible IAA'!AN126/$I$2</f>
        <v>1.6772937016839455</v>
      </c>
      <c r="J126" s="23">
        <f>'Total and digestible IAA'!AO126/$J$2</f>
        <v>0.90055282555282568</v>
      </c>
      <c r="K126" s="23">
        <f>'Total and digestible IAA'!AP126/$K$2</f>
        <v>1.5737100737100735</v>
      </c>
      <c r="L126" s="24">
        <f t="shared" si="1"/>
        <v>60.329647829647826</v>
      </c>
      <c r="M126" s="14" t="s">
        <v>8</v>
      </c>
    </row>
    <row r="127" spans="1:14" s="4" customFormat="1" x14ac:dyDescent="0.25">
      <c r="A127" s="4" t="s">
        <v>91</v>
      </c>
      <c r="B127" s="5" t="s">
        <v>123</v>
      </c>
      <c r="C127" s="23">
        <f>'Total and digestible IAA'!AH127/$C$2</f>
        <v>1.6125080593165699</v>
      </c>
      <c r="D127" s="23">
        <f>'Total and digestible IAA'!AI127/$D$2</f>
        <v>0.95727659574468094</v>
      </c>
      <c r="E127" s="23">
        <f>'Total and digestible IAA'!AJ127/$E$2</f>
        <v>0.8187234042553192</v>
      </c>
      <c r="F127" s="23">
        <f>'Total and digestible IAA'!AK127/$F$2</f>
        <v>0.74502964771538183</v>
      </c>
      <c r="G127" s="23">
        <f>'Total and digestible IAA'!AL127/$G$2</f>
        <v>0.58851950354609917</v>
      </c>
      <c r="H127" s="23">
        <f>'Total and digestible IAA'!AM127/$H$2</f>
        <v>1.0466234967622572</v>
      </c>
      <c r="I127" s="23">
        <f>'Total and digestible IAA'!AN127/$I$2</f>
        <v>1.6555267254800208</v>
      </c>
      <c r="J127" s="23">
        <f>'Total and digestible IAA'!AO127/$J$2</f>
        <v>0.90638297872340434</v>
      </c>
      <c r="K127" s="23">
        <f>'Total and digestible IAA'!AP127/$K$2</f>
        <v>1.4900265957446808</v>
      </c>
      <c r="L127" s="24">
        <f t="shared" si="1"/>
        <v>58.851950354609919</v>
      </c>
      <c r="M127" s="14" t="s">
        <v>8</v>
      </c>
    </row>
    <row r="128" spans="1:14" s="4" customFormat="1" x14ac:dyDescent="0.25">
      <c r="A128" s="4" t="s">
        <v>95</v>
      </c>
      <c r="B128" s="5" t="s">
        <v>123</v>
      </c>
      <c r="C128" s="23">
        <f>'Total and digestible IAA'!AH128/$C$2</f>
        <v>0.74074074074074081</v>
      </c>
      <c r="D128" s="23">
        <f>'Total and digestible IAA'!AI128/$D$2</f>
        <v>0.71487179487179475</v>
      </c>
      <c r="E128" s="23">
        <f>'Total and digestible IAA'!AJ128/$E$2</f>
        <v>0.75384615384615394</v>
      </c>
      <c r="F128" s="23">
        <f>'Total and digestible IAA'!AK128/$F$2</f>
        <v>0.68151884545327157</v>
      </c>
      <c r="G128" s="23">
        <f>'Total and digestible IAA'!AL128/$G$2</f>
        <v>0.38497150997151003</v>
      </c>
      <c r="H128" s="23">
        <f>'Total and digestible IAA'!AM128/$H$2</f>
        <v>0.52694165737644005</v>
      </c>
      <c r="I128" s="23">
        <f>'Total and digestible IAA'!AN128/$I$2</f>
        <v>0.8822180529497603</v>
      </c>
      <c r="J128" s="23">
        <f>'Total and digestible IAA'!AO128/$J$2</f>
        <v>0.55470085470085473</v>
      </c>
      <c r="K128" s="23">
        <f>'Total and digestible IAA'!AP128/$K$2</f>
        <v>0.78205128205128205</v>
      </c>
      <c r="L128" s="24">
        <f t="shared" si="1"/>
        <v>38.497150997151003</v>
      </c>
      <c r="M128" s="14" t="s">
        <v>8</v>
      </c>
    </row>
    <row r="129" spans="1:13" s="4" customFormat="1" x14ac:dyDescent="0.25">
      <c r="A129" s="4" t="s">
        <v>58</v>
      </c>
      <c r="B129" s="5" t="s">
        <v>123</v>
      </c>
      <c r="C129" s="23">
        <f>'Total and digestible IAA'!AH129/$C$2</f>
        <v>1.2521913348359632</v>
      </c>
      <c r="D129" s="23">
        <f>'Total and digestible IAA'!AI129/$D$2</f>
        <v>0.87487603305785133</v>
      </c>
      <c r="E129" s="23">
        <f>'Total and digestible IAA'!AJ129/$E$2</f>
        <v>0.8922865013774105</v>
      </c>
      <c r="F129" s="23">
        <f>'Total and digestible IAA'!AK129/$F$2</f>
        <v>0.88961522828884954</v>
      </c>
      <c r="G129" s="23">
        <f>'Total and digestible IAA'!AL129/$G$2</f>
        <v>0.56473829201101922</v>
      </c>
      <c r="H129" s="23">
        <f>'Total and digestible IAA'!AM129/$H$2</f>
        <v>0.79581386992454184</v>
      </c>
      <c r="I129" s="23">
        <f>'Total and digestible IAA'!AN129/$I$2</f>
        <v>1.7517133642410803</v>
      </c>
      <c r="J129" s="23">
        <f>'Total and digestible IAA'!AO129/$J$2</f>
        <v>0.8074896694214877</v>
      </c>
      <c r="K129" s="23">
        <f>'Total and digestible IAA'!AP129/$K$2</f>
        <v>1.2148760330578512</v>
      </c>
      <c r="L129" s="24">
        <f t="shared" si="1"/>
        <v>56.473829201101921</v>
      </c>
      <c r="M129" s="14" t="s">
        <v>8</v>
      </c>
    </row>
    <row r="130" spans="1:13" s="4" customFormat="1" x14ac:dyDescent="0.25">
      <c r="A130" s="4" t="s">
        <v>59</v>
      </c>
      <c r="B130" s="5" t="s">
        <v>123</v>
      </c>
      <c r="C130" s="23">
        <f>'Total and digestible IAA'!AH130/$C$2</f>
        <v>1.3151405556468851</v>
      </c>
      <c r="D130" s="23">
        <f>'Total and digestible IAA'!AI130/$D$2</f>
        <v>0.95276672694394227</v>
      </c>
      <c r="E130" s="23">
        <f>'Total and digestible IAA'!AJ130/$E$2</f>
        <v>0.98710066305003019</v>
      </c>
      <c r="F130" s="23">
        <f>'Total and digestible IAA'!AK130/$F$2</f>
        <v>0.96137313609818276</v>
      </c>
      <c r="G130" s="23">
        <f>'Total and digestible IAA'!AL130/$G$2</f>
        <v>0.60006027727546718</v>
      </c>
      <c r="H130" s="23">
        <f>'Total and digestible IAA'!AM130/$H$2</f>
        <v>0.70225646670335717</v>
      </c>
      <c r="I130" s="23">
        <f>'Total and digestible IAA'!AN130/$I$2</f>
        <v>1.9567326776341902</v>
      </c>
      <c r="J130" s="23">
        <f>'Total and digestible IAA'!AO130/$J$2</f>
        <v>0.89005424954792045</v>
      </c>
      <c r="K130" s="23">
        <f>'Total and digestible IAA'!AP130/$K$2</f>
        <v>1.2613019891500905</v>
      </c>
      <c r="L130" s="24">
        <f t="shared" si="1"/>
        <v>60.006027727546716</v>
      </c>
      <c r="M130" s="14" t="s">
        <v>8</v>
      </c>
    </row>
    <row r="131" spans="1:13" s="4" customFormat="1" x14ac:dyDescent="0.25">
      <c r="A131" s="4" t="s">
        <v>61</v>
      </c>
      <c r="B131" s="5" t="s">
        <v>123</v>
      </c>
      <c r="C131" s="23">
        <f>'Total and digestible IAA'!AH131/$C$2</f>
        <v>1.1595547309833025</v>
      </c>
      <c r="D131" s="23">
        <f>'Total and digestible IAA'!AI131/$D$2</f>
        <v>0.95769944341372903</v>
      </c>
      <c r="E131" s="23">
        <f>'Total and digestible IAA'!AJ131/$E$2</f>
        <v>0.98998144712430425</v>
      </c>
      <c r="F131" s="23">
        <f>'Total and digestible IAA'!AK131/$F$2</f>
        <v>0.96347212506463098</v>
      </c>
      <c r="G131" s="23">
        <f>'Total and digestible IAA'!AL131/$G$2</f>
        <v>0.60544217687074842</v>
      </c>
      <c r="H131" s="23">
        <f>'Total and digestible IAA'!AM131/$H$2</f>
        <v>0.82665160926030501</v>
      </c>
      <c r="I131" s="23">
        <f>'Total and digestible IAA'!AN131/$I$2</f>
        <v>1.9559708584098825</v>
      </c>
      <c r="J131" s="23">
        <f>'Total and digestible IAA'!AO131/$J$2</f>
        <v>0.89610389610389607</v>
      </c>
      <c r="K131" s="23">
        <f>'Total and digestible IAA'!AP131/$K$2</f>
        <v>1.2731910946196661</v>
      </c>
      <c r="L131" s="24">
        <f t="shared" si="1"/>
        <v>60.544217687074841</v>
      </c>
      <c r="M131" s="14" t="s">
        <v>8</v>
      </c>
    </row>
    <row r="132" spans="1:13" s="4" customFormat="1" x14ac:dyDescent="0.25">
      <c r="A132" s="4" t="s">
        <v>98</v>
      </c>
      <c r="B132" s="5" t="s">
        <v>123</v>
      </c>
      <c r="C132" s="23">
        <f>'Total and digestible IAA'!AH132/$C$2</f>
        <v>1.8315018315018317</v>
      </c>
      <c r="D132" s="23">
        <f>'Total and digestible IAA'!AI132/$D$2</f>
        <v>1.0997802197802198</v>
      </c>
      <c r="E132" s="23">
        <f>'Total and digestible IAA'!AJ132/$E$2</f>
        <v>1.1213369963369964</v>
      </c>
      <c r="F132" s="23">
        <f>'Total and digestible IAA'!AK132/$F$2</f>
        <v>0.78184110970996223</v>
      </c>
      <c r="G132" s="23">
        <f>'Total and digestible IAA'!AL132/$G$2</f>
        <v>0.63839285714285732</v>
      </c>
      <c r="H132" s="23">
        <f>'Total and digestible IAA'!AM132/$H$2</f>
        <v>1.3149784997611085</v>
      </c>
      <c r="I132" s="23">
        <f>'Total and digestible IAA'!AN132/$I$2</f>
        <v>1.4269632806218171</v>
      </c>
      <c r="J132" s="23">
        <f>'Total and digestible IAA'!AO132/$J$2</f>
        <v>0.97836538461538469</v>
      </c>
      <c r="K132" s="23">
        <f>'Total and digestible IAA'!AP132/$K$2</f>
        <v>1.3157623626373625</v>
      </c>
      <c r="L132" s="24">
        <f t="shared" ref="L132:L195" si="2">MIN(C132:K132)*100</f>
        <v>63.83928571428573</v>
      </c>
      <c r="M132" s="14" t="s">
        <v>8</v>
      </c>
    </row>
    <row r="133" spans="1:13" s="4" customFormat="1" x14ac:dyDescent="0.25">
      <c r="A133" s="4" t="s">
        <v>99</v>
      </c>
      <c r="B133" s="5" t="s">
        <v>123</v>
      </c>
      <c r="C133" s="23">
        <f>'Total and digestible IAA'!AH133/$C$2</f>
        <v>1.9876733436055471</v>
      </c>
      <c r="D133" s="23">
        <f>'Total and digestible IAA'!AI133/$D$2</f>
        <v>1.183276836158192</v>
      </c>
      <c r="E133" s="23">
        <f>'Total and digestible IAA'!AJ133/$E$2</f>
        <v>1.216572504708098</v>
      </c>
      <c r="F133" s="23">
        <f>'Total and digestible IAA'!AK133/$F$2</f>
        <v>0.844308604241919</v>
      </c>
      <c r="G133" s="23">
        <f>'Total and digestible IAA'!AL133/$G$2</f>
        <v>0.63806497175141241</v>
      </c>
      <c r="H133" s="23">
        <f>'Total and digestible IAA'!AM133/$H$2</f>
        <v>1.3780397936624909</v>
      </c>
      <c r="I133" s="23">
        <f>'Total and digestible IAA'!AN133/$I$2</f>
        <v>1.5228055670387211</v>
      </c>
      <c r="J133" s="23">
        <f>'Total and digestible IAA'!AO133/$J$2</f>
        <v>1.0677966101694916</v>
      </c>
      <c r="K133" s="23">
        <f>'Total and digestible IAA'!AP133/$K$2</f>
        <v>1.3608757062146892</v>
      </c>
      <c r="L133" s="24">
        <f t="shared" si="2"/>
        <v>63.806497175141239</v>
      </c>
      <c r="M133" s="14" t="s">
        <v>8</v>
      </c>
    </row>
    <row r="134" spans="1:13" s="4" customFormat="1" x14ac:dyDescent="0.25">
      <c r="A134" s="4" t="s">
        <v>125</v>
      </c>
      <c r="B134" s="5" t="s">
        <v>123</v>
      </c>
      <c r="C134" s="23">
        <f>'Total and digestible IAA'!AH134/$C$2</f>
        <v>0.78260869565217417</v>
      </c>
      <c r="D134" s="23">
        <f>'Total and digestible IAA'!AI134/$D$2</f>
        <v>1.3088695652173914</v>
      </c>
      <c r="E134" s="23">
        <f>'Total and digestible IAA'!AJ134/$E$2</f>
        <v>1.2985507246376813</v>
      </c>
      <c r="F134" s="23">
        <f>'Total and digestible IAA'!AK134/$F$2</f>
        <v>1.129009265858874</v>
      </c>
      <c r="G134" s="23">
        <f>'Total and digestible IAA'!AL134/$G$2</f>
        <v>8.8768115942028991E-2</v>
      </c>
      <c r="H134" s="23">
        <f>'Total and digestible IAA'!AM134/$H$2</f>
        <v>0.66465028355387523</v>
      </c>
      <c r="I134" s="23">
        <f>'Total and digestible IAA'!AN134/$I$2</f>
        <v>1.4621420996818664</v>
      </c>
      <c r="J134" s="23">
        <f>'Total and digestible IAA'!AO134/$J$2</f>
        <v>1.0043478260869565</v>
      </c>
      <c r="K134" s="23">
        <f>'Total and digestible IAA'!AP134/$K$2</f>
        <v>0.64021739130434774</v>
      </c>
      <c r="L134" s="24">
        <f t="shared" si="2"/>
        <v>8.8768115942028984</v>
      </c>
      <c r="M134" s="14" t="s">
        <v>8</v>
      </c>
    </row>
    <row r="135" spans="1:13" s="4" customFormat="1" x14ac:dyDescent="0.25">
      <c r="A135" s="4" t="s">
        <v>127</v>
      </c>
      <c r="B135" s="5" t="s">
        <v>123</v>
      </c>
      <c r="C135" s="23">
        <f>'Total and digestible IAA'!AH135/$C$2</f>
        <v>0.84269662921348321</v>
      </c>
      <c r="D135" s="23">
        <f>'Total and digestible IAA'!AI135/$D$2</f>
        <v>1.3348314606741574</v>
      </c>
      <c r="E135" s="23">
        <f>'Total and digestible IAA'!AJ135/$E$2</f>
        <v>1.3146067415730338</v>
      </c>
      <c r="F135" s="23">
        <f>'Total and digestible IAA'!AK135/$F$2</f>
        <v>1.1477251795910852</v>
      </c>
      <c r="G135" s="23">
        <f>'Total and digestible IAA'!AL135/$G$2</f>
        <v>9.3632958801498134E-2</v>
      </c>
      <c r="H135" s="23">
        <f>'Total and digestible IAA'!AM135/$H$2</f>
        <v>0.6692721055202735</v>
      </c>
      <c r="I135" s="23">
        <f>'Total and digestible IAA'!AN135/$I$2</f>
        <v>1.4771170183611946</v>
      </c>
      <c r="J135" s="23">
        <f>'Total and digestible IAA'!AO135/$J$2</f>
        <v>1.0280898876404494</v>
      </c>
      <c r="K135" s="23">
        <f>'Total and digestible IAA'!AP135/$K$2</f>
        <v>0.663623595505618</v>
      </c>
      <c r="L135" s="24">
        <f t="shared" si="2"/>
        <v>9.3632958801498134</v>
      </c>
      <c r="M135" s="14" t="s">
        <v>8</v>
      </c>
    </row>
    <row r="136" spans="1:13" s="4" customFormat="1" x14ac:dyDescent="0.25">
      <c r="A136" s="4" t="s">
        <v>129</v>
      </c>
      <c r="B136" s="5" t="s">
        <v>123</v>
      </c>
      <c r="C136" s="23">
        <f>'Total and digestible IAA'!AH136/$C$2</f>
        <v>0.90169992609017002</v>
      </c>
      <c r="D136" s="23">
        <f>'Total and digestible IAA'!AI136/$D$2</f>
        <v>1.4829268292682927</v>
      </c>
      <c r="E136" s="23">
        <f>'Total and digestible IAA'!AJ136/$E$2</f>
        <v>1.4227642276422765</v>
      </c>
      <c r="F136" s="23">
        <f>'Total and digestible IAA'!AK136/$F$2</f>
        <v>1.2207117153138742</v>
      </c>
      <c r="G136" s="23">
        <f>'Total and digestible IAA'!AL136/$G$2</f>
        <v>9.8238482384823841E-2</v>
      </c>
      <c r="H136" s="23">
        <f>'Total and digestible IAA'!AM136/$H$2</f>
        <v>0.74301873453517164</v>
      </c>
      <c r="I136" s="23">
        <f>'Total and digestible IAA'!AN136/$I$2</f>
        <v>1.5831846123339282</v>
      </c>
      <c r="J136" s="23">
        <f>'Total and digestible IAA'!AO136/$J$2</f>
        <v>1.1134146341463416</v>
      </c>
      <c r="K136" s="23">
        <f>'Total and digestible IAA'!AP136/$K$2</f>
        <v>0.69105691056910568</v>
      </c>
      <c r="L136" s="24">
        <f t="shared" si="2"/>
        <v>9.823848238482384</v>
      </c>
      <c r="M136" s="14" t="s">
        <v>8</v>
      </c>
    </row>
    <row r="137" spans="1:13" s="4" customFormat="1" x14ac:dyDescent="0.25">
      <c r="A137" s="4" t="s">
        <v>131</v>
      </c>
      <c r="B137" s="5" t="s">
        <v>123</v>
      </c>
      <c r="C137" s="23">
        <f>'Total and digestible IAA'!AH137/$C$2</f>
        <v>0.95611285266457691</v>
      </c>
      <c r="D137" s="23">
        <f>'Total and digestible IAA'!AI137/$D$2</f>
        <v>1.4896551724137934</v>
      </c>
      <c r="E137" s="23">
        <f>'Total and digestible IAA'!AJ137/$E$2</f>
        <v>1.4281609195402298</v>
      </c>
      <c r="F137" s="23">
        <f>'Total and digestible IAA'!AK137/$F$2</f>
        <v>1.2241379310344824</v>
      </c>
      <c r="G137" s="23">
        <f>'Total and digestible IAA'!AL137/$G$2</f>
        <v>0.10416666666666664</v>
      </c>
      <c r="H137" s="23">
        <f>'Total and digestible IAA'!AM137/$H$2</f>
        <v>0.73950524737631174</v>
      </c>
      <c r="I137" s="23">
        <f>'Total and digestible IAA'!AN137/$I$2</f>
        <v>1.5870479394449117</v>
      </c>
      <c r="J137" s="23">
        <f>'Total and digestible IAA'!AO137/$J$2</f>
        <v>1.1094827586206895</v>
      </c>
      <c r="K137" s="23">
        <f>'Total and digestible IAA'!AP137/$K$2</f>
        <v>0.69612068965517238</v>
      </c>
      <c r="L137" s="24">
        <f t="shared" si="2"/>
        <v>10.416666666666664</v>
      </c>
      <c r="M137" s="14" t="s">
        <v>8</v>
      </c>
    </row>
    <row r="138" spans="1:13" s="4" customFormat="1" x14ac:dyDescent="0.25">
      <c r="A138" s="4" t="s">
        <v>133</v>
      </c>
      <c r="B138" s="5" t="s">
        <v>123</v>
      </c>
      <c r="C138" s="23">
        <f>'Total and digestible IAA'!AH138/$C$2</f>
        <v>0.50980392156862753</v>
      </c>
      <c r="D138" s="23">
        <f>'Total and digestible IAA'!AI138/$D$2</f>
        <v>0.66070588235294125</v>
      </c>
      <c r="E138" s="23">
        <f>'Total and digestible IAA'!AJ138/$E$2</f>
        <v>0.77647058823529413</v>
      </c>
      <c r="F138" s="23">
        <f>'Total and digestible IAA'!AK138/$F$2</f>
        <v>0.71552555448408861</v>
      </c>
      <c r="G138" s="23">
        <f>'Total and digestible IAA'!AL138/$G$2</f>
        <v>0.2267156862745098</v>
      </c>
      <c r="H138" s="23">
        <f>'Total and digestible IAA'!AM138/$H$2</f>
        <v>0.77416879795396432</v>
      </c>
      <c r="I138" s="23">
        <f>'Total and digestible IAA'!AN138/$I$2</f>
        <v>1.1354375896700144</v>
      </c>
      <c r="J138" s="23">
        <f>'Total and digestible IAA'!AO138/$J$2</f>
        <v>0.82499999999999996</v>
      </c>
      <c r="K138" s="23">
        <f>'Total and digestible IAA'!AP138/$K$2</f>
        <v>0.82977941176470593</v>
      </c>
      <c r="L138" s="24">
        <f t="shared" si="2"/>
        <v>22.671568627450981</v>
      </c>
      <c r="M138" s="14" t="s">
        <v>8</v>
      </c>
    </row>
    <row r="139" spans="1:13" s="4" customFormat="1" x14ac:dyDescent="0.25">
      <c r="A139" s="4" t="s">
        <v>135</v>
      </c>
      <c r="B139" s="5" t="s">
        <v>123</v>
      </c>
      <c r="C139" s="23">
        <f>'Total and digestible IAA'!AH139/$C$2</f>
        <v>0.51664182811723802</v>
      </c>
      <c r="D139" s="23">
        <f>'Total and digestible IAA'!AI139/$D$2</f>
        <v>0.68196721311475417</v>
      </c>
      <c r="E139" s="23">
        <f>'Total and digestible IAA'!AJ139/$E$2</f>
        <v>0.79344262295081969</v>
      </c>
      <c r="F139" s="23">
        <f>'Total and digestible IAA'!AK139/$F$2</f>
        <v>0.74621517513213298</v>
      </c>
      <c r="G139" s="23">
        <f>'Total and digestible IAA'!AL139/$G$2</f>
        <v>0.23167122040072863</v>
      </c>
      <c r="H139" s="23">
        <f>'Total and digestible IAA'!AM139/$H$2</f>
        <v>0.80114041339985742</v>
      </c>
      <c r="I139" s="23">
        <f>'Total and digestible IAA'!AN139/$I$2</f>
        <v>1.1972544315607092</v>
      </c>
      <c r="J139" s="23">
        <f>'Total and digestible IAA'!AO139/$J$2</f>
        <v>0.82049180327868876</v>
      </c>
      <c r="K139" s="23">
        <f>'Total and digestible IAA'!AP139/$K$2</f>
        <v>0.97916666666666663</v>
      </c>
      <c r="L139" s="24">
        <f t="shared" si="2"/>
        <v>23.167122040072861</v>
      </c>
      <c r="M139" s="14" t="s">
        <v>8</v>
      </c>
    </row>
    <row r="140" spans="1:13" s="4" customFormat="1" x14ac:dyDescent="0.25">
      <c r="A140" s="4" t="s">
        <v>76</v>
      </c>
      <c r="B140" s="5" t="s">
        <v>123</v>
      </c>
      <c r="C140" s="23">
        <f>'Total and digestible IAA'!AH140/$C$2</f>
        <v>1.2651739951443219</v>
      </c>
      <c r="D140" s="23">
        <f>'Total and digestible IAA'!AI140/$D$2</f>
        <v>1.3260534124629078</v>
      </c>
      <c r="E140" s="23">
        <f>'Total and digestible IAA'!AJ140/$E$2</f>
        <v>1.0492581602373887</v>
      </c>
      <c r="F140" s="23">
        <f>'Total and digestible IAA'!AK140/$F$2</f>
        <v>0.91744904412122397</v>
      </c>
      <c r="G140" s="23">
        <f>'Total and digestible IAA'!AL140/$G$2</f>
        <v>0.8758654797230464</v>
      </c>
      <c r="H140" s="23">
        <f>'Total and digestible IAA'!AM140/$H$2</f>
        <v>1.6168236356599148</v>
      </c>
      <c r="I140" s="23">
        <f>'Total and digestible IAA'!AN140/$I$2</f>
        <v>1.3670116523123688</v>
      </c>
      <c r="J140" s="23">
        <f>'Total and digestible IAA'!AO140/$J$2</f>
        <v>0.98820474777448086</v>
      </c>
      <c r="K140" s="23">
        <f>'Total and digestible IAA'!AP140/$K$2</f>
        <v>1.4345326409495549</v>
      </c>
      <c r="L140" s="24">
        <f t="shared" si="2"/>
        <v>87.586547972304643</v>
      </c>
      <c r="M140" s="14" t="s">
        <v>8</v>
      </c>
    </row>
    <row r="141" spans="1:13" s="4" customFormat="1" x14ac:dyDescent="0.25">
      <c r="A141" s="4" t="s">
        <v>78</v>
      </c>
      <c r="B141" s="5" t="s">
        <v>123</v>
      </c>
      <c r="C141" s="23">
        <f>'Total and digestible IAA'!AH141/$C$2</f>
        <v>1.4952676369999205</v>
      </c>
      <c r="D141" s="23">
        <f>'Total and digestible IAA'!AI141/$D$2</f>
        <v>1.2913385826771653</v>
      </c>
      <c r="E141" s="23">
        <f>'Total and digestible IAA'!AJ141/$E$2</f>
        <v>1.0440944881889764</v>
      </c>
      <c r="F141" s="23">
        <f>'Total and digestible IAA'!AK141/$F$2</f>
        <v>0.91734434834989897</v>
      </c>
      <c r="G141" s="23">
        <f>'Total and digestible IAA'!AL141/$G$2</f>
        <v>0.83661417322834641</v>
      </c>
      <c r="H141" s="23">
        <f>'Total and digestible IAA'!AM141/$H$2</f>
        <v>1.6056145155768573</v>
      </c>
      <c r="I141" s="23">
        <f>'Total and digestible IAA'!AN141/$I$2</f>
        <v>1.3341655463798734</v>
      </c>
      <c r="J141" s="23">
        <f>'Total and digestible IAA'!AO141/$J$2</f>
        <v>0.98523622047244097</v>
      </c>
      <c r="K141" s="23">
        <f>'Total and digestible IAA'!AP141/$K$2</f>
        <v>1.4468503937007875</v>
      </c>
      <c r="L141" s="24">
        <f t="shared" si="2"/>
        <v>83.661417322834637</v>
      </c>
      <c r="M141" s="14" t="s">
        <v>8</v>
      </c>
    </row>
    <row r="142" spans="1:13" s="4" customFormat="1" x14ac:dyDescent="0.25">
      <c r="A142" s="4" t="s">
        <v>102</v>
      </c>
      <c r="B142" s="5" t="s">
        <v>123</v>
      </c>
      <c r="C142" s="23">
        <f>'Total and digestible IAA'!AH142/$C$2</f>
        <v>1.1926358933010819</v>
      </c>
      <c r="D142" s="23">
        <f>'Total and digestible IAA'!AI142/$D$2</f>
        <v>1.0498447893569847</v>
      </c>
      <c r="E142" s="23">
        <f>'Total and digestible IAA'!AJ142/$E$2</f>
        <v>1.0088691796008868</v>
      </c>
      <c r="F142" s="23">
        <f>'Total and digestible IAA'!AK142/$F$2</f>
        <v>0.93635273163461896</v>
      </c>
      <c r="G142" s="23">
        <f>'Total and digestible IAA'!AL142/$G$2</f>
        <v>0.42110125646711011</v>
      </c>
      <c r="H142" s="23">
        <f>'Total and digestible IAA'!AM142/$H$2</f>
        <v>1.7761496192037018</v>
      </c>
      <c r="I142" s="23">
        <f>'Total and digestible IAA'!AN142/$I$2</f>
        <v>1.655021361743551</v>
      </c>
      <c r="J142" s="23">
        <f>'Total and digestible IAA'!AO142/$J$2</f>
        <v>0.96286031042128606</v>
      </c>
      <c r="K142" s="23">
        <f>'Total and digestible IAA'!AP142/$K$2</f>
        <v>1.2876940133037693</v>
      </c>
      <c r="L142" s="24">
        <f t="shared" si="2"/>
        <v>42.110125646711012</v>
      </c>
      <c r="M142" s="14" t="s">
        <v>8</v>
      </c>
    </row>
    <row r="143" spans="1:13" s="4" customFormat="1" x14ac:dyDescent="0.25">
      <c r="A143" s="4" t="s">
        <v>137</v>
      </c>
      <c r="B143" s="5" t="s">
        <v>123</v>
      </c>
      <c r="C143" s="23">
        <f>'Total and digestible IAA'!AH143/$C$2</f>
        <v>1.4713804713804717</v>
      </c>
      <c r="D143" s="23">
        <f>'Total and digestible IAA'!AI143/$D$2</f>
        <v>1.0275555555555556</v>
      </c>
      <c r="E143" s="23">
        <f>'Total and digestible IAA'!AJ143/$E$2</f>
        <v>1.1111111111111112</v>
      </c>
      <c r="F143" s="23">
        <f>'Total and digestible IAA'!AK143/$F$2</f>
        <v>0.95373406193078314</v>
      </c>
      <c r="G143" s="23">
        <f>'Total and digestible IAA'!AL143/$G$2</f>
        <v>0.54799382716049383</v>
      </c>
      <c r="H143" s="23">
        <f>'Total and digestible IAA'!AM143/$H$2</f>
        <v>1.1729468599033817</v>
      </c>
      <c r="I143" s="23">
        <f>'Total and digestible IAA'!AN143/$I$2</f>
        <v>1.2760614272809396</v>
      </c>
      <c r="J143" s="23">
        <f>'Total and digestible IAA'!AO143/$J$2</f>
        <v>1.0138888888888888</v>
      </c>
      <c r="K143" s="23">
        <f>'Total and digestible IAA'!AP143/$K$2</f>
        <v>1.2847222222222225</v>
      </c>
      <c r="L143" s="24">
        <f t="shared" si="2"/>
        <v>54.799382716049379</v>
      </c>
      <c r="M143" s="14" t="s">
        <v>8</v>
      </c>
    </row>
    <row r="144" spans="1:13" s="4" customFormat="1" x14ac:dyDescent="0.25">
      <c r="A144" s="4" t="s">
        <v>63</v>
      </c>
      <c r="B144" s="5" t="s">
        <v>123</v>
      </c>
      <c r="C144" s="23">
        <f>'Total and digestible IAA'!AH144/$C$2</f>
        <v>1.8075435203094778</v>
      </c>
      <c r="D144" s="23">
        <f>'Total and digestible IAA'!AI144/$D$2</f>
        <v>1.3549787234042554</v>
      </c>
      <c r="E144" s="23">
        <f>'Total and digestible IAA'!AJ144/$E$2</f>
        <v>1.3787234042553191</v>
      </c>
      <c r="F144" s="23">
        <f>'Total and digestible IAA'!AK144/$F$2</f>
        <v>1.120683641437042</v>
      </c>
      <c r="G144" s="23">
        <f>'Total and digestible IAA'!AL144/$G$2</f>
        <v>1.1648936170212767</v>
      </c>
      <c r="H144" s="23">
        <f>'Total and digestible IAA'!AM144/$H$2</f>
        <v>1.1496762257169288</v>
      </c>
      <c r="I144" s="23">
        <f>'Total and digestible IAA'!AN144/$I$2</f>
        <v>1.911728074727556</v>
      </c>
      <c r="J144" s="23">
        <f>'Total and digestible IAA'!AO144/$J$2</f>
        <v>1.0578723404255321</v>
      </c>
      <c r="K144" s="23">
        <f>'Total and digestible IAA'!AP144/$K$2</f>
        <v>1.5368351063829788</v>
      </c>
      <c r="L144" s="24">
        <f t="shared" si="2"/>
        <v>105.78723404255321</v>
      </c>
      <c r="M144" s="14" t="s">
        <v>535</v>
      </c>
    </row>
    <row r="145" spans="1:14" s="4" customFormat="1" x14ac:dyDescent="0.25">
      <c r="A145" s="4" t="s">
        <v>64</v>
      </c>
      <c r="B145" s="5" t="s">
        <v>123</v>
      </c>
      <c r="C145" s="23">
        <f>'Total and digestible IAA'!AH145/$C$2</f>
        <v>1.8524640342822158</v>
      </c>
      <c r="D145" s="23">
        <f>'Total and digestible IAA'!AI145/$D$2</f>
        <v>1.3273535353535353</v>
      </c>
      <c r="E145" s="23">
        <f>'Total and digestible IAA'!AJ145/$E$2</f>
        <v>1.3604713804713806</v>
      </c>
      <c r="F145" s="23">
        <f>'Total and digestible IAA'!AK145/$F$2</f>
        <v>1.1112104653088259</v>
      </c>
      <c r="G145" s="23">
        <f>'Total and digestible IAA'!AL145/$G$2</f>
        <v>1.1537037037037037</v>
      </c>
      <c r="H145" s="23">
        <f>'Total and digestible IAA'!AM145/$H$2</f>
        <v>1.1491436100131751</v>
      </c>
      <c r="I145" s="23">
        <f>'Total and digestible IAA'!AN145/$I$2</f>
        <v>1.8933234786893325</v>
      </c>
      <c r="J145" s="23">
        <f>'Total and digestible IAA'!AO145/$J$2</f>
        <v>1.0622222222222222</v>
      </c>
      <c r="K145" s="23">
        <f>'Total and digestible IAA'!AP145/$K$2</f>
        <v>1.5113636363636365</v>
      </c>
      <c r="L145" s="24">
        <f t="shared" si="2"/>
        <v>106.22222222222221</v>
      </c>
      <c r="M145" s="14" t="s">
        <v>535</v>
      </c>
    </row>
    <row r="146" spans="1:14" s="4" customFormat="1" x14ac:dyDescent="0.25">
      <c r="A146" s="4" t="s">
        <v>67</v>
      </c>
      <c r="B146" s="5" t="s">
        <v>123</v>
      </c>
      <c r="C146" s="23">
        <f>'Total and digestible IAA'!AH146/$C$2</f>
        <v>1.8714713676690864</v>
      </c>
      <c r="D146" s="23">
        <f>'Total and digestible IAA'!AI146/$D$2</f>
        <v>1.329809885931559</v>
      </c>
      <c r="E146" s="23">
        <f>'Total and digestible IAA'!AJ146/$E$2</f>
        <v>1.35361216730038</v>
      </c>
      <c r="F146" s="23">
        <f>'Total and digestible IAA'!AK146/$F$2</f>
        <v>1.1150657607679364</v>
      </c>
      <c r="G146" s="23">
        <f>'Total and digestible IAA'!AL146/$G$2</f>
        <v>1.1656368821292777</v>
      </c>
      <c r="H146" s="23">
        <f>'Total and digestible IAA'!AM146/$H$2</f>
        <v>1.147049099024632</v>
      </c>
      <c r="I146" s="23">
        <f>'Total and digestible IAA'!AN146/$I$2</f>
        <v>1.8907075952888808</v>
      </c>
      <c r="J146" s="23">
        <f>'Total and digestible IAA'!AO146/$J$2</f>
        <v>1.0581749049429656</v>
      </c>
      <c r="K146" s="23">
        <f>'Total and digestible IAA'!AP146/$K$2</f>
        <v>1.5245960076045626</v>
      </c>
      <c r="L146" s="24">
        <f t="shared" si="2"/>
        <v>105.81749049429656</v>
      </c>
      <c r="M146" s="14" t="s">
        <v>535</v>
      </c>
    </row>
    <row r="147" spans="1:14" s="4" customFormat="1" x14ac:dyDescent="0.25">
      <c r="A147" s="4" t="s">
        <v>69</v>
      </c>
      <c r="B147" s="5" t="s">
        <v>123</v>
      </c>
      <c r="C147" s="23">
        <f>'Total and digestible IAA'!AH147/$C$2</f>
        <v>1.8714713676690864</v>
      </c>
      <c r="D147" s="23">
        <f>'Total and digestible IAA'!AI147/$D$2</f>
        <v>1.329809885931559</v>
      </c>
      <c r="E147" s="23">
        <f>'Total and digestible IAA'!AJ147/$E$2</f>
        <v>1.35361216730038</v>
      </c>
      <c r="F147" s="23">
        <f>'Total and digestible IAA'!AK147/$F$2</f>
        <v>1.1150657607679364</v>
      </c>
      <c r="G147" s="23">
        <f>'Total and digestible IAA'!AL147/$G$2</f>
        <v>1.1656368821292777</v>
      </c>
      <c r="H147" s="23">
        <f>'Total and digestible IAA'!AM147/$H$2</f>
        <v>1.147049099024632</v>
      </c>
      <c r="I147" s="23">
        <f>'Total and digestible IAA'!AN147/$I$2</f>
        <v>1.8907075952888808</v>
      </c>
      <c r="J147" s="23">
        <f>'Total and digestible IAA'!AO147/$J$2</f>
        <v>1.0581749049429656</v>
      </c>
      <c r="K147" s="23">
        <f>'Total and digestible IAA'!AP147/$K$2</f>
        <v>1.5245960076045626</v>
      </c>
      <c r="L147" s="24">
        <f t="shared" si="2"/>
        <v>105.81749049429656</v>
      </c>
      <c r="M147" s="14" t="s">
        <v>535</v>
      </c>
    </row>
    <row r="148" spans="1:14" s="4" customFormat="1" x14ac:dyDescent="0.25">
      <c r="A148" s="4" t="s">
        <v>71</v>
      </c>
      <c r="B148" s="5" t="s">
        <v>123</v>
      </c>
      <c r="C148" s="23">
        <f>'Total and digestible IAA'!AH148/$C$2</f>
        <v>1.9233091787439616</v>
      </c>
      <c r="D148" s="23">
        <f>'Total and digestible IAA'!AI148/$D$2</f>
        <v>1.3478985507246377</v>
      </c>
      <c r="E148" s="23">
        <f>'Total and digestible IAA'!AJ148/$E$2</f>
        <v>1.3792874396135268</v>
      </c>
      <c r="F148" s="23">
        <f>'Total and digestible IAA'!AK148/$F$2</f>
        <v>1.1404727963886909</v>
      </c>
      <c r="G148" s="23">
        <f>'Total and digestible IAA'!AL148/$G$2</f>
        <v>1.1909722222222221</v>
      </c>
      <c r="H148" s="23">
        <f>'Total and digestible IAA'!AM148/$H$2</f>
        <v>1.1823408947700063</v>
      </c>
      <c r="I148" s="23">
        <f>'Total and digestible IAA'!AN148/$I$2</f>
        <v>1.9313361611876987</v>
      </c>
      <c r="J148" s="23">
        <f>'Total and digestible IAA'!AO148/$J$2</f>
        <v>1.0842391304347827</v>
      </c>
      <c r="K148" s="23">
        <f>'Total and digestible IAA'!AP148/$K$2</f>
        <v>1.5312499999999998</v>
      </c>
      <c r="L148" s="24">
        <f t="shared" si="2"/>
        <v>108.42391304347827</v>
      </c>
      <c r="M148" s="14" t="s">
        <v>535</v>
      </c>
    </row>
    <row r="149" spans="1:14" s="4" customFormat="1" x14ac:dyDescent="0.25">
      <c r="A149" s="4" t="s">
        <v>265</v>
      </c>
      <c r="B149" s="5" t="s">
        <v>123</v>
      </c>
      <c r="C149" s="23">
        <f>'Total and digestible IAA'!AH149/$C$2</f>
        <v>1.8807824200433902</v>
      </c>
      <c r="D149" s="23">
        <f>'Total and digestible IAA'!AI149/$D$2</f>
        <v>1.3160277136258656</v>
      </c>
      <c r="E149" s="23">
        <f>'Total and digestible IAA'!AJ149/$E$2</f>
        <v>1.4042802155504233</v>
      </c>
      <c r="F149" s="23">
        <f>'Total and digestible IAA'!AK149/$F$2</f>
        <v>1.1224775678643091</v>
      </c>
      <c r="G149" s="23">
        <f>'Total and digestible IAA'!AL149/$G$2</f>
        <v>1.1762413394919169</v>
      </c>
      <c r="H149" s="23">
        <f>'Total and digestible IAA'!AM149/$H$2</f>
        <v>1.0109247916457476</v>
      </c>
      <c r="I149" s="23">
        <f>'Total and digestible IAA'!AN149/$I$2</f>
        <v>1.9066580296287949</v>
      </c>
      <c r="J149" s="23">
        <f>'Total and digestible IAA'!AO149/$J$2</f>
        <v>1.058879907621247</v>
      </c>
      <c r="K149" s="23">
        <f>'Total and digestible IAA'!AP149/$K$2</f>
        <v>1.4496824480369517</v>
      </c>
      <c r="L149" s="24">
        <f t="shared" si="2"/>
        <v>101.09247916457475</v>
      </c>
      <c r="M149" s="14" t="s">
        <v>355</v>
      </c>
    </row>
    <row r="150" spans="1:14" s="4" customFormat="1" x14ac:dyDescent="0.25">
      <c r="A150" s="4" t="s">
        <v>266</v>
      </c>
      <c r="B150" s="5" t="s">
        <v>123</v>
      </c>
      <c r="C150" s="23">
        <f>'Total and digestible IAA'!AH150/$C$2</f>
        <v>1.9211926545973657</v>
      </c>
      <c r="D150" s="23">
        <f>'Total and digestible IAA'!AI150/$D$2</f>
        <v>1.3286252676659529</v>
      </c>
      <c r="E150" s="23">
        <f>'Total and digestible IAA'!AJ150/$E$2</f>
        <v>1.5042683797287653</v>
      </c>
      <c r="F150" s="23">
        <f>'Total and digestible IAA'!AK150/$F$2</f>
        <v>1.1809597360199389</v>
      </c>
      <c r="G150" s="23">
        <f>'Total and digestible IAA'!AL150/$G$2</f>
        <v>1.2161670235546038</v>
      </c>
      <c r="H150" s="23">
        <f>'Total and digestible IAA'!AM150/$H$2</f>
        <v>1.0661018527139001</v>
      </c>
      <c r="I150" s="23">
        <f>'Total and digestible IAA'!AN150/$I$2</f>
        <v>1.9723977646628719</v>
      </c>
      <c r="J150" s="23">
        <f>'Total and digestible IAA'!AO150/$J$2</f>
        <v>1.1455460385438971</v>
      </c>
      <c r="K150" s="23">
        <f>'Total and digestible IAA'!AP150/$K$2</f>
        <v>1.5468950749464669</v>
      </c>
      <c r="L150" s="24">
        <f t="shared" si="2"/>
        <v>106.61018527139001</v>
      </c>
      <c r="M150" s="14" t="s">
        <v>355</v>
      </c>
    </row>
    <row r="151" spans="1:14" s="4" customFormat="1" x14ac:dyDescent="0.25">
      <c r="A151" s="4" t="s">
        <v>103</v>
      </c>
      <c r="B151" s="5" t="s">
        <v>123</v>
      </c>
      <c r="C151" s="23">
        <f>'Total and digestible IAA'!AH151/$C$2</f>
        <v>1.6262626262626263</v>
      </c>
      <c r="D151" s="23">
        <f>'Total and digestible IAA'!AI151/$D$2</f>
        <v>1.17</v>
      </c>
      <c r="E151" s="23">
        <f>'Total and digestible IAA'!AJ151/$E$2</f>
        <v>1.1569444444444446</v>
      </c>
      <c r="F151" s="23">
        <f>'Total and digestible IAA'!AK151/$F$2</f>
        <v>0.85154826958105645</v>
      </c>
      <c r="G151" s="23">
        <f>'Total and digestible IAA'!AL151/$G$2</f>
        <v>0.61215277777777766</v>
      </c>
      <c r="H151" s="23">
        <f>'Total and digestible IAA'!AM151/$H$2</f>
        <v>1.504106280193237</v>
      </c>
      <c r="I151" s="23">
        <f>'Total and digestible IAA'!AN151/$I$2</f>
        <v>1.4378048780487807</v>
      </c>
      <c r="J151" s="23">
        <f>'Total and digestible IAA'!AO151/$J$2</f>
        <v>1.0144444444444445</v>
      </c>
      <c r="K151" s="23">
        <f>'Total and digestible IAA'!AP151/$K$2</f>
        <v>1.2541666666666664</v>
      </c>
      <c r="L151" s="24">
        <f t="shared" si="2"/>
        <v>61.215277777777764</v>
      </c>
      <c r="M151" s="14" t="s">
        <v>8</v>
      </c>
    </row>
    <row r="152" spans="1:14" s="4" customFormat="1" x14ac:dyDescent="0.25">
      <c r="A152" s="4" t="s">
        <v>105</v>
      </c>
      <c r="B152" s="5" t="s">
        <v>123</v>
      </c>
      <c r="C152" s="23">
        <f>'Total and digestible IAA'!AH152/$C$2</f>
        <v>1.4975334742776605</v>
      </c>
      <c r="D152" s="23">
        <f>'Total and digestible IAA'!AI152/$D$2</f>
        <v>1.0751937984496123</v>
      </c>
      <c r="E152" s="23">
        <f>'Total and digestible IAA'!AJ152/$E$2</f>
        <v>1.058139534883721</v>
      </c>
      <c r="F152" s="23">
        <f>'Total and digestible IAA'!AK152/$F$2</f>
        <v>0.78307281738467405</v>
      </c>
      <c r="G152" s="23">
        <f>'Total and digestible IAA'!AL152/$G$2</f>
        <v>0.59528423772609818</v>
      </c>
      <c r="H152" s="23">
        <f>'Total and digestible IAA'!AM152/$H$2</f>
        <v>1.3744523087293561</v>
      </c>
      <c r="I152" s="23">
        <f>'Total and digestible IAA'!AN152/$I$2</f>
        <v>1.3719039515976554</v>
      </c>
      <c r="J152" s="23">
        <f>'Total and digestible IAA'!AO152/$J$2</f>
        <v>0.91317829457364341</v>
      </c>
      <c r="K152" s="23">
        <f>'Total and digestible IAA'!AP152/$K$2</f>
        <v>1.2361918604651163</v>
      </c>
      <c r="L152" s="24">
        <f t="shared" si="2"/>
        <v>59.52842377260982</v>
      </c>
      <c r="M152" s="14" t="s">
        <v>8</v>
      </c>
    </row>
    <row r="153" spans="1:14" s="4" customFormat="1" x14ac:dyDescent="0.25">
      <c r="A153" s="4" t="s">
        <v>107</v>
      </c>
      <c r="B153" s="5" t="s">
        <v>123</v>
      </c>
      <c r="C153" s="23">
        <f>'Total and digestible IAA'!AH153/$C$2</f>
        <v>1.6066606660666067</v>
      </c>
      <c r="D153" s="23">
        <f>'Total and digestible IAA'!AI153/$D$2</f>
        <v>1.1853465346534653</v>
      </c>
      <c r="E153" s="23">
        <f>'Total and digestible IAA'!AJ153/$E$2</f>
        <v>1.1504950495049506</v>
      </c>
      <c r="F153" s="23">
        <f>'Total and digestible IAA'!AK153/$F$2</f>
        <v>0.855380620029216</v>
      </c>
      <c r="G153" s="23">
        <f>'Total and digestible IAA'!AL153/$G$2</f>
        <v>0.61633663366336633</v>
      </c>
      <c r="H153" s="23">
        <f>'Total and digestible IAA'!AM153/$H$2</f>
        <v>1.4912828239345672</v>
      </c>
      <c r="I153" s="23">
        <f>'Total and digestible IAA'!AN153/$I$2</f>
        <v>1.4290026563631975</v>
      </c>
      <c r="J153" s="23">
        <f>'Total and digestible IAA'!AO153/$J$2</f>
        <v>1.0220915841584159</v>
      </c>
      <c r="K153" s="23">
        <f>'Total and digestible IAA'!AP153/$K$2</f>
        <v>1.260519801980198</v>
      </c>
      <c r="L153" s="24">
        <f t="shared" si="2"/>
        <v>61.633663366336634</v>
      </c>
      <c r="M153" s="14" t="s">
        <v>8</v>
      </c>
    </row>
    <row r="154" spans="1:14" s="4" customFormat="1" x14ac:dyDescent="0.25">
      <c r="A154" s="4" t="s">
        <v>109</v>
      </c>
      <c r="B154" s="5" t="s">
        <v>123</v>
      </c>
      <c r="C154" s="23">
        <f>'Total and digestible IAA'!AH154/$C$2</f>
        <v>1.4435889843055967</v>
      </c>
      <c r="D154" s="23">
        <f>'Total and digestible IAA'!AI154/$D$2</f>
        <v>1.0652768729641695</v>
      </c>
      <c r="E154" s="23">
        <f>'Total and digestible IAA'!AJ154/$E$2</f>
        <v>1.0586319218241043</v>
      </c>
      <c r="F154" s="23">
        <f>'Total and digestible IAA'!AK154/$F$2</f>
        <v>0.78886100283013838</v>
      </c>
      <c r="G154" s="23">
        <f>'Total and digestible IAA'!AL154/$G$2</f>
        <v>0.57763300760043423</v>
      </c>
      <c r="H154" s="23">
        <f>'Total and digestible IAA'!AM154/$H$2</f>
        <v>1.3706273898881181</v>
      </c>
      <c r="I154" s="23">
        <f>'Total and digestible IAA'!AN154/$I$2</f>
        <v>1.3714149519345356</v>
      </c>
      <c r="J154" s="23">
        <f>'Total and digestible IAA'!AO154/$J$2</f>
        <v>0.92214983713355048</v>
      </c>
      <c r="K154" s="23">
        <f>'Total and digestible IAA'!AP154/$K$2</f>
        <v>1.2202768729641695</v>
      </c>
      <c r="L154" s="24">
        <f t="shared" si="2"/>
        <v>57.763300760043421</v>
      </c>
      <c r="M154" s="14" t="s">
        <v>8</v>
      </c>
    </row>
    <row r="155" spans="1:14" s="6" customFormat="1" x14ac:dyDescent="0.25">
      <c r="C155" s="36"/>
      <c r="D155" s="36"/>
      <c r="E155" s="36"/>
      <c r="F155" s="36"/>
      <c r="G155" s="36"/>
      <c r="H155" s="36"/>
      <c r="I155" s="36"/>
      <c r="J155" s="36"/>
      <c r="K155" s="36"/>
      <c r="L155" s="37"/>
      <c r="M155" s="16"/>
    </row>
    <row r="156" spans="1:14" x14ac:dyDescent="0.25">
      <c r="A156" s="5" t="s">
        <v>192</v>
      </c>
      <c r="B156" s="5" t="s">
        <v>212</v>
      </c>
      <c r="C156" s="23">
        <f>'Total and digestible IAA'!AH156/$C$2</f>
        <v>1.2684365781710913</v>
      </c>
      <c r="D156" s="23">
        <f>'Total and digestible IAA'!AI156/$D$2</f>
        <v>1.475457227138643</v>
      </c>
      <c r="E156" s="23">
        <f>'Total and digestible IAA'!AJ156/$E$2</f>
        <v>1.2392822025565386</v>
      </c>
      <c r="F156" s="23">
        <f>'Total and digestible IAA'!AK156/$F$2</f>
        <v>1.0788722858939022</v>
      </c>
      <c r="G156" s="23">
        <f>'Total and digestible IAA'!AL156/$G$2</f>
        <v>1.4176806784660769</v>
      </c>
      <c r="H156" s="23">
        <f>'Total and digestible IAA'!AM156/$H$2</f>
        <v>1.3928434013081954</v>
      </c>
      <c r="I156" s="23">
        <f>'Total and digestible IAA'!AN156/$I$2</f>
        <v>1.5353262824663645</v>
      </c>
      <c r="J156" s="23">
        <f>'Total and digestible IAA'!AO156/$J$2</f>
        <v>1.1216814159292035</v>
      </c>
      <c r="K156" s="23">
        <f>'Total and digestible IAA'!AP156/$K$2</f>
        <v>1.4439528023598822</v>
      </c>
      <c r="L156" s="24">
        <f t="shared" si="2"/>
        <v>107.88722858939022</v>
      </c>
      <c r="M156" s="15" t="s">
        <v>526</v>
      </c>
    </row>
    <row r="157" spans="1:14" x14ac:dyDescent="0.25">
      <c r="A157" s="5" t="s">
        <v>196</v>
      </c>
      <c r="B157" s="5" t="s">
        <v>212</v>
      </c>
      <c r="C157" s="23">
        <f>'Total and digestible IAA'!AH157/$C$2</f>
        <v>1.3542068492563544</v>
      </c>
      <c r="D157" s="23">
        <f>'Total and digestible IAA'!AI157/$D$2</f>
        <v>1.5250919377652052</v>
      </c>
      <c r="E157" s="23">
        <f>'Total and digestible IAA'!AJ157/$E$2</f>
        <v>1.2847241867043848</v>
      </c>
      <c r="F157" s="23">
        <f>'Total and digestible IAA'!AK157/$F$2</f>
        <v>1.1050617942356298</v>
      </c>
      <c r="G157" s="23">
        <f>'Total and digestible IAA'!AL157/$G$2</f>
        <v>1.4551803394625178</v>
      </c>
      <c r="H157" s="23">
        <f>'Total and digestible IAA'!AM157/$H$2</f>
        <v>1.4206998339585513</v>
      </c>
      <c r="I157" s="23">
        <f>'Total and digestible IAA'!AN157/$I$2</f>
        <v>1.5583537447821438</v>
      </c>
      <c r="J157" s="23">
        <f>'Total and digestible IAA'!AO157/$J$2</f>
        <v>1.1451202263083453</v>
      </c>
      <c r="K157" s="23">
        <f>'Total and digestible IAA'!AP157/$K$2</f>
        <v>1.392591937765205</v>
      </c>
      <c r="L157" s="24">
        <f t="shared" si="2"/>
        <v>110.50617942356298</v>
      </c>
      <c r="M157" s="15" t="s">
        <v>526</v>
      </c>
    </row>
    <row r="158" spans="1:14" x14ac:dyDescent="0.25">
      <c r="A158" s="5" t="s">
        <v>198</v>
      </c>
      <c r="B158" s="5" t="s">
        <v>212</v>
      </c>
      <c r="C158" s="23">
        <f>'Total and digestible IAA'!AH158/$C$2</f>
        <v>1.4349376114081998</v>
      </c>
      <c r="D158" s="23">
        <f>'Total and digestible IAA'!AI158/$D$2</f>
        <v>1.5582887700534758</v>
      </c>
      <c r="E158" s="23">
        <f>'Total and digestible IAA'!AJ158/$E$2</f>
        <v>1.3195187165775399</v>
      </c>
      <c r="F158" s="23">
        <f>'Total and digestible IAA'!AK158/$F$2</f>
        <v>1.1180634697992462</v>
      </c>
      <c r="G158" s="23">
        <f>'Total and digestible IAA'!AL158/$G$2</f>
        <v>1.4923128342245988</v>
      </c>
      <c r="H158" s="23">
        <f>'Total and digestible IAA'!AM158/$H$2</f>
        <v>1.4634968611950707</v>
      </c>
      <c r="I158" s="23">
        <f>'Total and digestible IAA'!AN158/$I$2</f>
        <v>1.5829529150906483</v>
      </c>
      <c r="J158" s="23">
        <f>'Total and digestible IAA'!AO158/$J$2</f>
        <v>1.1562834224598932</v>
      </c>
      <c r="K158" s="23">
        <f>'Total and digestible IAA'!AP158/$K$2</f>
        <v>1.3683155080213905</v>
      </c>
      <c r="L158" s="24">
        <f t="shared" si="2"/>
        <v>111.80634697992463</v>
      </c>
      <c r="M158" s="15" t="s">
        <v>526</v>
      </c>
    </row>
    <row r="159" spans="1:14" x14ac:dyDescent="0.25">
      <c r="A159" s="5" t="s">
        <v>25</v>
      </c>
      <c r="B159" s="5" t="s">
        <v>212</v>
      </c>
      <c r="C159" s="23"/>
      <c r="D159" s="23"/>
      <c r="E159" s="23"/>
      <c r="F159" s="23"/>
      <c r="G159" s="23"/>
      <c r="H159" s="23"/>
      <c r="I159" s="23"/>
      <c r="J159" s="23"/>
      <c r="K159" s="23"/>
      <c r="L159" s="24"/>
      <c r="M159" s="15"/>
    </row>
    <row r="160" spans="1:14" x14ac:dyDescent="0.25">
      <c r="A160" s="5" t="s">
        <v>279</v>
      </c>
      <c r="B160" s="5" t="s">
        <v>212</v>
      </c>
      <c r="C160" s="23"/>
      <c r="D160" s="23">
        <f>'Total and digestible IAA'!AI160/$D$2</f>
        <v>0.75422400000000001</v>
      </c>
      <c r="E160" s="23">
        <f>'Total and digestible IAA'!AJ160/$E$2</f>
        <v>0.37436000000000003</v>
      </c>
      <c r="F160" s="23">
        <f>'Total and digestible IAA'!AK160/$F$2</f>
        <v>0.37890163934426235</v>
      </c>
      <c r="G160" s="23">
        <f>'Total and digestible IAA'!AL160/$G$2</f>
        <v>1.0325</v>
      </c>
      <c r="H160" s="23">
        <f>'Total and digestible IAA'!AM160/$H$2</f>
        <v>0.54236521739130428</v>
      </c>
      <c r="I160" s="23">
        <f>'Total and digestible IAA'!AN160/$I$2</f>
        <v>0.34727804878048785</v>
      </c>
      <c r="J160" s="23">
        <f>'Total and digestible IAA'!AO160/$J$2</f>
        <v>0.33074999999999999</v>
      </c>
      <c r="K160" s="23">
        <f>'Total and digestible IAA'!AP160/$K$2</f>
        <v>0.74670000000000003</v>
      </c>
      <c r="L160" s="24">
        <f t="shared" si="2"/>
        <v>33.074999999999996</v>
      </c>
      <c r="M160" s="5" t="s">
        <v>535</v>
      </c>
      <c r="N160" s="5" t="s">
        <v>529</v>
      </c>
    </row>
    <row r="161" spans="1:14" x14ac:dyDescent="0.25">
      <c r="A161" s="5" t="s">
        <v>207</v>
      </c>
      <c r="B161" s="5" t="s">
        <v>212</v>
      </c>
      <c r="C161" s="23">
        <f>'Total and digestible IAA'!AH161/$C$2</f>
        <v>1.1134439079011826</v>
      </c>
      <c r="D161" s="23">
        <f>'Total and digestible IAA'!AI161/$D$2</f>
        <v>1.0722401847575056</v>
      </c>
      <c r="E161" s="23">
        <f>'Total and digestible IAA'!AJ161/$E$2</f>
        <v>0.99130100076982297</v>
      </c>
      <c r="F161" s="23">
        <f>'Total and digestible IAA'!AK161/$F$2</f>
        <v>0.80040131753303301</v>
      </c>
      <c r="G161" s="23">
        <f>'Total and digestible IAA'!AL161/$G$2</f>
        <v>0.77270977675134711</v>
      </c>
      <c r="H161" s="23">
        <f>'Total and digestible IAA'!AM161/$H$2</f>
        <v>1.068480771161763</v>
      </c>
      <c r="I161" s="23">
        <f>'Total and digestible IAA'!AN161/$I$2</f>
        <v>1.8017236523404496</v>
      </c>
      <c r="J161" s="23">
        <f>'Total and digestible IAA'!AO161/$J$2</f>
        <v>0.89359122401847579</v>
      </c>
      <c r="K161" s="23">
        <f>'Total and digestible IAA'!AP161/$K$2</f>
        <v>1.0376732101616628</v>
      </c>
      <c r="L161" s="24">
        <f t="shared" si="2"/>
        <v>77.270977675134716</v>
      </c>
      <c r="M161" s="15" t="s">
        <v>8</v>
      </c>
    </row>
    <row r="162" spans="1:14" s="6" customFormat="1" x14ac:dyDescent="0.25">
      <c r="C162" s="36"/>
      <c r="D162" s="36"/>
      <c r="E162" s="36"/>
      <c r="F162" s="36"/>
      <c r="G162" s="36"/>
      <c r="H162" s="36"/>
      <c r="I162" s="36"/>
      <c r="J162" s="36"/>
      <c r="K162" s="36"/>
      <c r="L162" s="37"/>
      <c r="M162" s="16"/>
    </row>
    <row r="163" spans="1:14" x14ac:dyDescent="0.25">
      <c r="A163" s="5" t="s">
        <v>232</v>
      </c>
      <c r="B163" s="5" t="s">
        <v>24</v>
      </c>
      <c r="C163" s="23"/>
      <c r="D163" s="23">
        <f>'Total and digestible IAA'!AI163/$D$2</f>
        <v>1.7513140208574738</v>
      </c>
      <c r="E163" s="23">
        <f>'Total and digestible IAA'!AJ163/$E$2</f>
        <v>1.343762070297412</v>
      </c>
      <c r="F163" s="23">
        <f>'Total and digestible IAA'!AK163/$F$2</f>
        <v>1.2034534506012196</v>
      </c>
      <c r="G163" s="23">
        <f>'Total and digestible IAA'!AL163/$G$2</f>
        <v>1.4506807647740441</v>
      </c>
      <c r="H163" s="23"/>
      <c r="I163" s="23">
        <f>'Total and digestible IAA'!AN163/$I$2</f>
        <v>1.56642172794845</v>
      </c>
      <c r="J163" s="23">
        <f>'Total and digestible IAA'!AO163/$J$2</f>
        <v>1.0664860950173811</v>
      </c>
      <c r="K163" s="23">
        <f>'Total and digestible IAA'!AP163/$K$2</f>
        <v>2.0053592120509847</v>
      </c>
      <c r="L163" s="24">
        <f t="shared" si="2"/>
        <v>106.64860950173811</v>
      </c>
      <c r="M163" s="15" t="s">
        <v>535</v>
      </c>
      <c r="N163" s="5" t="s">
        <v>530</v>
      </c>
    </row>
    <row r="164" spans="1:14" x14ac:dyDescent="0.25">
      <c r="A164" s="5" t="s">
        <v>233</v>
      </c>
      <c r="B164" s="5" t="s">
        <v>24</v>
      </c>
      <c r="C164" s="23"/>
      <c r="D164" s="23">
        <f>'Total and digestible IAA'!AI164/$D$2</f>
        <v>1.6504433497536946</v>
      </c>
      <c r="E164" s="23">
        <f>'Total and digestible IAA'!AJ164/$E$2</f>
        <v>1.2571428571428571</v>
      </c>
      <c r="F164" s="23">
        <f>'Total and digestible IAA'!AK164/$F$2</f>
        <v>1.1568279092303964</v>
      </c>
      <c r="G164" s="23">
        <f>'Total and digestible IAA'!AL164/$G$2</f>
        <v>1.4884544334975371</v>
      </c>
      <c r="H164" s="23"/>
      <c r="I164" s="23">
        <f>'Total and digestible IAA'!AN164/$I$2</f>
        <v>1.5284753093836356</v>
      </c>
      <c r="J164" s="23">
        <f>'Total and digestible IAA'!AO164/$J$2</f>
        <v>1.0168103448275863</v>
      </c>
      <c r="K164" s="23">
        <f>'Total and digestible IAA'!AP164/$K$2</f>
        <v>2.2473060344827585</v>
      </c>
      <c r="L164" s="24">
        <f t="shared" si="2"/>
        <v>101.68103448275862</v>
      </c>
      <c r="M164" s="15" t="s">
        <v>535</v>
      </c>
      <c r="N164" s="5" t="s">
        <v>530</v>
      </c>
    </row>
    <row r="165" spans="1:14" x14ac:dyDescent="0.25">
      <c r="A165" s="5" t="s">
        <v>234</v>
      </c>
      <c r="B165" s="5" t="s">
        <v>24</v>
      </c>
      <c r="C165" s="23"/>
      <c r="D165" s="23">
        <f>'Total and digestible IAA'!AI165/$D$2</f>
        <v>1.4896832579185517</v>
      </c>
      <c r="E165" s="23">
        <f>'Total and digestible IAA'!AJ165/$E$2</f>
        <v>1.1788084464555051</v>
      </c>
      <c r="F165" s="23">
        <f>'Total and digestible IAA'!AK165/$F$2</f>
        <v>1.0449892441213557</v>
      </c>
      <c r="G165" s="23">
        <f>'Total and digestible IAA'!AL165/$G$2</f>
        <v>1.3233880090497736</v>
      </c>
      <c r="H165" s="23"/>
      <c r="I165" s="23">
        <f>'Total and digestible IAA'!AN165/$I$2</f>
        <v>1.3816907626089836</v>
      </c>
      <c r="J165" s="23">
        <f>'Total and digestible IAA'!AO165/$J$2</f>
        <v>0.85862556561085979</v>
      </c>
      <c r="K165" s="23">
        <f>'Total and digestible IAA'!AP165/$K$2</f>
        <v>2.030118778280543</v>
      </c>
      <c r="L165" s="24">
        <f t="shared" si="2"/>
        <v>85.862556561085981</v>
      </c>
      <c r="M165" s="15" t="s">
        <v>535</v>
      </c>
      <c r="N165" s="5" t="s">
        <v>530</v>
      </c>
    </row>
    <row r="166" spans="1:14" x14ac:dyDescent="0.25">
      <c r="A166" s="5" t="s">
        <v>235</v>
      </c>
      <c r="B166" s="5" t="s">
        <v>24</v>
      </c>
      <c r="C166" s="23"/>
      <c r="D166" s="23">
        <f>'Total and digestible IAA'!AI166/$D$2</f>
        <v>1.7779474940334128</v>
      </c>
      <c r="E166" s="23">
        <f>'Total and digestible IAA'!AJ166/$E$2</f>
        <v>1.3161495624502784</v>
      </c>
      <c r="F166" s="23">
        <f>'Total and digestible IAA'!AK166/$F$2</f>
        <v>1.1794475527211548</v>
      </c>
      <c r="G166" s="23">
        <f>'Total and digestible IAA'!AL166/$G$2</f>
        <v>1.3315184964200477</v>
      </c>
      <c r="H166" s="23"/>
      <c r="I166" s="23">
        <f>'Total and digestible IAA'!AN166/$I$2</f>
        <v>1.5242738226904942</v>
      </c>
      <c r="J166" s="23">
        <f>'Total and digestible IAA'!AO166/$J$2</f>
        <v>1.0642004773269691</v>
      </c>
      <c r="K166" s="23">
        <f>'Total and digestible IAA'!AP166/$K$2</f>
        <v>2.2602177804295938</v>
      </c>
      <c r="L166" s="24">
        <f t="shared" si="2"/>
        <v>106.42004773269691</v>
      </c>
      <c r="M166" s="15" t="s">
        <v>535</v>
      </c>
      <c r="N166" s="5" t="s">
        <v>530</v>
      </c>
    </row>
    <row r="167" spans="1:14" x14ac:dyDescent="0.25">
      <c r="A167" s="5" t="s">
        <v>236</v>
      </c>
      <c r="B167" s="5" t="s">
        <v>24</v>
      </c>
      <c r="C167" s="23"/>
      <c r="D167" s="23">
        <f>'Total and digestible IAA'!AI167/$D$2</f>
        <v>1.5092198581560283</v>
      </c>
      <c r="E167" s="23">
        <f>'Total and digestible IAA'!AJ167/$E$2</f>
        <v>1.2131205673758865</v>
      </c>
      <c r="F167" s="23">
        <f>'Total and digestible IAA'!AK167/$F$2</f>
        <v>1.0627833972793861</v>
      </c>
      <c r="G167" s="23">
        <f>'Total and digestible IAA'!AL167/$G$2</f>
        <v>1.3213652482269502</v>
      </c>
      <c r="H167" s="23"/>
      <c r="I167" s="23">
        <f>'Total and digestible IAA'!AN167/$I$2</f>
        <v>1.4126737012050972</v>
      </c>
      <c r="J167" s="23">
        <f>'Total and digestible IAA'!AO167/$J$2</f>
        <v>0.96436170212765937</v>
      </c>
      <c r="K167" s="23">
        <f>'Total and digestible IAA'!AP167/$K$2</f>
        <v>2.1211583924349884</v>
      </c>
      <c r="L167" s="24">
        <f t="shared" si="2"/>
        <v>96.436170212765944</v>
      </c>
      <c r="M167" s="15" t="s">
        <v>535</v>
      </c>
      <c r="N167" s="5" t="s">
        <v>530</v>
      </c>
    </row>
    <row r="168" spans="1:14" x14ac:dyDescent="0.25">
      <c r="A168" s="5" t="s">
        <v>190</v>
      </c>
      <c r="B168" s="5" t="s">
        <v>24</v>
      </c>
      <c r="C168" s="23">
        <f>'Total and digestible IAA'!AH168/$C$2</f>
        <v>1.6696113074204948</v>
      </c>
      <c r="D168" s="23">
        <f>'Total and digestible IAA'!AI168/$D$2</f>
        <v>1.3280565371024735</v>
      </c>
      <c r="E168" s="23">
        <f>'Total and digestible IAA'!AJ168/$E$2</f>
        <v>1.2985865724381624</v>
      </c>
      <c r="F168" s="23">
        <f>'Total and digestible IAA'!AK168/$F$2</f>
        <v>1.0305566819208714</v>
      </c>
      <c r="G168" s="23">
        <f>'Total and digestible IAA'!AL168/$G$2</f>
        <v>1.0220848056537104</v>
      </c>
      <c r="H168" s="23">
        <f>'Total and digestible IAA'!AM168/$H$2</f>
        <v>0.82877554155784317</v>
      </c>
      <c r="I168" s="23">
        <f>'Total and digestible IAA'!AN168/$I$2</f>
        <v>2.1354822028785656</v>
      </c>
      <c r="J168" s="23">
        <f>'Total and digestible IAA'!AO168/$J$2</f>
        <v>1.3293286219081275</v>
      </c>
      <c r="K168" s="23">
        <f>'Total and digestible IAA'!AP168/$K$2</f>
        <v>2.4765901060070665</v>
      </c>
      <c r="L168" s="24">
        <f t="shared" si="2"/>
        <v>82.87755415578431</v>
      </c>
      <c r="M168" s="15" t="s">
        <v>355</v>
      </c>
    </row>
    <row r="169" spans="1:14" x14ac:dyDescent="0.25">
      <c r="A169" s="5" t="s">
        <v>191</v>
      </c>
      <c r="B169" s="5" t="s">
        <v>24</v>
      </c>
      <c r="C169" s="23">
        <f>'Total and digestible IAA'!AH169/$C$2</f>
        <v>1.7400280174002805</v>
      </c>
      <c r="D169" s="23">
        <f>'Total and digestible IAA'!AI169/$D$2</f>
        <v>1.3462773722627739</v>
      </c>
      <c r="E169" s="23">
        <f>'Total and digestible IAA'!AJ169/$E$2</f>
        <v>1.213625304136253</v>
      </c>
      <c r="F169" s="23">
        <f>'Total and digestible IAA'!AK169/$F$2</f>
        <v>0.99593155438554493</v>
      </c>
      <c r="G169" s="23">
        <f>'Total and digestible IAA'!AL169/$G$2</f>
        <v>1.0495742092457421</v>
      </c>
      <c r="H169" s="23">
        <f>'Total and digestible IAA'!AM169/$H$2</f>
        <v>0.94107690680207345</v>
      </c>
      <c r="I169" s="23">
        <f>'Total and digestible IAA'!AN169/$I$2</f>
        <v>2.1029612485905878</v>
      </c>
      <c r="J169" s="23">
        <f>'Total and digestible IAA'!AO169/$J$2</f>
        <v>1.2419708029197081</v>
      </c>
      <c r="K169" s="23">
        <f>'Total and digestible IAA'!AP169/$K$2</f>
        <v>1.5766423357664237</v>
      </c>
      <c r="L169" s="24">
        <f t="shared" si="2"/>
        <v>94.107690680207341</v>
      </c>
      <c r="M169" s="15" t="s">
        <v>355</v>
      </c>
    </row>
    <row r="170" spans="1:14" x14ac:dyDescent="0.25">
      <c r="A170" s="5" t="s">
        <v>262</v>
      </c>
      <c r="B170" s="5" t="s">
        <v>24</v>
      </c>
      <c r="C170" s="23"/>
      <c r="D170" s="23">
        <f>'Total and digestible IAA'!AI170/$D$2</f>
        <v>1.1849651972157773</v>
      </c>
      <c r="E170" s="23">
        <f>'Total and digestible IAA'!AJ170/$E$2</f>
        <v>1.282675947409126</v>
      </c>
      <c r="F170" s="23">
        <f>'Total and digestible IAA'!AK170/$F$2</f>
        <v>0.88729983644593213</v>
      </c>
      <c r="G170" s="23">
        <f>'Total and digestible IAA'!AL170/$G$2</f>
        <v>0.95274555297757146</v>
      </c>
      <c r="H170" s="23">
        <f>'Total and digestible IAA'!AM170/$H$2</f>
        <v>0.86695248663371338</v>
      </c>
      <c r="I170" s="23">
        <f>'Total and digestible IAA'!AN170/$I$2</f>
        <v>1.9167958802557863</v>
      </c>
      <c r="J170" s="23">
        <f>'Total and digestible IAA'!AO170/$J$2</f>
        <v>1.1543735498839909</v>
      </c>
      <c r="K170" s="23">
        <f>'Total and digestible IAA'!AP170/$K$2</f>
        <v>1.4215197215777262</v>
      </c>
      <c r="L170" s="24">
        <f t="shared" si="2"/>
        <v>86.695248663371345</v>
      </c>
      <c r="M170" s="15" t="s">
        <v>355</v>
      </c>
      <c r="N170" s="5" t="s">
        <v>367</v>
      </c>
    </row>
    <row r="171" spans="1:14" x14ac:dyDescent="0.25">
      <c r="A171" s="5" t="s">
        <v>214</v>
      </c>
      <c r="B171" s="5" t="s">
        <v>24</v>
      </c>
      <c r="C171" s="23">
        <f>'Total and digestible IAA'!AH171/$C$2</f>
        <v>0.81481481481481477</v>
      </c>
      <c r="D171" s="23">
        <f>'Total and digestible IAA'!AI171/$D$2</f>
        <v>1.2124444444444444</v>
      </c>
      <c r="E171" s="23">
        <f>'Total and digestible IAA'!AJ171/$E$2</f>
        <v>0.96666666666666667</v>
      </c>
      <c r="F171" s="23">
        <f>'Total and digestible IAA'!AK171/$F$2</f>
        <v>0.92167577413479052</v>
      </c>
      <c r="G171" s="23">
        <f>'Total and digestible IAA'!AL171/$G$2</f>
        <v>1.4324074074074076</v>
      </c>
      <c r="H171" s="23">
        <f>'Total and digestible IAA'!AM171/$H$2</f>
        <v>0.93671497584541064</v>
      </c>
      <c r="I171" s="23">
        <f>'Total and digestible IAA'!AN171/$I$2</f>
        <v>0.62330623306233068</v>
      </c>
      <c r="J171" s="23">
        <f>'Total and digestible IAA'!AO171/$J$2</f>
        <v>0.89</v>
      </c>
      <c r="K171" s="23">
        <f>'Total and digestible IAA'!AP171/$K$2</f>
        <v>1.788888888888889</v>
      </c>
      <c r="L171" s="24">
        <f t="shared" si="2"/>
        <v>62.330623306233065</v>
      </c>
      <c r="M171" s="15" t="s">
        <v>356</v>
      </c>
    </row>
    <row r="172" spans="1:14" x14ac:dyDescent="0.25">
      <c r="A172" s="5" t="s">
        <v>215</v>
      </c>
      <c r="B172" s="5" t="s">
        <v>24</v>
      </c>
      <c r="C172" s="23">
        <f>'Total and digestible IAA'!AH172/$C$2</f>
        <v>2.5090909090909091E-2</v>
      </c>
      <c r="D172" s="23">
        <f>'Total and digestible IAA'!AI172/$D$2</f>
        <v>0.53959999999999997</v>
      </c>
      <c r="E172" s="23">
        <f>'Total and digestible IAA'!AJ172/$E$2</f>
        <v>0.50433333333333341</v>
      </c>
      <c r="F172" s="23">
        <f>'Total and digestible IAA'!AK172/$F$2</f>
        <v>0.42737704918032787</v>
      </c>
      <c r="G172" s="23">
        <f>'Total and digestible IAA'!AL172/$G$2</f>
        <v>0.71666666666666667</v>
      </c>
      <c r="H172" s="23">
        <f>'Total and digestible IAA'!AM172/$H$2</f>
        <v>0.31304347826086959</v>
      </c>
      <c r="I172" s="23">
        <f>'Total and digestible IAA'!AN172/$I$2</f>
        <v>0.52170731707317075</v>
      </c>
      <c r="J172" s="23">
        <f>'Total and digestible IAA'!AO172/$J$2</f>
        <v>0.52</v>
      </c>
      <c r="K172" s="23">
        <f>'Total and digestible IAA'!AP172/$K$2</f>
        <v>0.36499999999999999</v>
      </c>
      <c r="L172" s="24">
        <f t="shared" si="2"/>
        <v>2.5090909090909093</v>
      </c>
      <c r="M172" s="15" t="s">
        <v>6</v>
      </c>
    </row>
    <row r="173" spans="1:14" x14ac:dyDescent="0.25">
      <c r="A173" s="5" t="s">
        <v>211</v>
      </c>
      <c r="B173" s="5" t="s">
        <v>24</v>
      </c>
      <c r="C173" s="23"/>
      <c r="D173" s="23"/>
      <c r="E173" s="23"/>
      <c r="F173" s="23"/>
      <c r="G173" s="23"/>
      <c r="H173" s="23"/>
      <c r="I173" s="23"/>
      <c r="J173" s="23"/>
      <c r="K173" s="23"/>
      <c r="L173" s="24"/>
      <c r="N173" s="15"/>
    </row>
    <row r="174" spans="1:14" x14ac:dyDescent="0.25">
      <c r="A174" s="5" t="s">
        <v>210</v>
      </c>
      <c r="B174" s="5" t="s">
        <v>24</v>
      </c>
      <c r="C174" s="23"/>
      <c r="D174" s="23"/>
      <c r="E174" s="23"/>
      <c r="F174" s="23"/>
      <c r="G174" s="23"/>
      <c r="H174" s="23"/>
      <c r="I174" s="23"/>
      <c r="J174" s="23"/>
      <c r="K174" s="23"/>
      <c r="L174" s="24"/>
      <c r="N174" s="15"/>
    </row>
    <row r="175" spans="1:14" x14ac:dyDescent="0.25">
      <c r="A175" s="5" t="s">
        <v>237</v>
      </c>
      <c r="B175" s="5" t="s">
        <v>24</v>
      </c>
      <c r="C175" s="23"/>
      <c r="D175" s="23"/>
      <c r="E175" s="23"/>
      <c r="F175" s="23"/>
      <c r="G175" s="23"/>
      <c r="H175" s="23"/>
      <c r="I175" s="23"/>
      <c r="J175" s="23"/>
      <c r="K175" s="23"/>
      <c r="L175" s="24"/>
      <c r="N175" s="15"/>
    </row>
    <row r="176" spans="1:14" x14ac:dyDescent="0.25">
      <c r="A176" s="5" t="s">
        <v>261</v>
      </c>
      <c r="B176" s="5" t="s">
        <v>24</v>
      </c>
      <c r="C176" s="23"/>
      <c r="D176" s="23">
        <f>'Total and digestible IAA'!AI176/$D$2</f>
        <v>1.6121587901701326</v>
      </c>
      <c r="E176" s="23">
        <f>'Total and digestible IAA'!AJ176/$E$2</f>
        <v>1.4495022054190294</v>
      </c>
      <c r="F176" s="23">
        <f>'Total and digestible IAA'!AK176/$F$2</f>
        <v>1.0042269670581674</v>
      </c>
      <c r="G176" s="23">
        <f>'Total and digestible IAA'!AL176/$G$2</f>
        <v>1.3846644612476371</v>
      </c>
      <c r="H176" s="23">
        <f>'Total and digestible IAA'!AM176/$H$2</f>
        <v>1.4481959398372648</v>
      </c>
      <c r="I176" s="23">
        <f>'Total and digestible IAA'!AN176/$I$2</f>
        <v>2.9554151874221954</v>
      </c>
      <c r="J176" s="23">
        <f>'Total and digestible IAA'!AO176/$J$2</f>
        <v>1.1654536862003781</v>
      </c>
      <c r="K176" s="23">
        <f>'Total and digestible IAA'!AP176/$K$2</f>
        <v>1.7043478260869567</v>
      </c>
      <c r="L176" s="24">
        <f t="shared" si="2"/>
        <v>100.42269670581673</v>
      </c>
      <c r="M176" s="15" t="s">
        <v>526</v>
      </c>
      <c r="N176" s="5" t="s">
        <v>529</v>
      </c>
    </row>
    <row r="177" spans="1:14" x14ac:dyDescent="0.25">
      <c r="A177" s="5" t="s">
        <v>26</v>
      </c>
      <c r="B177" s="5" t="s">
        <v>24</v>
      </c>
      <c r="C177" s="23">
        <f>'Total and digestible IAA'!AH177/$C$2</f>
        <v>2.1708152958152955</v>
      </c>
      <c r="D177" s="23">
        <f>'Total and digestible IAA'!AI177/$D$2</f>
        <v>1.8571428571428572</v>
      </c>
      <c r="E177" s="23">
        <f>'Total and digestible IAA'!AJ177/$E$2</f>
        <v>1.7857142857142856</v>
      </c>
      <c r="F177" s="23">
        <f>'Total and digestible IAA'!AK177/$F$2</f>
        <v>1.6247072599531616</v>
      </c>
      <c r="G177" s="23">
        <f>'Total and digestible IAA'!AL177/$G$2</f>
        <v>1.2053571428571428</v>
      </c>
      <c r="H177" s="23">
        <f>'Total and digestible IAA'!AM177/$H$2</f>
        <v>3.5015527950310563</v>
      </c>
      <c r="I177" s="23">
        <f>'Total and digestible IAA'!AN177/$I$2</f>
        <v>2.3344947735191641</v>
      </c>
      <c r="J177" s="23">
        <f>'Total and digestible IAA'!AO177/$J$2</f>
        <v>1.9732142857142858</v>
      </c>
      <c r="K177" s="23">
        <f>'Total and digestible IAA'!AP177/$K$2</f>
        <v>1.8080357142857142</v>
      </c>
      <c r="L177" s="24">
        <f t="shared" si="2"/>
        <v>120.53571428571428</v>
      </c>
      <c r="M177" s="15" t="s">
        <v>8</v>
      </c>
    </row>
    <row r="178" spans="1:14" x14ac:dyDescent="0.25">
      <c r="A178" s="5" t="s">
        <v>276</v>
      </c>
      <c r="B178" s="5" t="s">
        <v>24</v>
      </c>
      <c r="C178" s="23"/>
      <c r="D178" s="23">
        <f>'Total and digestible IAA'!AI178/$D$2</f>
        <v>1.3644799999999997</v>
      </c>
      <c r="E178" s="23">
        <f>'Total and digestible IAA'!AJ178/$E$2</f>
        <v>0.91274333333333324</v>
      </c>
      <c r="F178" s="23">
        <f>'Total and digestible IAA'!AK178/$F$2</f>
        <v>0.93880327868852465</v>
      </c>
      <c r="G178" s="23">
        <f>'Total and digestible IAA'!AL178/$G$2</f>
        <v>1.0124375000000001</v>
      </c>
      <c r="H178" s="23">
        <f>'Total and digestible IAA'!AM178/$H$2</f>
        <v>1.0593586956521739</v>
      </c>
      <c r="I178" s="23">
        <f>'Total and digestible IAA'!AN178/$I$2</f>
        <v>1.3872073170731709</v>
      </c>
      <c r="J178" s="23">
        <f>'Total and digestible IAA'!AO178/$J$2</f>
        <v>0.96317000000000008</v>
      </c>
      <c r="K178" s="23">
        <f>'Total and digestible IAA'!AP178/$K$2</f>
        <v>0.75245000000000006</v>
      </c>
      <c r="L178" s="24">
        <f t="shared" si="2"/>
        <v>75.245000000000005</v>
      </c>
      <c r="M178" s="15" t="s">
        <v>9</v>
      </c>
      <c r="N178" s="5" t="s">
        <v>529</v>
      </c>
    </row>
    <row r="179" spans="1:14" x14ac:dyDescent="0.25">
      <c r="A179" s="5" t="s">
        <v>277</v>
      </c>
      <c r="B179" s="5" t="s">
        <v>24</v>
      </c>
      <c r="C179" s="23"/>
      <c r="D179" s="23">
        <f>'Total and digestible IAA'!AI179/$D$2</f>
        <v>1.069288</v>
      </c>
      <c r="E179" s="23">
        <f>'Total and digestible IAA'!AJ179/$E$2</f>
        <v>0.49139999999999989</v>
      </c>
      <c r="F179" s="23">
        <f>'Total and digestible IAA'!AK179/$F$2</f>
        <v>0.50740491803278687</v>
      </c>
      <c r="G179" s="23">
        <f>'Total and digestible IAA'!AL179/$G$2</f>
        <v>1.8065249999999999</v>
      </c>
      <c r="H179" s="23">
        <f>'Total and digestible IAA'!AM179/$H$2</f>
        <v>1.3699391304347828</v>
      </c>
      <c r="I179" s="23">
        <f>'Total and digestible IAA'!AN179/$I$2</f>
        <v>0.64254146341463403</v>
      </c>
      <c r="J179" s="23">
        <f>'Total and digestible IAA'!AO179/$J$2</f>
        <v>0.61985500000000004</v>
      </c>
      <c r="K179" s="23">
        <f>'Total and digestible IAA'!AP179/$K$2</f>
        <v>0.47495000000000004</v>
      </c>
      <c r="L179" s="24">
        <f t="shared" si="2"/>
        <v>47.495000000000005</v>
      </c>
      <c r="M179" s="15" t="s">
        <v>9</v>
      </c>
      <c r="N179" s="5" t="s">
        <v>529</v>
      </c>
    </row>
    <row r="180" spans="1:14" x14ac:dyDescent="0.25">
      <c r="A180" s="5" t="s">
        <v>278</v>
      </c>
      <c r="B180" s="5" t="s">
        <v>24</v>
      </c>
      <c r="C180" s="23"/>
      <c r="D180" s="23">
        <f>'Total and digestible IAA'!AI180/$D$2</f>
        <v>1.1591999999999998</v>
      </c>
      <c r="E180" s="23">
        <f>'Total and digestible IAA'!AJ180/$E$2</f>
        <v>0.81695999999999991</v>
      </c>
      <c r="F180" s="23">
        <f>'Total and digestible IAA'!AK180/$F$2</f>
        <v>0.82564426229508192</v>
      </c>
      <c r="G180" s="23">
        <f>'Total and digestible IAA'!AL180/$G$2</f>
        <v>0.53754999999999997</v>
      </c>
      <c r="H180" s="23">
        <f>'Total and digestible IAA'!AM180/$H$2</f>
        <v>0.94809652173913028</v>
      </c>
      <c r="I180" s="23">
        <f>'Total and digestible IAA'!AN180/$I$2</f>
        <v>1.279882926829268</v>
      </c>
      <c r="J180" s="23">
        <f>'Total and digestible IAA'!AO180/$J$2</f>
        <v>0.80425749999999996</v>
      </c>
      <c r="K180" s="23">
        <f>'Total and digestible IAA'!AP180/$K$2</f>
        <v>1.4937687499999999</v>
      </c>
      <c r="L180" s="24">
        <f t="shared" si="2"/>
        <v>53.754999999999995</v>
      </c>
      <c r="M180" s="15" t="s">
        <v>8</v>
      </c>
      <c r="N180" s="5" t="s">
        <v>529</v>
      </c>
    </row>
    <row r="181" spans="1:14" x14ac:dyDescent="0.25">
      <c r="A181" s="5" t="s">
        <v>200</v>
      </c>
      <c r="B181" s="5" t="s">
        <v>24</v>
      </c>
      <c r="C181" s="23">
        <f>'Total and digestible IAA'!AH181/$C$2</f>
        <v>0.76994995325303872</v>
      </c>
      <c r="D181" s="23">
        <f>'Total and digestible IAA'!AI181/$D$2</f>
        <v>1.0953176043557167</v>
      </c>
      <c r="E181" s="23">
        <f>'Total and digestible IAA'!AJ181/$E$2</f>
        <v>0.81814882032667879</v>
      </c>
      <c r="F181" s="23">
        <f>'Total and digestible IAA'!AK181/$F$2</f>
        <v>0.84466394930231159</v>
      </c>
      <c r="G181" s="23">
        <f>'Total and digestible IAA'!AL181/$G$2</f>
        <v>0.88611615245009068</v>
      </c>
      <c r="H181" s="23">
        <f>'Total and digestible IAA'!AM181/$H$2</f>
        <v>0.80430837212972461</v>
      </c>
      <c r="I181" s="23">
        <f>'Total and digestible IAA'!AN181/$I$2</f>
        <v>1.1612146429994243</v>
      </c>
      <c r="J181" s="23">
        <f>'Total and digestible IAA'!AO181/$J$2</f>
        <v>0.92640653357531755</v>
      </c>
      <c r="K181" s="23">
        <f>'Total and digestible IAA'!AP181/$K$2</f>
        <v>0.98570780399274061</v>
      </c>
      <c r="L181" s="24">
        <f t="shared" si="2"/>
        <v>76.994995325303876</v>
      </c>
      <c r="M181" s="15" t="s">
        <v>6</v>
      </c>
    </row>
    <row r="182" spans="1:14" x14ac:dyDescent="0.25">
      <c r="A182" s="5" t="s">
        <v>202</v>
      </c>
      <c r="B182" s="5" t="s">
        <v>24</v>
      </c>
      <c r="C182" s="23">
        <f>'Total and digestible IAA'!AH182/$C$2</f>
        <v>0.97496706192358384</v>
      </c>
      <c r="D182" s="23">
        <f>'Total and digestible IAA'!AI182/$D$2</f>
        <v>1.232</v>
      </c>
      <c r="E182" s="23">
        <f>'Total and digestible IAA'!AJ182/$E$2</f>
        <v>1.0846956521739131</v>
      </c>
      <c r="F182" s="23">
        <f>'Total and digestible IAA'!AK182/$F$2</f>
        <v>0.91461154668567368</v>
      </c>
      <c r="G182" s="23">
        <f>'Total and digestible IAA'!AL182/$G$2</f>
        <v>0.7556521739130434</v>
      </c>
      <c r="H182" s="23">
        <f>'Total and digestible IAA'!AM182/$H$2</f>
        <v>1.2839319470699431</v>
      </c>
      <c r="I182" s="23">
        <f>'Total and digestible IAA'!AN182/$I$2</f>
        <v>1.2504772004241782</v>
      </c>
      <c r="J182" s="23">
        <f>'Total and digestible IAA'!AO182/$J$2</f>
        <v>1.0304347826086957</v>
      </c>
      <c r="K182" s="23">
        <f>'Total and digestible IAA'!AP182/$K$2</f>
        <v>0.83967391304347838</v>
      </c>
      <c r="L182" s="24">
        <f t="shared" si="2"/>
        <v>75.565217391304344</v>
      </c>
      <c r="M182" s="15" t="s">
        <v>8</v>
      </c>
    </row>
    <row r="183" spans="1:14" x14ac:dyDescent="0.25">
      <c r="A183" s="5" t="s">
        <v>204</v>
      </c>
      <c r="B183" s="5" t="s">
        <v>24</v>
      </c>
      <c r="C183" s="23">
        <f>'Total and digestible IAA'!AH183/$C$2</f>
        <v>0.75420875420875422</v>
      </c>
      <c r="D183" s="23">
        <f>'Total and digestible IAA'!AI183/$D$2</f>
        <v>1.2365629629629631</v>
      </c>
      <c r="E183" s="23">
        <f>'Total and digestible IAA'!AJ183/$E$2</f>
        <v>1.1025679012345679</v>
      </c>
      <c r="F183" s="23">
        <f>'Total and digestible IAA'!AK183/$F$2</f>
        <v>0.95193685488767454</v>
      </c>
      <c r="G183" s="23">
        <f>'Total and digestible IAA'!AL183/$G$2</f>
        <v>0.80740740740740768</v>
      </c>
      <c r="H183" s="23">
        <f>'Total and digestible IAA'!AM183/$H$2</f>
        <v>1.0106924315619967</v>
      </c>
      <c r="I183" s="23">
        <f>'Total and digestible IAA'!AN183/$I$2</f>
        <v>1.3549051490514905</v>
      </c>
      <c r="J183" s="23">
        <f>'Total and digestible IAA'!AO183/$J$2</f>
        <v>1.0340740740740739</v>
      </c>
      <c r="K183" s="23">
        <f>'Total and digestible IAA'!AP183/$K$2</f>
        <v>0.79333333333333333</v>
      </c>
      <c r="L183" s="24">
        <f t="shared" si="2"/>
        <v>75.420875420875419</v>
      </c>
      <c r="M183" s="15" t="s">
        <v>6</v>
      </c>
    </row>
    <row r="184" spans="1:14" x14ac:dyDescent="0.25">
      <c r="A184" s="5" t="s">
        <v>206</v>
      </c>
      <c r="B184" s="5" t="s">
        <v>24</v>
      </c>
      <c r="C184" s="23">
        <f>'Total and digestible IAA'!AH184/$C$2</f>
        <v>0.76126225761262267</v>
      </c>
      <c r="D184" s="23">
        <f>'Total and digestible IAA'!AI184/$D$2</f>
        <v>1.247737226277372</v>
      </c>
      <c r="E184" s="23">
        <f>'Total and digestible IAA'!AJ184/$E$2</f>
        <v>1.0938767234387672</v>
      </c>
      <c r="F184" s="23">
        <f>'Total and digestible IAA'!AK184/$F$2</f>
        <v>0.96649515376331208</v>
      </c>
      <c r="G184" s="23">
        <f>'Total and digestible IAA'!AL184/$G$2</f>
        <v>0.85360908353609066</v>
      </c>
      <c r="H184" s="23">
        <f>'Total and digestible IAA'!AM184/$H$2</f>
        <v>1.3267745689199195</v>
      </c>
      <c r="I184" s="23">
        <f>'Total and digestible IAA'!AN184/$I$2</f>
        <v>1.3943089430894309</v>
      </c>
      <c r="J184" s="23">
        <f>'Total and digestible IAA'!AO184/$J$2</f>
        <v>0.97080291970802934</v>
      </c>
      <c r="K184" s="23">
        <f>'Total and digestible IAA'!AP184/$K$2</f>
        <v>0.83242092457420946</v>
      </c>
      <c r="L184" s="24">
        <f t="shared" si="2"/>
        <v>76.126225761262262</v>
      </c>
      <c r="M184" s="15" t="s">
        <v>6</v>
      </c>
    </row>
    <row r="185" spans="1:14" x14ac:dyDescent="0.25">
      <c r="A185" s="5" t="s">
        <v>213</v>
      </c>
      <c r="B185" s="5" t="s">
        <v>24</v>
      </c>
      <c r="C185" s="23">
        <f>'Total and digestible IAA'!AH185/$C$2</f>
        <v>2.1912304866850323</v>
      </c>
      <c r="D185" s="23">
        <f>'Total and digestible IAA'!AI185/$D$2</f>
        <v>1.3527272727272728</v>
      </c>
      <c r="E185" s="23">
        <f>'Total and digestible IAA'!AJ185/$E$2</f>
        <v>1.1030303030303028</v>
      </c>
      <c r="F185" s="23">
        <f>'Total and digestible IAA'!AK185/$F$2</f>
        <v>1.2456532538499752</v>
      </c>
      <c r="G185" s="23">
        <f>'Total and digestible IAA'!AL185/$G$2</f>
        <v>1.636679292929293</v>
      </c>
      <c r="H185" s="23">
        <f>'Total and digestible IAA'!AM185/$H$2</f>
        <v>1.0171277997364954</v>
      </c>
      <c r="I185" s="23">
        <f>'Total and digestible IAA'!AN185/$I$2</f>
        <v>1.2357723577235771</v>
      </c>
      <c r="J185" s="23">
        <f>'Total and digestible IAA'!AO185/$J$2</f>
        <v>1.4776515151515153</v>
      </c>
      <c r="K185" s="23">
        <f>'Total and digestible IAA'!AP185/$K$2</f>
        <v>1.7083333333333333</v>
      </c>
      <c r="L185" s="24">
        <f t="shared" si="2"/>
        <v>101.71277997364953</v>
      </c>
      <c r="M185" s="15" t="s">
        <v>355</v>
      </c>
    </row>
    <row r="186" spans="1:14" x14ac:dyDescent="0.25">
      <c r="A186" s="5" t="s">
        <v>216</v>
      </c>
      <c r="B186" s="5" t="s">
        <v>24</v>
      </c>
      <c r="C186" s="23">
        <f>'Total and digestible IAA'!AH186/$C$2</f>
        <v>0.97902097902097907</v>
      </c>
      <c r="D186" s="23">
        <f>'Total and digestible IAA'!AI186/$D$2</f>
        <v>1.0641025641025641</v>
      </c>
      <c r="E186" s="23">
        <f>'Total and digestible IAA'!AJ186/$E$2</f>
        <v>0.87478632478632479</v>
      </c>
      <c r="F186" s="23">
        <f>'Total and digestible IAA'!AK186/$F$2</f>
        <v>1.0054644808743169</v>
      </c>
      <c r="G186" s="23">
        <f>'Total and digestible IAA'!AL186/$G$2</f>
        <v>1.378739316239316</v>
      </c>
      <c r="H186" s="23">
        <f>'Total and digestible IAA'!AM186/$H$2</f>
        <v>0.95206243032329996</v>
      </c>
      <c r="I186" s="23">
        <f>'Total and digestible IAA'!AN186/$I$2</f>
        <v>0.65447154471544722</v>
      </c>
      <c r="J186" s="23">
        <f>'Total and digestible IAA'!AO186/$J$2</f>
        <v>0.98717948717948723</v>
      </c>
      <c r="K186" s="23">
        <f>'Total and digestible IAA'!AP186/$K$2</f>
        <v>0.96474358974358965</v>
      </c>
      <c r="L186" s="24">
        <f t="shared" si="2"/>
        <v>65.447154471544721</v>
      </c>
      <c r="M186" s="15" t="s">
        <v>356</v>
      </c>
    </row>
    <row r="187" spans="1:14" x14ac:dyDescent="0.25">
      <c r="A187" s="5" t="s">
        <v>217</v>
      </c>
      <c r="B187" s="5" t="s">
        <v>24</v>
      </c>
      <c r="C187" s="23">
        <f>'Total and digestible IAA'!AH187/$C$2</f>
        <v>0.5421245421245422</v>
      </c>
      <c r="D187" s="23">
        <f>'Total and digestible IAA'!AI187/$D$2</f>
        <v>1</v>
      </c>
      <c r="E187" s="23">
        <f>'Total and digestible IAA'!AJ187/$E$2</f>
        <v>0.79120879120879128</v>
      </c>
      <c r="F187" s="23">
        <f>'Total and digestible IAA'!AK187/$F$2</f>
        <v>0.80417942713024682</v>
      </c>
      <c r="G187" s="23">
        <f>'Total and digestible IAA'!AL187/$G$2</f>
        <v>1.2987637362637365</v>
      </c>
      <c r="H187" s="23">
        <f>'Total and digestible IAA'!AM187/$H$2</f>
        <v>0.84806497849976115</v>
      </c>
      <c r="I187" s="23">
        <f>'Total and digestible IAA'!AN187/$I$2</f>
        <v>0.54248190833556686</v>
      </c>
      <c r="J187" s="23">
        <f>'Total and digestible IAA'!AO187/$J$2</f>
        <v>0.79120879120879128</v>
      </c>
      <c r="K187" s="23">
        <f>'Total and digestible IAA'!AP187/$K$2</f>
        <v>1.4656593406593406</v>
      </c>
      <c r="L187" s="24">
        <f t="shared" si="2"/>
        <v>54.212454212454219</v>
      </c>
      <c r="M187" s="15" t="s">
        <v>356</v>
      </c>
    </row>
    <row r="188" spans="1:14" s="6" customFormat="1" x14ac:dyDescent="0.25">
      <c r="C188" s="36"/>
      <c r="D188" s="36"/>
      <c r="E188" s="36"/>
      <c r="F188" s="36"/>
      <c r="G188" s="36"/>
      <c r="H188" s="36"/>
      <c r="I188" s="36"/>
      <c r="J188" s="36"/>
      <c r="K188" s="36"/>
      <c r="L188" s="37"/>
      <c r="M188" s="16"/>
    </row>
    <row r="189" spans="1:14" s="4" customFormat="1" x14ac:dyDescent="0.25">
      <c r="A189" s="4" t="s">
        <v>281</v>
      </c>
      <c r="B189" s="5" t="s">
        <v>28</v>
      </c>
      <c r="C189" s="23">
        <f>'Total and digestible IAA'!AH189/$C$2</f>
        <v>1.9045385043091465</v>
      </c>
      <c r="D189" s="23">
        <f>'Total and digestible IAA'!AI189/$D$2</f>
        <v>1.5825688073394495</v>
      </c>
      <c r="E189" s="23">
        <f>'Total and digestible IAA'!AJ189/$E$2</f>
        <v>1.6623853211009172</v>
      </c>
      <c r="F189" s="23">
        <f>'Total and digestible IAA'!AK189/$F$2</f>
        <v>1.54275078959242</v>
      </c>
      <c r="G189" s="23">
        <f>'Total and digestible IAA'!AL189/$G$2</f>
        <v>1.6175936544342508</v>
      </c>
      <c r="H189" s="23">
        <f>'Total and digestible IAA'!AM189/$H$2</f>
        <v>1.4242122058236932</v>
      </c>
      <c r="I189" s="23">
        <f>'Total and digestible IAA'!AN189/$I$2</f>
        <v>2.5793801745356899</v>
      </c>
      <c r="J189" s="23">
        <f>'Total and digestible IAA'!AO189/$J$2</f>
        <v>1.5905963302752295</v>
      </c>
      <c r="K189" s="23">
        <f>'Total and digestible IAA'!AP189/$K$2</f>
        <v>1.877150229357798</v>
      </c>
      <c r="L189" s="24">
        <f t="shared" si="2"/>
        <v>142.42122058236933</v>
      </c>
      <c r="M189" s="14" t="s">
        <v>355</v>
      </c>
    </row>
    <row r="190" spans="1:14" x14ac:dyDescent="0.25">
      <c r="A190" s="5" t="s">
        <v>30</v>
      </c>
      <c r="B190" s="5" t="s">
        <v>28</v>
      </c>
      <c r="C190" s="23"/>
      <c r="D190" s="23"/>
      <c r="E190" s="23"/>
      <c r="F190" s="23"/>
      <c r="G190" s="23"/>
      <c r="H190" s="23"/>
      <c r="I190" s="23"/>
      <c r="J190" s="23"/>
      <c r="K190" s="23"/>
      <c r="L190" s="24"/>
      <c r="M190" s="15"/>
    </row>
    <row r="191" spans="1:14" x14ac:dyDescent="0.25">
      <c r="A191" s="5" t="s">
        <v>282</v>
      </c>
      <c r="B191" s="5" t="s">
        <v>28</v>
      </c>
      <c r="C191" s="23">
        <f>'Total and digestible IAA'!AH191/$C$2</f>
        <v>1.781818181818182</v>
      </c>
      <c r="D191" s="23">
        <f>'Total and digestible IAA'!AI191/$D$2</f>
        <v>1.9712000000000001</v>
      </c>
      <c r="E191" s="23">
        <f>'Total and digestible IAA'!AJ191/$E$2</f>
        <v>1.5660000000000001</v>
      </c>
      <c r="F191" s="23">
        <f>'Total and digestible IAA'!AK191/$F$2</f>
        <v>1.2695081967213115</v>
      </c>
      <c r="G191" s="23">
        <f>'Total and digestible IAA'!AL191/$G$2</f>
        <v>1.2000000000000002</v>
      </c>
      <c r="H191" s="23">
        <f>'Total and digestible IAA'!AM191/$H$2</f>
        <v>1.3672463768115946</v>
      </c>
      <c r="I191" s="23">
        <f>'Total and digestible IAA'!AN191/$I$2</f>
        <v>1.1346341463414635</v>
      </c>
      <c r="J191" s="23">
        <f>'Total and digestible IAA'!AO191/$J$2</f>
        <v>1.1293333333333333</v>
      </c>
      <c r="K191" s="23">
        <f>'Total and digestible IAA'!AP191/$K$2</f>
        <v>0.90000000000000013</v>
      </c>
      <c r="L191" s="24">
        <f t="shared" si="2"/>
        <v>90.000000000000014</v>
      </c>
      <c r="M191" s="15" t="s">
        <v>9</v>
      </c>
    </row>
    <row r="192" spans="1:14" x14ac:dyDescent="0.25">
      <c r="A192" s="5" t="s">
        <v>29</v>
      </c>
      <c r="B192" s="5" t="s">
        <v>28</v>
      </c>
      <c r="C192" s="23">
        <f>'Total and digestible IAA'!AH192/$C$2</f>
        <v>1.7870088444251124</v>
      </c>
      <c r="D192" s="23">
        <f>'Total and digestible IAA'!AI192/$D$2</f>
        <v>1.9705263157894737</v>
      </c>
      <c r="E192" s="23">
        <f>'Total and digestible IAA'!AJ192/$E$2</f>
        <v>1.5859649122807018</v>
      </c>
      <c r="F192" s="23">
        <f>'Total and digestible IAA'!AK192/$F$2</f>
        <v>1.270060396893874</v>
      </c>
      <c r="G192" s="23">
        <f>'Total and digestible IAA'!AL192/$G$2</f>
        <v>1.2021531100478469</v>
      </c>
      <c r="H192" s="23">
        <f>'Total and digestible IAA'!AM192/$H$2</f>
        <v>1.3696692323694613</v>
      </c>
      <c r="I192" s="23">
        <f>'Total and digestible IAA'!AN192/$I$2</f>
        <v>1.1183335278328859</v>
      </c>
      <c r="J192" s="23">
        <f>'Total and digestible IAA'!AO192/$J$2</f>
        <v>1.1263157894736842</v>
      </c>
      <c r="K192" s="23">
        <f>'Total and digestible IAA'!AP192/$K$2</f>
        <v>0.8782894736842104</v>
      </c>
      <c r="L192" s="24">
        <f t="shared" si="2"/>
        <v>87.828947368421041</v>
      </c>
      <c r="M192" s="15" t="s">
        <v>9</v>
      </c>
    </row>
    <row r="193" spans="1:13" x14ac:dyDescent="0.25">
      <c r="A193" s="5" t="s">
        <v>284</v>
      </c>
      <c r="B193" s="5" t="s">
        <v>28</v>
      </c>
      <c r="C193" s="23">
        <f>'Total and digestible IAA'!AH193/$C$2</f>
        <v>1.8068747173224786</v>
      </c>
      <c r="D193" s="23">
        <f>'Total and digestible IAA'!AI193/$D$2</f>
        <v>1.9754029850746269</v>
      </c>
      <c r="E193" s="23">
        <f>'Total and digestible IAA'!AJ193/$E$2</f>
        <v>1.5848756218905473</v>
      </c>
      <c r="F193" s="23">
        <f>'Total and digestible IAA'!AK193/$F$2</f>
        <v>1.2703694641546366</v>
      </c>
      <c r="G193" s="23">
        <f>'Total and digestible IAA'!AL193/$G$2</f>
        <v>1.2110696517412936</v>
      </c>
      <c r="H193" s="23">
        <f>'Total and digestible IAA'!AM193/$H$2</f>
        <v>1.3696301103179755</v>
      </c>
      <c r="I193" s="23">
        <f>'Total and digestible IAA'!AN193/$I$2</f>
        <v>1.1148161630870042</v>
      </c>
      <c r="J193" s="23">
        <f>'Total and digestible IAA'!AO193/$J$2</f>
        <v>1.1357462686567164</v>
      </c>
      <c r="K193" s="23">
        <f>'Total and digestible IAA'!AP193/$K$2</f>
        <v>0.87649253731343291</v>
      </c>
      <c r="L193" s="24">
        <f t="shared" si="2"/>
        <v>87.649253731343293</v>
      </c>
      <c r="M193" s="15" t="s">
        <v>9</v>
      </c>
    </row>
    <row r="194" spans="1:13" s="4" customFormat="1" x14ac:dyDescent="0.25">
      <c r="A194" s="4" t="s">
        <v>116</v>
      </c>
      <c r="B194" s="5" t="s">
        <v>28</v>
      </c>
      <c r="C194" s="23">
        <f>'Total and digestible IAA'!AH194/$C$2</f>
        <v>1.9187710437710439</v>
      </c>
      <c r="D194" s="23">
        <f>'Total and digestible IAA'!AI194/$D$2</f>
        <v>1.5874444444444444</v>
      </c>
      <c r="E194" s="23">
        <f>'Total and digestible IAA'!AJ194/$E$2</f>
        <v>1.597037037037037</v>
      </c>
      <c r="F194" s="23">
        <f>'Total and digestible IAA'!AK194/$F$2</f>
        <v>1.473224043715847</v>
      </c>
      <c r="G194" s="23">
        <f>'Total and digestible IAA'!AL194/$G$2</f>
        <v>1.5885995370370372</v>
      </c>
      <c r="H194" s="23">
        <f>'Total and digestible IAA'!AM194/$H$2</f>
        <v>1.4789855072463765</v>
      </c>
      <c r="I194" s="23">
        <f>'Total and digestible IAA'!AN194/$I$2</f>
        <v>2.1541327913279136</v>
      </c>
      <c r="J194" s="23">
        <f>'Total and digestible IAA'!AO194/$J$2</f>
        <v>1.3720833333333333</v>
      </c>
      <c r="K194" s="23">
        <f>'Total and digestible IAA'!AP194/$K$2</f>
        <v>1.6328125</v>
      </c>
      <c r="L194" s="24">
        <f t="shared" si="2"/>
        <v>137.20833333333334</v>
      </c>
      <c r="M194" s="14" t="s">
        <v>535</v>
      </c>
    </row>
    <row r="195" spans="1:13" x14ac:dyDescent="0.25">
      <c r="A195" s="5" t="s">
        <v>27</v>
      </c>
      <c r="B195" s="5" t="s">
        <v>28</v>
      </c>
      <c r="C195" s="23">
        <f>'Total and digestible IAA'!AH195/$C$2</f>
        <v>1.7424242424242422</v>
      </c>
      <c r="D195" s="23">
        <f>'Total and digestible IAA'!AI195/$D$2</f>
        <v>1.5876404494382022</v>
      </c>
      <c r="E195" s="23">
        <f>'Total and digestible IAA'!AJ195/$E$2</f>
        <v>1.5070224719101124</v>
      </c>
      <c r="F195" s="23">
        <f>'Total and digestible IAA'!AK195/$F$2</f>
        <v>1.5092558482225087</v>
      </c>
      <c r="G195" s="23">
        <f>'Total and digestible IAA'!AL195/$G$2</f>
        <v>1.5617977528089886</v>
      </c>
      <c r="H195" s="23">
        <f>'Total and digestible IAA'!AM195/$H$2</f>
        <v>1.4162188568637031</v>
      </c>
      <c r="I195" s="23">
        <f>'Total and digestible IAA'!AN195/$I$2</f>
        <v>2.1777884351877228</v>
      </c>
      <c r="J195" s="23">
        <f>'Total and digestible IAA'!AO195/$J$2</f>
        <v>1.3842696629213482</v>
      </c>
      <c r="K195" s="23">
        <f>'Total and digestible IAA'!AP195/$K$2</f>
        <v>1.6502808988764042</v>
      </c>
      <c r="L195" s="24">
        <f t="shared" si="2"/>
        <v>138.42696629213484</v>
      </c>
      <c r="M195" s="14" t="s">
        <v>535</v>
      </c>
    </row>
    <row r="196" spans="1:13" x14ac:dyDescent="0.25">
      <c r="A196" s="5" t="s">
        <v>287</v>
      </c>
      <c r="B196" s="5" t="s">
        <v>28</v>
      </c>
      <c r="C196" s="23"/>
      <c r="D196" s="23"/>
      <c r="E196" s="23"/>
      <c r="F196" s="23"/>
      <c r="G196" s="23"/>
      <c r="H196" s="23"/>
      <c r="I196" s="23"/>
      <c r="J196" s="23"/>
      <c r="K196" s="23"/>
      <c r="L196" s="24"/>
      <c r="M196" s="15"/>
    </row>
    <row r="197" spans="1:13" s="4" customFormat="1" x14ac:dyDescent="0.25">
      <c r="A197" s="4" t="s">
        <v>117</v>
      </c>
      <c r="B197" s="5" t="s">
        <v>28</v>
      </c>
      <c r="C197" s="23">
        <f>'Total and digestible IAA'!AH197/$C$2</f>
        <v>1.9673109043187784</v>
      </c>
      <c r="D197" s="23">
        <f>'Total and digestible IAA'!AI197/$D$2</f>
        <v>1.6875590551181103</v>
      </c>
      <c r="E197" s="23">
        <f>'Total and digestible IAA'!AJ197/$E$2</f>
        <v>1.6118110236220471</v>
      </c>
      <c r="F197" s="23">
        <f>'Total and digestible IAA'!AK197/$F$2</f>
        <v>1.4524331999483671</v>
      </c>
      <c r="G197" s="23">
        <f>'Total and digestible IAA'!AL197/$G$2</f>
        <v>1.4380741469816274</v>
      </c>
      <c r="H197" s="23">
        <f>'Total and digestible IAA'!AM197/$H$2</f>
        <v>1.2781581650119822</v>
      </c>
      <c r="I197" s="23">
        <f>'Total and digestible IAA'!AN197/$I$2</f>
        <v>1.9855963126560401</v>
      </c>
      <c r="J197" s="23">
        <f>'Total and digestible IAA'!AO197/$J$2</f>
        <v>1.3492125984251968</v>
      </c>
      <c r="K197" s="23">
        <f>'Total and digestible IAA'!AP197/$K$2</f>
        <v>1.6707677165354331</v>
      </c>
      <c r="L197" s="24">
        <f t="shared" ref="L197:L214" si="3">MIN(C197:K197)*100</f>
        <v>127.81581650119821</v>
      </c>
      <c r="M197" s="14" t="s">
        <v>355</v>
      </c>
    </row>
    <row r="198" spans="1:13" s="4" customFormat="1" x14ac:dyDescent="0.25">
      <c r="A198" s="4" t="s">
        <v>111</v>
      </c>
      <c r="B198" s="5" t="s">
        <v>28</v>
      </c>
      <c r="C198" s="23">
        <f>'Total and digestible IAA'!AH198/$C$2</f>
        <v>1.8181818181818183</v>
      </c>
      <c r="D198" s="23">
        <f>'Total and digestible IAA'!AI198/$D$2</f>
        <v>1.6999999999999997</v>
      </c>
      <c r="E198" s="23">
        <f>'Total and digestible IAA'!AJ198/$E$2</f>
        <v>1.3655172413793106</v>
      </c>
      <c r="F198" s="23">
        <f>'Total and digestible IAA'!AK198/$F$2</f>
        <v>1.0031091011871114</v>
      </c>
      <c r="G198" s="23">
        <f>'Total and digestible IAA'!AL198/$G$2</f>
        <v>1.374640804597701</v>
      </c>
      <c r="H198" s="23">
        <f>'Total and digestible IAA'!AM198/$H$2</f>
        <v>1.1424287856071964</v>
      </c>
      <c r="I198" s="23">
        <f>'Total and digestible IAA'!AN198/$I$2</f>
        <v>0.64339781328847778</v>
      </c>
      <c r="J198" s="23">
        <f>'Total and digestible IAA'!AO198/$J$2</f>
        <v>0.9375</v>
      </c>
      <c r="K198" s="23">
        <f>'Total and digestible IAA'!AP198/$K$2</f>
        <v>1.0786637931034484</v>
      </c>
      <c r="L198" s="24">
        <f t="shared" si="3"/>
        <v>64.339781328847778</v>
      </c>
      <c r="M198" s="14" t="s">
        <v>356</v>
      </c>
    </row>
    <row r="199" spans="1:13" s="4" customFormat="1" x14ac:dyDescent="0.25">
      <c r="A199" s="4" t="s">
        <v>112</v>
      </c>
      <c r="B199" s="5" t="s">
        <v>28</v>
      </c>
      <c r="C199" s="23">
        <f>'Total and digestible IAA'!AH199/$C$2</f>
        <v>1.8426197458455522</v>
      </c>
      <c r="D199" s="23">
        <f>'Total and digestible IAA'!AI199/$D$2</f>
        <v>1.827956989247312</v>
      </c>
      <c r="E199" s="23">
        <f>'Total and digestible IAA'!AJ199/$E$2</f>
        <v>1.5139784946236561</v>
      </c>
      <c r="F199" s="23">
        <f>'Total and digestible IAA'!AK199/$F$2</f>
        <v>1.1709853692931429</v>
      </c>
      <c r="G199" s="23">
        <f>'Total and digestible IAA'!AL199/$G$2</f>
        <v>1.3756720430107527</v>
      </c>
      <c r="H199" s="23">
        <f>'Total and digestible IAA'!AM199/$H$2</f>
        <v>1.2585320243104257</v>
      </c>
      <c r="I199" s="23">
        <f>'Total and digestible IAA'!AN199/$I$2</f>
        <v>0.87332808811959084</v>
      </c>
      <c r="J199" s="23">
        <f>'Total and digestible IAA'!AO199/$J$2</f>
        <v>1.0524193548387097</v>
      </c>
      <c r="K199" s="23">
        <f>'Total and digestible IAA'!AP199/$K$2</f>
        <v>1.1008064516129032</v>
      </c>
      <c r="L199" s="24">
        <f t="shared" si="3"/>
        <v>87.332808811959083</v>
      </c>
      <c r="M199" s="14" t="s">
        <v>356</v>
      </c>
    </row>
    <row r="200" spans="1:13" s="4" customFormat="1" x14ac:dyDescent="0.25">
      <c r="A200" s="4" t="s">
        <v>113</v>
      </c>
      <c r="B200" s="5" t="s">
        <v>28</v>
      </c>
      <c r="C200" s="23">
        <f>'Total and digestible IAA'!AH200/$C$2</f>
        <v>1.8664521319388578</v>
      </c>
      <c r="D200" s="23">
        <f>'Total and digestible IAA'!AI200/$D$2</f>
        <v>1.8654867256637166</v>
      </c>
      <c r="E200" s="23">
        <f>'Total and digestible IAA'!AJ200/$E$2</f>
        <v>1.5315634218289087</v>
      </c>
      <c r="F200" s="23">
        <f>'Total and digestible IAA'!AK200/$F$2</f>
        <v>1.2145655012331349</v>
      </c>
      <c r="G200" s="23">
        <f>'Total and digestible IAA'!AL200/$G$2</f>
        <v>1.3783185840707965</v>
      </c>
      <c r="H200" s="23">
        <f>'Total and digestible IAA'!AM200/$H$2</f>
        <v>1.2789534436321661</v>
      </c>
      <c r="I200" s="23">
        <f>'Total and digestible IAA'!AN200/$I$2</f>
        <v>0.93244118281890787</v>
      </c>
      <c r="J200" s="23">
        <f>'Total and digestible IAA'!AO200/$J$2</f>
        <v>1.0778761061946902</v>
      </c>
      <c r="K200" s="23">
        <f>'Total and digestible IAA'!AP200/$K$2</f>
        <v>1.1073008849557524</v>
      </c>
      <c r="L200" s="24">
        <f t="shared" si="3"/>
        <v>93.244118281890792</v>
      </c>
      <c r="M200" s="14" t="s">
        <v>356</v>
      </c>
    </row>
    <row r="201" spans="1:13" s="4" customFormat="1" x14ac:dyDescent="0.25">
      <c r="A201" s="4" t="s">
        <v>114</v>
      </c>
      <c r="B201" s="5" t="s">
        <v>28</v>
      </c>
      <c r="C201" s="23">
        <f>'Total and digestible IAA'!AH201/$C$2</f>
        <v>1.8454545454545455</v>
      </c>
      <c r="D201" s="23">
        <f>'Total and digestible IAA'!AI201/$D$2</f>
        <v>1.9493333333333331</v>
      </c>
      <c r="E201" s="23">
        <f>'Total and digestible IAA'!AJ201/$E$2</f>
        <v>1.5840000000000001</v>
      </c>
      <c r="F201" s="23">
        <f>'Total and digestible IAA'!AK201/$F$2</f>
        <v>1.2730054644808744</v>
      </c>
      <c r="G201" s="23">
        <f>'Total and digestible IAA'!AL201/$G$2</f>
        <v>1.3844444444444444</v>
      </c>
      <c r="H201" s="23">
        <f>'Total and digestible IAA'!AM201/$H$2</f>
        <v>1.3020289855072467</v>
      </c>
      <c r="I201" s="23">
        <f>'Total and digestible IAA'!AN201/$I$2</f>
        <v>1.024390243902439</v>
      </c>
      <c r="J201" s="23">
        <f>'Total and digestible IAA'!AO201/$J$2</f>
        <v>1.1164999999999998</v>
      </c>
      <c r="K201" s="23">
        <f>'Total and digestible IAA'!AP201/$K$2</f>
        <v>1.0995833333333334</v>
      </c>
      <c r="L201" s="24">
        <f t="shared" si="3"/>
        <v>102.4390243902439</v>
      </c>
      <c r="M201" s="14" t="s">
        <v>356</v>
      </c>
    </row>
    <row r="202" spans="1:13" s="4" customFormat="1" x14ac:dyDescent="0.25">
      <c r="A202" s="4" t="s">
        <v>115</v>
      </c>
      <c r="B202" s="5" t="s">
        <v>28</v>
      </c>
      <c r="C202" s="23">
        <f>'Total and digestible IAA'!AH202/$C$2</f>
        <v>1.8148880105401846</v>
      </c>
      <c r="D202" s="23">
        <f>'Total and digestible IAA'!AI202/$D$2</f>
        <v>1.9217391304347826</v>
      </c>
      <c r="E202" s="23">
        <f>'Total and digestible IAA'!AJ202/$E$2</f>
        <v>1.5729468599033818</v>
      </c>
      <c r="F202" s="23">
        <f>'Total and digestible IAA'!AK202/$F$2</f>
        <v>1.2539795675932526</v>
      </c>
      <c r="G202" s="23">
        <f>'Total and digestible IAA'!AL202/$G$2</f>
        <v>1.3839070048309179</v>
      </c>
      <c r="H202" s="23">
        <f>'Total and digestible IAA'!AM202/$H$2</f>
        <v>1.3018273471959674</v>
      </c>
      <c r="I202" s="23">
        <f>'Total and digestible IAA'!AN202/$I$2</f>
        <v>1.0021208907741253</v>
      </c>
      <c r="J202" s="23">
        <f>'Total and digestible IAA'!AO202/$J$2</f>
        <v>1.1032608695652173</v>
      </c>
      <c r="K202" s="23">
        <f>'Total and digestible IAA'!AP202/$K$2</f>
        <v>1.1127717391304348</v>
      </c>
      <c r="L202" s="24">
        <f t="shared" si="3"/>
        <v>100.21208907741253</v>
      </c>
      <c r="M202" s="14" t="s">
        <v>356</v>
      </c>
    </row>
    <row r="203" spans="1:13" s="4" customFormat="1" x14ac:dyDescent="0.25">
      <c r="A203" s="4" t="s">
        <v>258</v>
      </c>
      <c r="B203" s="5" t="s">
        <v>28</v>
      </c>
      <c r="C203" s="23">
        <f>'Total and digestible IAA'!AH203/$C$2</f>
        <v>1.9549090909090909</v>
      </c>
      <c r="D203" s="23">
        <f>'Total and digestible IAA'!AI203/$D$2</f>
        <v>2.8702159999999997</v>
      </c>
      <c r="E203" s="23">
        <f>'Total and digestible IAA'!AJ203/$E$2</f>
        <v>2.6307400000000003</v>
      </c>
      <c r="F203" s="23">
        <f>'Total and digestible IAA'!AK203/$F$2</f>
        <v>1.818665573770492</v>
      </c>
      <c r="G203" s="23">
        <f>'Total and digestible IAA'!AL203/$G$2</f>
        <v>2.0327999999999999</v>
      </c>
      <c r="H203" s="23">
        <f>'Total and digestible IAA'!AM203/$H$2</f>
        <v>2.0797434782608692</v>
      </c>
      <c r="I203" s="23">
        <f>'Total and digestible IAA'!AN203/$I$2</f>
        <v>1.4151439024390244</v>
      </c>
      <c r="J203" s="23">
        <f>'Total and digestible IAA'!AO203/$J$2</f>
        <v>1.5655625000000002</v>
      </c>
      <c r="K203" s="23">
        <f>'Total and digestible IAA'!AP203/$K$2</f>
        <v>1.0325937500000002</v>
      </c>
      <c r="L203" s="24">
        <f t="shared" si="3"/>
        <v>103.25937500000002</v>
      </c>
      <c r="M203" s="14" t="s">
        <v>9</v>
      </c>
    </row>
    <row r="204" spans="1:13" s="6" customFormat="1" x14ac:dyDescent="0.25">
      <c r="C204" s="36"/>
      <c r="D204" s="36"/>
      <c r="E204" s="36"/>
      <c r="F204" s="36"/>
      <c r="G204" s="36"/>
      <c r="H204" s="36"/>
      <c r="I204" s="36"/>
      <c r="J204" s="36"/>
      <c r="K204" s="36"/>
      <c r="L204" s="37"/>
      <c r="M204" s="16"/>
    </row>
    <row r="205" spans="1:13" x14ac:dyDescent="0.25">
      <c r="A205" s="5" t="s">
        <v>159</v>
      </c>
      <c r="B205" s="5" t="s">
        <v>297</v>
      </c>
      <c r="C205" s="23">
        <f>'Total and digestible IAA'!AH205/$C$2</f>
        <v>0.93939393939393945</v>
      </c>
      <c r="D205" s="23">
        <f>'Total and digestible IAA'!AI205/$D$2</f>
        <v>0.78</v>
      </c>
      <c r="E205" s="23">
        <f>'Total and digestible IAA'!AJ205/$E$2</f>
        <v>0.87499999999999989</v>
      </c>
      <c r="F205" s="23">
        <f>'Total and digestible IAA'!AK205/$F$2</f>
        <v>0.71290983606557368</v>
      </c>
      <c r="G205" s="23">
        <f>'Total and digestible IAA'!AL205/$G$2</f>
        <v>0.51354166666666667</v>
      </c>
      <c r="H205" s="23">
        <f>'Total and digestible IAA'!AM205/$H$2</f>
        <v>0.72173913043478266</v>
      </c>
      <c r="I205" s="23">
        <f>'Total and digestible IAA'!AN205/$I$2</f>
        <v>1.1249999999999998</v>
      </c>
      <c r="J205" s="23">
        <f>'Total and digestible IAA'!AO205/$J$2</f>
        <v>0.68062499999999992</v>
      </c>
      <c r="K205" s="23">
        <f>'Total and digestible IAA'!AP205/$K$2</f>
        <v>0.97031250000000002</v>
      </c>
      <c r="L205" s="24">
        <f t="shared" si="3"/>
        <v>51.354166666666664</v>
      </c>
      <c r="M205" s="15" t="s">
        <v>8</v>
      </c>
    </row>
    <row r="206" spans="1:13" x14ac:dyDescent="0.25">
      <c r="A206" s="5" t="s">
        <v>161</v>
      </c>
      <c r="B206" s="5" t="s">
        <v>297</v>
      </c>
      <c r="C206" s="23">
        <f>'Total and digestible IAA'!AH206/$C$2</f>
        <v>1.353965183752418</v>
      </c>
      <c r="D206" s="23">
        <f>'Total and digestible IAA'!AI206/$D$2</f>
        <v>0.84765957446808504</v>
      </c>
      <c r="E206" s="23">
        <f>'Total and digestible IAA'!AJ206/$E$2</f>
        <v>0.48226950354609932</v>
      </c>
      <c r="F206" s="23">
        <f>'Total and digestible IAA'!AK206/$F$2</f>
        <v>0.66759679107080583</v>
      </c>
      <c r="G206" s="23">
        <f>'Total and digestible IAA'!AL206/$G$2</f>
        <v>0.64051418439716301</v>
      </c>
      <c r="H206" s="23">
        <f>'Total and digestible IAA'!AM206/$H$2</f>
        <v>0.47456059204440332</v>
      </c>
      <c r="I206" s="23">
        <f>'Total and digestible IAA'!AN206/$I$2</f>
        <v>0.68240788790866624</v>
      </c>
      <c r="J206" s="23">
        <f>'Total and digestible IAA'!AO206/$J$2</f>
        <v>0.58776595744680848</v>
      </c>
      <c r="K206" s="23">
        <f>'Total and digestible IAA'!AP206/$K$2</f>
        <v>3.5864361702127661</v>
      </c>
      <c r="L206" s="24">
        <f t="shared" si="3"/>
        <v>47.456059204440329</v>
      </c>
      <c r="M206" s="15" t="s">
        <v>355</v>
      </c>
    </row>
    <row r="207" spans="1:13" x14ac:dyDescent="0.25">
      <c r="A207" s="5" t="s">
        <v>163</v>
      </c>
      <c r="B207" s="5" t="s">
        <v>297</v>
      </c>
      <c r="C207" s="23">
        <f>'Total and digestible IAA'!AH207/$C$2</f>
        <v>1.0129870129870129</v>
      </c>
      <c r="D207" s="23">
        <f>'Total and digestible IAA'!AI207/$D$2</f>
        <v>0.96800000000000008</v>
      </c>
      <c r="E207" s="23">
        <f>'Total and digestible IAA'!AJ207/$E$2</f>
        <v>0.88714285714285712</v>
      </c>
      <c r="F207" s="23">
        <f>'Total and digestible IAA'!AK207/$F$2</f>
        <v>0.73864168618266979</v>
      </c>
      <c r="G207" s="23">
        <f>'Total and digestible IAA'!AL207/$G$2</f>
        <v>0.55714285714285705</v>
      </c>
      <c r="H207" s="23">
        <f>'Total and digestible IAA'!AM207/$H$2</f>
        <v>0.74782608695652175</v>
      </c>
      <c r="I207" s="23">
        <f>'Total and digestible IAA'!AN207/$I$2</f>
        <v>1.3979094076655052</v>
      </c>
      <c r="J207" s="23">
        <f>'Total and digestible IAA'!AO207/$J$2</f>
        <v>0.8571428571428571</v>
      </c>
      <c r="K207" s="23">
        <f>'Total and digestible IAA'!AP207/$K$2</f>
        <v>1.0249999999999999</v>
      </c>
      <c r="L207" s="24">
        <f t="shared" si="3"/>
        <v>55.714285714285708</v>
      </c>
      <c r="M207" s="15" t="s">
        <v>8</v>
      </c>
    </row>
    <row r="208" spans="1:13" x14ac:dyDescent="0.25">
      <c r="A208" s="5" t="s">
        <v>165</v>
      </c>
      <c r="B208" s="5" t="s">
        <v>297</v>
      </c>
      <c r="C208" s="23">
        <f>'Total and digestible IAA'!AH208/$C$2</f>
        <v>1.088154269972452</v>
      </c>
      <c r="D208" s="23">
        <f>'Total and digestible IAA'!AI208/$D$2</f>
        <v>1.1345454545454547</v>
      </c>
      <c r="E208" s="23">
        <f>'Total and digestible IAA'!AJ208/$E$2</f>
        <v>0.99393939393939401</v>
      </c>
      <c r="F208" s="23">
        <f>'Total and digestible IAA'!AK208/$F$2</f>
        <v>0.75111773472429211</v>
      </c>
      <c r="G208" s="23">
        <f>'Total and digestible IAA'!AL208/$G$2</f>
        <v>0.59848484848484862</v>
      </c>
      <c r="H208" s="23">
        <f>'Total and digestible IAA'!AM208/$H$2</f>
        <v>0.64031620553359692</v>
      </c>
      <c r="I208" s="23">
        <f>'Total and digestible IAA'!AN208/$I$2</f>
        <v>1.4944567627494456</v>
      </c>
      <c r="J208" s="23">
        <f>'Total and digestible IAA'!AO208/$J$2</f>
        <v>0.92045454545454553</v>
      </c>
      <c r="K208" s="23">
        <f>'Total and digestible IAA'!AP208/$K$2</f>
        <v>0.94318181818181823</v>
      </c>
      <c r="L208" s="24">
        <f t="shared" si="3"/>
        <v>59.848484848484858</v>
      </c>
      <c r="M208" s="15" t="s">
        <v>8</v>
      </c>
    </row>
    <row r="209" spans="1:14" x14ac:dyDescent="0.25">
      <c r="A209" s="5" t="s">
        <v>167</v>
      </c>
      <c r="B209" s="5" t="s">
        <v>297</v>
      </c>
      <c r="C209" s="23">
        <f>'Total and digestible IAA'!AH209/$C$2</f>
        <v>0.85450089126559736</v>
      </c>
      <c r="D209" s="23">
        <f>'Total and digestible IAA'!AI209/$D$2</f>
        <v>0.78794117647058826</v>
      </c>
      <c r="E209" s="23">
        <f>'Total and digestible IAA'!AJ209/$E$2</f>
        <v>0.81666666666666665</v>
      </c>
      <c r="F209" s="23">
        <f>'Total and digestible IAA'!AK209/$F$2</f>
        <v>0.74023625843780128</v>
      </c>
      <c r="G209" s="23">
        <f>'Total and digestible IAA'!AL209/$G$2</f>
        <v>0.45496323529411775</v>
      </c>
      <c r="H209" s="23">
        <f>'Total and digestible IAA'!AM209/$H$2</f>
        <v>0.58312020460358061</v>
      </c>
      <c r="I209" s="23">
        <f>'Total and digestible IAA'!AN209/$I$2</f>
        <v>0.93543758967001411</v>
      </c>
      <c r="J209" s="23">
        <f>'Total and digestible IAA'!AO209/$J$2</f>
        <v>0.61176470588235299</v>
      </c>
      <c r="K209" s="23">
        <f>'Total and digestible IAA'!AP209/$K$2</f>
        <v>0.84926470588235281</v>
      </c>
      <c r="L209" s="24">
        <f t="shared" si="3"/>
        <v>45.496323529411775</v>
      </c>
      <c r="M209" s="15" t="s">
        <v>8</v>
      </c>
    </row>
    <row r="210" spans="1:14" x14ac:dyDescent="0.25">
      <c r="A210" s="5" t="s">
        <v>169</v>
      </c>
      <c r="B210" s="5" t="s">
        <v>297</v>
      </c>
      <c r="C210" s="23">
        <f>'Total and digestible IAA'!AH210/$C$2</f>
        <v>0.92605156037991865</v>
      </c>
      <c r="D210" s="23">
        <f>'Total and digestible IAA'!AI210/$D$2</f>
        <v>0.86985074626865677</v>
      </c>
      <c r="E210" s="23">
        <f>'Total and digestible IAA'!AJ210/$E$2</f>
        <v>0.88308457711442778</v>
      </c>
      <c r="F210" s="23">
        <f>'Total and digestible IAA'!AK210/$F$2</f>
        <v>0.77697577685343766</v>
      </c>
      <c r="G210" s="23">
        <f>'Total and digestible IAA'!AL210/$G$2</f>
        <v>0.49440298507462682</v>
      </c>
      <c r="H210" s="23">
        <f>'Total and digestible IAA'!AM210/$H$2</f>
        <v>0.63659961064243997</v>
      </c>
      <c r="I210" s="23">
        <f>'Total and digestible IAA'!AN210/$I$2</f>
        <v>0.98179832544594103</v>
      </c>
      <c r="J210" s="23">
        <f>'Total and digestible IAA'!AO210/$J$2</f>
        <v>0.65970149253731347</v>
      </c>
      <c r="K210" s="23">
        <f>'Total and digestible IAA'!AP210/$K$2</f>
        <v>0.88152985074626866</v>
      </c>
      <c r="L210" s="24">
        <f t="shared" si="3"/>
        <v>49.440298507462686</v>
      </c>
      <c r="M210" s="15" t="s">
        <v>8</v>
      </c>
    </row>
    <row r="211" spans="1:14" x14ac:dyDescent="0.25">
      <c r="A211" s="5" t="s">
        <v>171</v>
      </c>
      <c r="B211" s="5" t="s">
        <v>297</v>
      </c>
      <c r="C211" s="23">
        <f>'Total and digestible IAA'!AH211/$C$2</f>
        <v>0.81818181818181823</v>
      </c>
      <c r="D211" s="23">
        <f>'Total and digestible IAA'!AI211/$D$2</f>
        <v>0.74199999999999999</v>
      </c>
      <c r="E211" s="23">
        <f>'Total and digestible IAA'!AJ211/$E$2</f>
        <v>0.78000000000000014</v>
      </c>
      <c r="F211" s="23">
        <f>'Total and digestible IAA'!AK211/$F$2</f>
        <v>0.70327868852459019</v>
      </c>
      <c r="G211" s="23">
        <f>'Total and digestible IAA'!AL211/$G$2</f>
        <v>0.39812500000000006</v>
      </c>
      <c r="H211" s="23">
        <f>'Total and digestible IAA'!AM211/$H$2</f>
        <v>0.56956521739130439</v>
      </c>
      <c r="I211" s="23">
        <f>'Total and digestible IAA'!AN211/$I$2</f>
        <v>0.89756097560975601</v>
      </c>
      <c r="J211" s="23">
        <f>'Total and digestible IAA'!AO211/$J$2</f>
        <v>0.56999999999999995</v>
      </c>
      <c r="K211" s="23">
        <f>'Total and digestible IAA'!AP211/$K$2</f>
        <v>0.77500000000000002</v>
      </c>
      <c r="L211" s="24">
        <f t="shared" si="3"/>
        <v>39.812500000000007</v>
      </c>
      <c r="M211" s="15" t="s">
        <v>8</v>
      </c>
    </row>
    <row r="212" spans="1:14" x14ac:dyDescent="0.25">
      <c r="A212" s="5" t="s">
        <v>173</v>
      </c>
      <c r="B212" s="5" t="s">
        <v>297</v>
      </c>
      <c r="C212" s="23">
        <f>'Total and digestible IAA'!AH212/$C$2</f>
        <v>0.9467849223946786</v>
      </c>
      <c r="D212" s="23">
        <f>'Total and digestible IAA'!AI212/$D$2</f>
        <v>0.80780487804878032</v>
      </c>
      <c r="E212" s="23">
        <f>'Total and digestible IAA'!AJ212/$E$2</f>
        <v>0.8878048780487805</v>
      </c>
      <c r="F212" s="23">
        <f>'Total and digestible IAA'!AK212/$F$2</f>
        <v>0.75513794482207108</v>
      </c>
      <c r="G212" s="23">
        <f>'Total and digestible IAA'!AL212/$G$2</f>
        <v>0.61890243902439024</v>
      </c>
      <c r="H212" s="23">
        <f>'Total and digestible IAA'!AM212/$H$2</f>
        <v>1.0129374337221633</v>
      </c>
      <c r="I212" s="23">
        <f>'Total and digestible IAA'!AN212/$I$2</f>
        <v>1.8396192742415229</v>
      </c>
      <c r="J212" s="23">
        <f>'Total and digestible IAA'!AO212/$J$2</f>
        <v>0.70024390243902446</v>
      </c>
      <c r="K212" s="23">
        <f>'Total and digestible IAA'!AP212/$K$2</f>
        <v>1.2439024390243902</v>
      </c>
      <c r="L212" s="24">
        <f t="shared" si="3"/>
        <v>61.890243902439025</v>
      </c>
      <c r="M212" s="15" t="s">
        <v>8</v>
      </c>
    </row>
    <row r="213" spans="1:14" s="6" customFormat="1" x14ac:dyDescent="0.25">
      <c r="C213" s="36"/>
      <c r="D213" s="36"/>
      <c r="E213" s="36"/>
      <c r="F213" s="36"/>
      <c r="G213" s="36"/>
      <c r="H213" s="36"/>
      <c r="I213" s="36"/>
      <c r="J213" s="36"/>
      <c r="K213" s="36"/>
      <c r="L213" s="37"/>
      <c r="M213" s="16"/>
    </row>
    <row r="214" spans="1:14" x14ac:dyDescent="0.25">
      <c r="A214" s="5" t="s">
        <v>32</v>
      </c>
      <c r="B214" s="5" t="s">
        <v>33</v>
      </c>
      <c r="C214" s="23">
        <f>'Total and digestible IAA'!AH214/$C$2</f>
        <v>1.4164756811815638</v>
      </c>
      <c r="D214" s="23">
        <f>'Total and digestible IAA'!AI214/$D$2</f>
        <v>1.4368067226890755</v>
      </c>
      <c r="E214" s="23">
        <f>'Total and digestible IAA'!AJ214/$E$2</f>
        <v>1.2</v>
      </c>
      <c r="F214" s="23">
        <f>'Total and digestible IAA'!AK214/$F$2</f>
        <v>0.82845433255269318</v>
      </c>
      <c r="G214" s="23">
        <f>'Total and digestible IAA'!AL214/$G$2</f>
        <v>1.1207983193277311</v>
      </c>
      <c r="H214" s="23">
        <f>'Total and digestible IAA'!AM214/$H$2</f>
        <v>0.72086225794665681</v>
      </c>
      <c r="I214" s="23">
        <f>'Total and digestible IAA'!AN214/$I$2</f>
        <v>1.3062615290018447</v>
      </c>
      <c r="J214" s="23">
        <f>'Total and digestible IAA'!AO214/$J$2</f>
        <v>1.0044642857142858</v>
      </c>
      <c r="K214" s="23">
        <f>'Total and digestible IAA'!AP214/$K$2</f>
        <v>1.1029411764705883</v>
      </c>
      <c r="L214" s="24">
        <f t="shared" si="3"/>
        <v>72.08622579466568</v>
      </c>
      <c r="M214" s="15" t="s">
        <v>355</v>
      </c>
    </row>
    <row r="215" spans="1:14" x14ac:dyDescent="0.25">
      <c r="A215" s="5" t="s">
        <v>188</v>
      </c>
      <c r="B215" s="5" t="s">
        <v>33</v>
      </c>
      <c r="C215" s="23">
        <f>'Total and digestible IAA'!AH215/$C$2</f>
        <v>1.1904761904761907</v>
      </c>
      <c r="D215" s="23">
        <f>'Total and digestible IAA'!AI215/$D$2</f>
        <v>1.0127472527472527</v>
      </c>
      <c r="E215" s="23">
        <f>'Total and digestible IAA'!AJ215/$E$2</f>
        <v>0.77802197802197803</v>
      </c>
      <c r="F215" s="23">
        <f>'Total and digestible IAA'!AK215/$F$2</f>
        <v>0.62655377409475776</v>
      </c>
      <c r="G215" s="23">
        <f>'Total and digestible IAA'!AL215/$G$2</f>
        <v>0.61298076923076927</v>
      </c>
      <c r="H215" s="23">
        <f>'Total and digestible IAA'!AM215/$H$2</f>
        <v>0.89823220258002867</v>
      </c>
      <c r="I215" s="23">
        <f>'Total and digestible IAA'!AN215/$I$2</f>
        <v>1.0599035111230231</v>
      </c>
      <c r="J215" s="23">
        <f>'Total and digestible IAA'!AO215/$J$2</f>
        <v>0.74038461538461531</v>
      </c>
      <c r="K215" s="23">
        <f>'Total and digestible IAA'!AP215/$K$2</f>
        <v>0.93956043956043944</v>
      </c>
      <c r="L215" s="24">
        <f t="shared" ref="L215:L228" si="4">MIN(C215:K215)*100</f>
        <v>61.298076923076927</v>
      </c>
      <c r="M215" s="15" t="s">
        <v>8</v>
      </c>
    </row>
    <row r="216" spans="1:14" x14ac:dyDescent="0.25">
      <c r="A216" s="5" t="str">
        <f>'IAA digestibility'!A216</f>
        <v>Single cell protein (from Corynebacterium)</v>
      </c>
      <c r="B216" s="5" t="str">
        <f>'IAA digestibility'!B216</f>
        <v>Others</v>
      </c>
      <c r="C216" s="23">
        <f>'Total and digestible IAA'!AH216/$C$2</f>
        <v>3.2416790859413815</v>
      </c>
      <c r="D216" s="23">
        <f>'Total and digestible IAA'!AI216/$D$2</f>
        <v>1.7746032786885246</v>
      </c>
      <c r="E216" s="23">
        <f>'Total and digestible IAA'!AJ216/$E$2</f>
        <v>1.3802513661202187</v>
      </c>
      <c r="F216" s="23">
        <f>'Total and digestible IAA'!AK216/$F$2</f>
        <v>1.0657887664606289</v>
      </c>
      <c r="G216" s="23">
        <f>'Total and digestible IAA'!AL216/$G$2</f>
        <v>0.71734972677595632</v>
      </c>
      <c r="H216" s="23">
        <f>'Total and digestible IAA'!AM216/$H$2</f>
        <v>1.6307769066286526</v>
      </c>
      <c r="I216" s="23">
        <f>'Total and digestible IAA'!AN216/$I$2</f>
        <v>1.3533426629348262</v>
      </c>
      <c r="J216" s="23">
        <f>'Total and digestible IAA'!AO216/$J$2</f>
        <v>1.3857786885245902</v>
      </c>
      <c r="K216" s="23">
        <f>'Total and digestible IAA'!AP216/$K$2</f>
        <v>0.73780737704918031</v>
      </c>
      <c r="L216" s="24">
        <f t="shared" si="4"/>
        <v>71.734972677595636</v>
      </c>
      <c r="M216" s="15" t="s">
        <v>8</v>
      </c>
    </row>
    <row r="217" spans="1:14" x14ac:dyDescent="0.25">
      <c r="A217" s="5" t="str">
        <f>'IAA digestibility'!A217</f>
        <v xml:space="preserve">Soy bean meal </v>
      </c>
      <c r="B217" s="5" t="str">
        <f>'IAA digestibility'!B217</f>
        <v>Legumes &amp; oilseeds</v>
      </c>
      <c r="C217" s="23">
        <f>'Total and digestible IAA'!AH217/$C$2</f>
        <v>2.1039152587825156</v>
      </c>
      <c r="D217" s="23">
        <f>'Total and digestible IAA'!AI217/$D$2</f>
        <v>1.2760353982300885</v>
      </c>
      <c r="E217" s="23">
        <f>'Total and digestible IAA'!AJ217/$E$2</f>
        <v>1.2471681415929201</v>
      </c>
      <c r="F217" s="23">
        <f>'Total and digestible IAA'!AK217/$F$2</f>
        <v>1.1161105469316699</v>
      </c>
      <c r="G217" s="23">
        <f>'Total and digestible IAA'!AL217/$G$2</f>
        <v>1.2006130162241888</v>
      </c>
      <c r="H217" s="23">
        <f>'Total and digestible IAA'!AM217/$H$2</f>
        <v>0.99957676029242026</v>
      </c>
      <c r="I217" s="23">
        <f>'Total and digestible IAA'!AN217/$I$2</f>
        <v>1.7488938053097347</v>
      </c>
      <c r="J217" s="23">
        <f>'Total and digestible IAA'!AO217/$J$2</f>
        <v>0.96859513274336284</v>
      </c>
      <c r="K217" s="23">
        <f>'Total and digestible IAA'!AP217/$K$2</f>
        <v>1.2768390486725663</v>
      </c>
      <c r="L217" s="24">
        <f t="shared" si="4"/>
        <v>96.85951327433628</v>
      </c>
      <c r="M217" s="5" t="s">
        <v>535</v>
      </c>
    </row>
    <row r="218" spans="1:14" x14ac:dyDescent="0.25">
      <c r="A218" s="5" t="str">
        <f>'IAA digestibility'!A218</f>
        <v xml:space="preserve">Soybean meal (conventionally processed) </v>
      </c>
      <c r="B218" s="5" t="str">
        <f>'IAA digestibility'!B218</f>
        <v>Legumes &amp; oilseeds</v>
      </c>
      <c r="C218" s="23">
        <f>'Total and digestible IAA'!AH218/$C$2</f>
        <v>1.790778782768665</v>
      </c>
      <c r="D218" s="23">
        <f>'Total and digestible IAA'!AI218/$D$2</f>
        <v>1.3204047217537942</v>
      </c>
      <c r="E218" s="23">
        <f>'Total and digestible IAA'!AJ218/$E$2</f>
        <v>1.3395868465430021</v>
      </c>
      <c r="F218" s="23">
        <f>'Total and digestible IAA'!AK218/$F$2</f>
        <v>1.1312304757692204</v>
      </c>
      <c r="G218" s="23">
        <f>'Total and digestible IAA'!AL218/$G$2</f>
        <v>1.1931738336143902</v>
      </c>
      <c r="H218" s="23">
        <f>'Total and digestible IAA'!AM218/$H$2</f>
        <v>1.0511217831219297</v>
      </c>
      <c r="I218" s="23"/>
      <c r="J218" s="23">
        <f>'Total and digestible IAA'!AO218/$J$2</f>
        <v>1.0310392074198989</v>
      </c>
      <c r="K218" s="23">
        <f>'Total and digestible IAA'!AP218/$K$2</f>
        <v>1.4860876897133222</v>
      </c>
      <c r="L218" s="24">
        <f t="shared" si="4"/>
        <v>103.10392074198988</v>
      </c>
      <c r="M218" s="5" t="s">
        <v>535</v>
      </c>
      <c r="N218" s="5" t="s">
        <v>539</v>
      </c>
    </row>
    <row r="219" spans="1:14" x14ac:dyDescent="0.25">
      <c r="A219" s="5" t="str">
        <f>'IAA digestibility'!A219</f>
        <v>Soybean meal (autoclaved, 110oC, 15 min)</v>
      </c>
      <c r="B219" s="5" t="str">
        <f>'IAA digestibility'!B219</f>
        <v>Legumes &amp; oilseeds</v>
      </c>
      <c r="C219" s="23">
        <f>'Total and digestible IAA'!AH219/$C$2</f>
        <v>1.8191995521970334</v>
      </c>
      <c r="D219" s="23">
        <f>'Total and digestible IAA'!AI219/$D$2</f>
        <v>1.3450881612090684</v>
      </c>
      <c r="E219" s="23">
        <f>'Total and digestible IAA'!AJ219/$E$2</f>
        <v>1.3534844668345929</v>
      </c>
      <c r="F219" s="23">
        <f>'Total and digestible IAA'!AK219/$F$2</f>
        <v>1.1552834785481274</v>
      </c>
      <c r="G219" s="23">
        <f>'Total and digestible IAA'!AL219/$G$2</f>
        <v>1.1879897844948222</v>
      </c>
      <c r="H219" s="23">
        <f>'Total and digestible IAA'!AM219/$H$2</f>
        <v>1.0374913299017998</v>
      </c>
      <c r="I219" s="23"/>
      <c r="J219" s="23">
        <f>'Total and digestible IAA'!AO219/$J$2</f>
        <v>1.0458123425692694</v>
      </c>
      <c r="K219" s="23">
        <f>'Total and digestible IAA'!AP219/$K$2</f>
        <v>1.488507556675063</v>
      </c>
      <c r="L219" s="24">
        <f t="shared" si="4"/>
        <v>103.74913299017999</v>
      </c>
      <c r="M219" s="5" t="s">
        <v>355</v>
      </c>
      <c r="N219" s="5" t="s">
        <v>539</v>
      </c>
    </row>
    <row r="220" spans="1:14" x14ac:dyDescent="0.25">
      <c r="A220" s="5" t="str">
        <f>'IAA digestibility'!A220</f>
        <v>Soybean meal (autoclaved, 110oC, 30 min)</v>
      </c>
      <c r="B220" s="5" t="str">
        <f>'IAA digestibility'!B220</f>
        <v>Legumes &amp; oilseeds</v>
      </c>
      <c r="C220" s="23">
        <f>'Total and digestible IAA'!AH220/$C$2</f>
        <v>1.8189397097275384</v>
      </c>
      <c r="D220" s="23">
        <f>'Total and digestible IAA'!AI220/$D$2</f>
        <v>1.335556481867445</v>
      </c>
      <c r="E220" s="23">
        <f>'Total and digestible IAA'!AJ220/$E$2</f>
        <v>1.3374322634431013</v>
      </c>
      <c r="F220" s="23">
        <f>'Total and digestible IAA'!AK220/$F$2</f>
        <v>1.1439192559741422</v>
      </c>
      <c r="G220" s="23">
        <f>'Total and digestible IAA'!AL220/$G$2</f>
        <v>1.1508701542309296</v>
      </c>
      <c r="H220" s="23">
        <f>'Total and digestible IAA'!AM220/$H$2</f>
        <v>1.0206245355854795</v>
      </c>
      <c r="I220" s="23"/>
      <c r="J220" s="23">
        <f>'Total and digestible IAA'!AO220/$J$2</f>
        <v>1.0336598582742809</v>
      </c>
      <c r="K220" s="23">
        <f>'Total and digestible IAA'!AP220/$K$2</f>
        <v>1.4816069195498123</v>
      </c>
      <c r="L220" s="24">
        <f t="shared" si="4"/>
        <v>102.06245355854794</v>
      </c>
      <c r="M220" s="5" t="s">
        <v>355</v>
      </c>
      <c r="N220" s="5" t="s">
        <v>539</v>
      </c>
    </row>
    <row r="221" spans="1:14" x14ac:dyDescent="0.25">
      <c r="A221" s="5" t="str">
        <f>'IAA digestibility'!A221</f>
        <v>Soybean meal (autoclaved, 150oC, 3 min)</v>
      </c>
      <c r="B221" s="5" t="str">
        <f>'IAA digestibility'!B221</f>
        <v>Legumes &amp; oilseeds</v>
      </c>
      <c r="C221" s="23">
        <f>'Total and digestible IAA'!AH221/$C$2</f>
        <v>1.7037135631571942</v>
      </c>
      <c r="D221" s="23">
        <f>'Total and digestible IAA'!AI221/$D$2</f>
        <v>1.2291152478560969</v>
      </c>
      <c r="E221" s="23">
        <f>'Total and digestible IAA'!AJ221/$E$2</f>
        <v>1.2798577703409328</v>
      </c>
      <c r="F221" s="23">
        <f>'Total and digestible IAA'!AK221/$F$2</f>
        <v>1.0739230766593173</v>
      </c>
      <c r="G221" s="23">
        <f>'Total and digestible IAA'!AL221/$G$2</f>
        <v>0.95168374816983892</v>
      </c>
      <c r="H221" s="23">
        <f>'Total and digestible IAA'!AM221/$H$2</f>
        <v>0.8386457262897522</v>
      </c>
      <c r="I221" s="23"/>
      <c r="J221" s="23">
        <f>'Total and digestible IAA'!AO221/$J$2</f>
        <v>0.96893955239489638</v>
      </c>
      <c r="K221" s="23">
        <f>'Total and digestible IAA'!AP221/$K$2</f>
        <v>1.3420309558669734</v>
      </c>
      <c r="L221" s="24">
        <f t="shared" si="4"/>
        <v>83.864572628975225</v>
      </c>
      <c r="M221" s="5" t="s">
        <v>355</v>
      </c>
      <c r="N221" s="5" t="s">
        <v>539</v>
      </c>
    </row>
    <row r="222" spans="1:14" x14ac:dyDescent="0.25">
      <c r="A222" s="5" t="str">
        <f>'IAA digestibility'!A222</f>
        <v>Soybean meal (autoclaved, 150oC, 6 min)</v>
      </c>
      <c r="B222" s="5" t="str">
        <f>'IAA digestibility'!B222</f>
        <v>Legumes &amp; oilseeds</v>
      </c>
      <c r="C222" s="23">
        <f>'Total and digestible IAA'!AH222/$C$2</f>
        <v>1.6431969856627391</v>
      </c>
      <c r="D222" s="23">
        <f>'Total and digestible IAA'!AI222/$D$2</f>
        <v>1.2442571127502635</v>
      </c>
      <c r="E222" s="23">
        <f>'Total and digestible IAA'!AJ222/$E$2</f>
        <v>1.2956796628029503</v>
      </c>
      <c r="F222" s="23">
        <f>'Total and digestible IAA'!AK222/$F$2</f>
        <v>1.0945084558378968</v>
      </c>
      <c r="G222" s="23">
        <f>'Total and digestible IAA'!AL222/$G$2</f>
        <v>0.85708640674394099</v>
      </c>
      <c r="H222" s="23">
        <f>'Total and digestible IAA'!AM222/$H$2</f>
        <v>0.77885188069821776</v>
      </c>
      <c r="I222" s="23"/>
      <c r="J222" s="23">
        <f>'Total and digestible IAA'!AO222/$J$2</f>
        <v>0.98524762908324548</v>
      </c>
      <c r="K222" s="23">
        <f>'Total and digestible IAA'!AP222/$K$2</f>
        <v>1.415964172813488</v>
      </c>
      <c r="L222" s="24">
        <f t="shared" si="4"/>
        <v>77.88518806982178</v>
      </c>
      <c r="M222" s="5" t="s">
        <v>355</v>
      </c>
      <c r="N222" s="5" t="s">
        <v>539</v>
      </c>
    </row>
    <row r="223" spans="1:14" x14ac:dyDescent="0.25">
      <c r="A223" s="5" t="str">
        <f>'IAA digestibility'!A223</f>
        <v>Soybean meal (autoclaved, 150oC, 9 min)</v>
      </c>
      <c r="B223" s="5" t="str">
        <f>'IAA digestibility'!B223</f>
        <v>Legumes &amp; oilseeds</v>
      </c>
      <c r="C223" s="23">
        <f>'Total and digestible IAA'!AH223/$C$2</f>
        <v>1.6623431121962382</v>
      </c>
      <c r="D223" s="23">
        <f>'Total and digestible IAA'!AI223/$D$2</f>
        <v>1.2817456986991187</v>
      </c>
      <c r="E223" s="23">
        <f>'Total and digestible IAA'!AJ223/$E$2</f>
        <v>1.2992026856903065</v>
      </c>
      <c r="F223" s="23">
        <f>'Total and digestible IAA'!AK223/$F$2</f>
        <v>1.1048203463054558</v>
      </c>
      <c r="G223" s="23">
        <f>'Total and digestible IAA'!AL223/$G$2</f>
        <v>0.79381731710728765</v>
      </c>
      <c r="H223" s="23">
        <f>'Total and digestible IAA'!AM223/$H$2</f>
        <v>0.76036782280282433</v>
      </c>
      <c r="I223" s="23"/>
      <c r="J223" s="23">
        <f>'Total and digestible IAA'!AO223/$J$2</f>
        <v>0.99695761644985303</v>
      </c>
      <c r="K223" s="23">
        <f>'Total and digestible IAA'!AP223/$K$2</f>
        <v>1.432280738564834</v>
      </c>
      <c r="L223" s="24">
        <f t="shared" si="4"/>
        <v>76.036782280282438</v>
      </c>
      <c r="M223" s="5" t="s">
        <v>355</v>
      </c>
      <c r="N223" s="5" t="s">
        <v>539</v>
      </c>
    </row>
    <row r="224" spans="1:14" x14ac:dyDescent="0.25">
      <c r="A224" s="5" t="str">
        <f>'IAA digestibility'!A224</f>
        <v>Soybean meal (autoclaved, 150oC, 12 min)</v>
      </c>
      <c r="B224" s="5" t="str">
        <f>'IAA digestibility'!B224</f>
        <v>Legumes &amp; oilseeds</v>
      </c>
      <c r="C224" s="23">
        <f>'Total and digestible IAA'!AH224/$C$2</f>
        <v>1.6276130286825474</v>
      </c>
      <c r="D224" s="23">
        <f>'Total and digestible IAA'!AI224/$D$2</f>
        <v>1.2682780748663103</v>
      </c>
      <c r="E224" s="23">
        <f>'Total and digestible IAA'!AJ224/$E$2</f>
        <v>1.2969696969696969</v>
      </c>
      <c r="F224" s="23">
        <f>'Total and digestible IAA'!AK224/$F$2</f>
        <v>1.1135267818006487</v>
      </c>
      <c r="G224" s="23">
        <f>'Total and digestible IAA'!AL224/$G$2</f>
        <v>0.73832442067736181</v>
      </c>
      <c r="H224" s="23">
        <f>'Total and digestible IAA'!AM224/$H$2</f>
        <v>0.73610788188793286</v>
      </c>
      <c r="I224" s="23"/>
      <c r="J224" s="23">
        <f>'Total and digestible IAA'!AO224/$J$2</f>
        <v>0.99272727272727279</v>
      </c>
      <c r="K224" s="23">
        <f>'Total and digestible IAA'!AP224/$K$2</f>
        <v>1.4545454545454546</v>
      </c>
      <c r="L224" s="24">
        <f t="shared" si="4"/>
        <v>73.610788188793279</v>
      </c>
      <c r="M224" s="5" t="s">
        <v>355</v>
      </c>
      <c r="N224" s="5" t="s">
        <v>539</v>
      </c>
    </row>
    <row r="225" spans="1:14" x14ac:dyDescent="0.25">
      <c r="A225" s="5" t="str">
        <f>'IAA digestibility'!A225</f>
        <v>Soybean meal (autoclaved, 150oC, 15 min)</v>
      </c>
      <c r="B225" s="5" t="str">
        <f>'IAA digestibility'!B225</f>
        <v>Legumes &amp; oilseeds</v>
      </c>
      <c r="C225" s="23">
        <f>'Total and digestible IAA'!AH225/$C$2</f>
        <v>1.6064713874932854</v>
      </c>
      <c r="D225" s="23">
        <f>'Total and digestible IAA'!AI225/$D$2</f>
        <v>1.2518039624608968</v>
      </c>
      <c r="E225" s="23">
        <f>'Total and digestible IAA'!AJ225/$E$2</f>
        <v>1.291345151199166</v>
      </c>
      <c r="F225" s="23">
        <f>'Total and digestible IAA'!AK225/$F$2</f>
        <v>1.1041556265919077</v>
      </c>
      <c r="G225" s="23">
        <f>'Total and digestible IAA'!AL225/$G$2</f>
        <v>0.65497914494264864</v>
      </c>
      <c r="H225" s="23">
        <f>'Total and digestible IAA'!AM225/$H$2</f>
        <v>0.69039307249399295</v>
      </c>
      <c r="I225" s="23"/>
      <c r="J225" s="23">
        <f>'Total and digestible IAA'!AO225/$J$2</f>
        <v>0.9927007299270072</v>
      </c>
      <c r="K225" s="23">
        <f>'Total and digestible IAA'!AP225/$K$2</f>
        <v>1.4181438998957248</v>
      </c>
      <c r="L225" s="24">
        <f t="shared" si="4"/>
        <v>65.497914494264862</v>
      </c>
      <c r="M225" s="5" t="s">
        <v>8</v>
      </c>
      <c r="N225" s="5" t="s">
        <v>539</v>
      </c>
    </row>
    <row r="226" spans="1:14" x14ac:dyDescent="0.25">
      <c r="A226" s="5" t="str">
        <f>'IAA digestibility'!A226</f>
        <v>Soybean meal (autoclaved, 150oC, 18 min)</v>
      </c>
      <c r="B226" s="5" t="str">
        <f>'IAA digestibility'!B226</f>
        <v>Legumes &amp; oilseeds</v>
      </c>
      <c r="C226" s="23">
        <f>'Total and digestible IAA'!AH226/$C$2</f>
        <v>1.4783271015094863</v>
      </c>
      <c r="D226" s="23">
        <f>'Total and digestible IAA'!AI226/$D$2</f>
        <v>1.1154964686331532</v>
      </c>
      <c r="E226" s="23">
        <f>'Total and digestible IAA'!AJ226/$E$2</f>
        <v>1.1706134884365047</v>
      </c>
      <c r="F226" s="23">
        <f>'Total and digestible IAA'!AK226/$F$2</f>
        <v>1.0108495031567764</v>
      </c>
      <c r="G226" s="23">
        <f>'Total and digestible IAA'!AL226/$G$2</f>
        <v>0.52074678022434573</v>
      </c>
      <c r="H226" s="23">
        <f>'Total and digestible IAA'!AM226/$H$2</f>
        <v>0.57784360831632386</v>
      </c>
      <c r="I226" s="23"/>
      <c r="J226" s="23">
        <f>'Total and digestible IAA'!AO226/$J$2</f>
        <v>0.9025758205234734</v>
      </c>
      <c r="K226" s="23">
        <f>'Total and digestible IAA'!AP226/$K$2</f>
        <v>1.2923244702949732</v>
      </c>
      <c r="L226" s="24">
        <f t="shared" si="4"/>
        <v>52.074678022434576</v>
      </c>
      <c r="M226" s="5" t="s">
        <v>8</v>
      </c>
      <c r="N226" s="5" t="s">
        <v>539</v>
      </c>
    </row>
    <row r="227" spans="1:14" x14ac:dyDescent="0.25">
      <c r="A227" s="5" t="str">
        <f>'IAA digestibility'!A227</f>
        <v>whey protein isolate (WPI)</v>
      </c>
      <c r="B227" s="5" t="str">
        <f>'IAA digestibility'!B227</f>
        <v>Milk products</v>
      </c>
      <c r="C227" s="23">
        <f>'Total and digestible IAA'!AH227/$C$2</f>
        <v>3.2532292299979737</v>
      </c>
      <c r="D227" s="23">
        <f>'Total and digestible IAA'!AI227/$D$2</f>
        <v>2.9028276428487616</v>
      </c>
      <c r="E227" s="23">
        <f>'Total and digestible IAA'!AJ227/$E$2</f>
        <v>2.280495913019672</v>
      </c>
      <c r="F227" s="23">
        <f>'Total and digestible IAA'!AK227/$F$2</f>
        <v>1.8870635483926808</v>
      </c>
      <c r="G227" s="23">
        <f>'Total and digestible IAA'!AL227/$G$2</f>
        <v>2.0696937697993665</v>
      </c>
      <c r="H227" s="23">
        <f>'Total and digestible IAA'!AM227/$H$2</f>
        <v>2.039698207918216</v>
      </c>
      <c r="I227" s="23">
        <f>'Total and digestible IAA'!AN227/$I$2</f>
        <v>1.535872803289807</v>
      </c>
      <c r="J227" s="23">
        <f>'Total and digestible IAA'!AO227/$J$2</f>
        <v>1.505133169071923</v>
      </c>
      <c r="K227" s="23">
        <f>'Total and digestible IAA'!AP227/$K$2</f>
        <v>1.2539598732840551</v>
      </c>
      <c r="L227" s="24">
        <f t="shared" si="4"/>
        <v>125.39598732840551</v>
      </c>
      <c r="M227" s="5" t="s">
        <v>9</v>
      </c>
    </row>
    <row r="228" spans="1:14" x14ac:dyDescent="0.25">
      <c r="A228" s="5" t="str">
        <f>'IAA digestibility'!A228</f>
        <v>whey protein concentrate (WPC)</v>
      </c>
      <c r="B228" s="5" t="str">
        <f>'IAA digestibility'!B228</f>
        <v>Milk products</v>
      </c>
      <c r="C228" s="23">
        <f>'Total and digestible IAA'!AH228/$C$2</f>
        <v>2.9883503668915798</v>
      </c>
      <c r="D228" s="23">
        <f>'Total and digestible IAA'!AI228/$D$2</f>
        <v>2.5150108960389694</v>
      </c>
      <c r="E228" s="23">
        <f>'Total and digestible IAA'!AJ228/$E$2</f>
        <v>2.0475152758193391</v>
      </c>
      <c r="F228" s="23">
        <f>'Total and digestible IAA'!AK228/$F$2</f>
        <v>1.9090868972241894</v>
      </c>
      <c r="G228" s="23">
        <f>'Total and digestible IAA'!AL228/$G$2</f>
        <v>2.007434944237918</v>
      </c>
      <c r="H228" s="23">
        <f>'Total and digestible IAA'!AM228/$H$2</f>
        <v>1.9681980571052762</v>
      </c>
      <c r="I228" s="23">
        <f>'Total and digestible IAA'!AN228/$I$2</f>
        <v>1.6268083203841905</v>
      </c>
      <c r="J228" s="23">
        <f>'Total and digestible IAA'!AO228/$J$2</f>
        <v>1.470484553262402</v>
      </c>
      <c r="K228" s="23">
        <f>'Total and digestible IAA'!AP228/$K$2</f>
        <v>1.3366876041533133</v>
      </c>
      <c r="L228" s="24">
        <f t="shared" si="4"/>
        <v>133.66876041533132</v>
      </c>
      <c r="M228" s="5" t="s">
        <v>9</v>
      </c>
    </row>
    <row r="229" spans="1:14" x14ac:dyDescent="0.25">
      <c r="A229" s="5" t="str">
        <f>'IAA digestibility'!A229</f>
        <v>milk protein concentrate (MPC)</v>
      </c>
      <c r="B229" s="5" t="str">
        <f>'IAA digestibility'!B229</f>
        <v>Milk products</v>
      </c>
      <c r="C229" s="23">
        <f>'Total and digestible IAA'!AH229/$C$2</f>
        <v>2.1851817155806557</v>
      </c>
      <c r="D229" s="23">
        <f>'Total and digestible IAA'!AI229/$D$2</f>
        <v>1.6538201089356692</v>
      </c>
      <c r="E229" s="23">
        <f>'Total and digestible IAA'!AJ229/$E$2</f>
        <v>1.6474311791550127</v>
      </c>
      <c r="F229" s="23">
        <f>'Total and digestible IAA'!AK229/$F$2</f>
        <v>1.6342280988384861</v>
      </c>
      <c r="G229" s="23">
        <f>'Total and digestible IAA'!AL229/$G$2</f>
        <v>1.6193139997055794</v>
      </c>
      <c r="H229" s="23">
        <f>'Total and digestible IAA'!AM229/$H$2</f>
        <v>1.3864016026728283</v>
      </c>
      <c r="I229" s="23">
        <f>'Total and digestible IAA'!AN229/$I$2</f>
        <v>2.3945022314936826</v>
      </c>
      <c r="J229" s="23">
        <f>'Total and digestible IAA'!AO229/$J$2</f>
        <v>1.532533490357721</v>
      </c>
      <c r="K229" s="23">
        <f>'Total and digestible IAA'!AP229/$K$2</f>
        <v>1.8581628146621523</v>
      </c>
      <c r="L229" s="24">
        <f t="shared" ref="L229:L246" si="5">MIN(C229:K229)*100</f>
        <v>138.64016026728282</v>
      </c>
      <c r="M229" s="5" t="s">
        <v>355</v>
      </c>
    </row>
    <row r="230" spans="1:14" x14ac:dyDescent="0.25">
      <c r="A230" s="5" t="str">
        <f>'IAA digestibility'!A230</f>
        <v>skimmed milk powder (SMP)</v>
      </c>
      <c r="B230" s="5" t="str">
        <f>'IAA digestibility'!B230</f>
        <v>Milk products</v>
      </c>
      <c r="C230" s="23">
        <f>'Total and digestible IAA'!AH230/$C$2</f>
        <v>2.1487603305785128</v>
      </c>
      <c r="D230" s="23">
        <f>'Total and digestible IAA'!AI230/$D$2</f>
        <v>1.4199134199134198</v>
      </c>
      <c r="E230" s="23">
        <f>'Total and digestible IAA'!AJ230/$E$2</f>
        <v>1.5411255411255411</v>
      </c>
      <c r="F230" s="23">
        <f>'Total and digestible IAA'!AK230/$F$2</f>
        <v>1.543207248125281</v>
      </c>
      <c r="G230" s="23">
        <f>'Total and digestible IAA'!AL230/$G$2</f>
        <v>1.6564454064454062</v>
      </c>
      <c r="H230" s="23">
        <f>'Total and digestible IAA'!AM230/$H$2</f>
        <v>1.2379697597088901</v>
      </c>
      <c r="I230" s="23">
        <f>'Total and digestible IAA'!AN230/$I$2</f>
        <v>2.2014570795058597</v>
      </c>
      <c r="J230" s="23">
        <f>'Total and digestible IAA'!AO230/$J$2</f>
        <v>1.474025974025974</v>
      </c>
      <c r="K230" s="23">
        <f>'Total and digestible IAA'!AP230/$K$2</f>
        <v>1.8142135642135639</v>
      </c>
      <c r="L230" s="24">
        <f t="shared" si="5"/>
        <v>123.79697597088901</v>
      </c>
      <c r="M230" s="5" t="s">
        <v>355</v>
      </c>
    </row>
    <row r="231" spans="1:14" x14ac:dyDescent="0.25">
      <c r="A231" s="5" t="str">
        <f>'IAA digestibility'!A231</f>
        <v>pea protein concentrate (PPC)</v>
      </c>
      <c r="B231" s="5" t="str">
        <f>'IAA digestibility'!B231</f>
        <v>Legumes &amp; oilseeds</v>
      </c>
      <c r="C231" s="23">
        <f>'Total and digestible IAA'!AH231/$C$2</f>
        <v>1.1618201849564318</v>
      </c>
      <c r="D231" s="23">
        <f>'Total and digestible IAA'!AI231/$D$2</f>
        <v>1.2603745868527358</v>
      </c>
      <c r="E231" s="23">
        <f>'Total and digestible IAA'!AJ231/$E$2</f>
        <v>1.2866323907455013</v>
      </c>
      <c r="F231" s="23">
        <f>'Total and digestible IAA'!AK231/$F$2</f>
        <v>1.1188238623023063</v>
      </c>
      <c r="G231" s="23">
        <f>'Total and digestible IAA'!AL231/$G$2</f>
        <v>1.5093646713183988</v>
      </c>
      <c r="H231" s="23">
        <f>'Total and digestible IAA'!AM231/$H$2</f>
        <v>0.72929473566558611</v>
      </c>
      <c r="I231" s="23">
        <f>'Total and digestible IAA'!AN231/$I$2</f>
        <v>1.8580206551239216</v>
      </c>
      <c r="J231" s="23">
        <f>'Total and digestible IAA'!AO231/$J$2</f>
        <v>1.0663330885053253</v>
      </c>
      <c r="K231" s="23">
        <f>'Total and digestible IAA'!AP231/$K$2</f>
        <v>1.5590571061329417</v>
      </c>
      <c r="L231" s="24">
        <f t="shared" si="5"/>
        <v>72.929473566558613</v>
      </c>
      <c r="M231" s="5" t="s">
        <v>355</v>
      </c>
    </row>
    <row r="232" spans="1:14" x14ac:dyDescent="0.25">
      <c r="A232" s="5" t="str">
        <f>'IAA digestibility'!A232</f>
        <v>soy protein isolate (SPI)</v>
      </c>
      <c r="B232" s="5" t="str">
        <f>'IAA digestibility'!B232</f>
        <v>Legumes &amp; oilseeds</v>
      </c>
      <c r="C232" s="23">
        <f>'Total and digestible IAA'!AH232/$C$2</f>
        <v>2.0406961913545123</v>
      </c>
      <c r="D232" s="23">
        <f>'Total and digestible IAA'!AI232/$D$2</f>
        <v>1.3304554284480898</v>
      </c>
      <c r="E232" s="23">
        <f>'Total and digestible IAA'!AJ232/$E$2</f>
        <v>1.4968702784372974</v>
      </c>
      <c r="F232" s="23">
        <f>'Total and digestible IAA'!AK232/$F$2</f>
        <v>1.2403888002321195</v>
      </c>
      <c r="G232" s="23">
        <f>'Total and digestible IAA'!AL232/$G$2</f>
        <v>1.2409390963378659</v>
      </c>
      <c r="H232" s="23">
        <f>'Total and digestible IAA'!AM232/$H$2</f>
        <v>0.98414962602877265</v>
      </c>
      <c r="I232" s="23">
        <f>'Total and digestible IAA'!AN232/$I$2</f>
        <v>2.064510694750807</v>
      </c>
      <c r="J232" s="23">
        <f>'Total and digestible IAA'!AO232/$J$2</f>
        <v>1.1209799266134255</v>
      </c>
      <c r="K232" s="23">
        <f>'Total and digestible IAA'!AP232/$K$2</f>
        <v>1.5767995898985538</v>
      </c>
      <c r="L232" s="24">
        <f t="shared" si="5"/>
        <v>98.414962602877267</v>
      </c>
      <c r="M232" s="5" t="s">
        <v>355</v>
      </c>
    </row>
    <row r="233" spans="1:14" x14ac:dyDescent="0.25">
      <c r="A233" s="5" t="str">
        <f>'IAA digestibility'!A233</f>
        <v>soya flour</v>
      </c>
      <c r="B233" s="5" t="str">
        <f>'IAA digestibility'!B233</f>
        <v>Legumes &amp; oilseeds</v>
      </c>
      <c r="C233" s="23">
        <f>'Total and digestible IAA'!AH233/$C$2</f>
        <v>2.1059707806695762</v>
      </c>
      <c r="D233" s="23">
        <f>'Total and digestible IAA'!AI233/$D$2</f>
        <v>1.3310384394721746</v>
      </c>
      <c r="E233" s="23">
        <f>'Total and digestible IAA'!AJ233/$E$2</f>
        <v>1.37821125772933</v>
      </c>
      <c r="F233" s="23">
        <f>'Total and digestible IAA'!AK233/$F$2</f>
        <v>1.1411767287730155</v>
      </c>
      <c r="G233" s="23">
        <f>'Total and digestible IAA'!AL233/$G$2</f>
        <v>1.2227481353987379</v>
      </c>
      <c r="H233" s="23">
        <f>'Total and digestible IAA'!AM233/$H$2</f>
        <v>1.0494150515103897</v>
      </c>
      <c r="I233" s="23">
        <f>'Total and digestible IAA'!AN233/$I$2</f>
        <v>1.9052283466036037</v>
      </c>
      <c r="J233" s="23">
        <f>'Total and digestible IAA'!AO233/$J$2</f>
        <v>1.100736278447122</v>
      </c>
      <c r="K233" s="23">
        <f>'Total and digestible IAA'!AP233/$K$2</f>
        <v>1.5724803977816029</v>
      </c>
      <c r="L233" s="24">
        <f t="shared" si="5"/>
        <v>104.94150515103897</v>
      </c>
      <c r="M233" s="5" t="s">
        <v>355</v>
      </c>
    </row>
    <row r="234" spans="1:14" x14ac:dyDescent="0.25">
      <c r="A234" s="5" t="str">
        <f>'IAA digestibility'!A234</f>
        <v>wheat</v>
      </c>
      <c r="B234" s="5" t="str">
        <f>'IAA digestibility'!B234</f>
        <v xml:space="preserve">Cereals &amp; cereal products </v>
      </c>
      <c r="C234" s="23">
        <f>'Total and digestible IAA'!AH234/$C$2</f>
        <v>1.1529173482900992</v>
      </c>
      <c r="D234" s="23">
        <f>'Total and digestible IAA'!AI234/$D$2</f>
        <v>0.93230505569837197</v>
      </c>
      <c r="E234" s="23">
        <f>'Total and digestible IAA'!AJ234/$E$2</f>
        <v>0.94687232219365891</v>
      </c>
      <c r="F234" s="23">
        <f>'Total and digestible IAA'!AK234/$F$2</f>
        <v>0.94230688187449951</v>
      </c>
      <c r="G234" s="23">
        <f>'Total and digestible IAA'!AL234/$G$2</f>
        <v>0.5360968294772922</v>
      </c>
      <c r="H234" s="23">
        <f>'Total and digestible IAA'!AM234/$H$2</f>
        <v>1.4895123132521144</v>
      </c>
      <c r="I234" s="23">
        <f>'Total and digestible IAA'!AN234/$I$2</f>
        <v>1.3969527870085898</v>
      </c>
      <c r="J234" s="23">
        <f>'Total and digestible IAA'!AO234/$J$2</f>
        <v>0.92459297343616098</v>
      </c>
      <c r="K234" s="23">
        <f>'Total and digestible IAA'!AP234/$K$2</f>
        <v>1.3656812339331619</v>
      </c>
      <c r="L234" s="24">
        <f t="shared" si="5"/>
        <v>53.609682947729219</v>
      </c>
      <c r="M234" s="5" t="s">
        <v>8</v>
      </c>
    </row>
    <row r="235" spans="1:14" x14ac:dyDescent="0.25">
      <c r="A235" s="5" t="str">
        <f>'IAA digestibility'!A235</f>
        <v>Faba beans (cultivar - Alfred), high tannin</v>
      </c>
      <c r="B235" s="5" t="str">
        <f>'IAA digestibility'!B235</f>
        <v>Legumes &amp; oilseeds</v>
      </c>
      <c r="C235" s="23">
        <f>'Total and digestible IAA'!AH235/$C$2</f>
        <v>0.31009016760401797</v>
      </c>
      <c r="D235" s="23">
        <f>'Total and digestible IAA'!AI235/$D$2</f>
        <v>0.39017867036011078</v>
      </c>
      <c r="E235" s="23">
        <f>'Total and digestible IAA'!AJ235/$E$2</f>
        <v>0.40613573407202208</v>
      </c>
      <c r="F235" s="23">
        <f>'Total and digestible IAA'!AK235/$F$2</f>
        <v>0.3497967848871531</v>
      </c>
      <c r="G235" s="23">
        <f>'Total and digestible IAA'!AL235/$G$2</f>
        <v>0.39016620498614962</v>
      </c>
      <c r="H235" s="23">
        <f>'Total and digestible IAA'!AM235/$H$2</f>
        <v>0.19929995182464172</v>
      </c>
      <c r="I235" s="23">
        <f>'Total and digestible IAA'!AN235/$I$2</f>
        <v>0.47973194378758188</v>
      </c>
      <c r="J235" s="23">
        <f>'Total and digestible IAA'!AO235/$J$2</f>
        <v>0.31103445290858722</v>
      </c>
      <c r="K235" s="23">
        <f>'Total and digestible IAA'!AP235/$K$2</f>
        <v>0.51553843490304707</v>
      </c>
      <c r="L235" s="24">
        <f t="shared" si="5"/>
        <v>19.929995182464172</v>
      </c>
      <c r="M235" s="5" t="s">
        <v>355</v>
      </c>
      <c r="N235" s="5" t="s">
        <v>405</v>
      </c>
    </row>
    <row r="236" spans="1:14" x14ac:dyDescent="0.25">
      <c r="A236" s="5" t="str">
        <f>'IAA digestibility'!A236</f>
        <v xml:space="preserve">Faba beans (cultivar - Alfred), high tannin, dehulled, </v>
      </c>
      <c r="B236" s="5" t="str">
        <f>'IAA digestibility'!B236</f>
        <v>Legumes &amp; oilseeds</v>
      </c>
      <c r="C236" s="23">
        <f>'Total and digestible IAA'!AH236/$C$2</f>
        <v>0.33567703175546315</v>
      </c>
      <c r="D236" s="23">
        <f>'Total and digestible IAA'!AI236/$D$2</f>
        <v>0.31290382819794582</v>
      </c>
      <c r="E236" s="23">
        <f>'Total and digestible IAA'!AJ236/$E$2</f>
        <v>0.39291627762215992</v>
      </c>
      <c r="F236" s="23">
        <f>'Total and digestible IAA'!AK236/$F$2</f>
        <v>0.34061930783242261</v>
      </c>
      <c r="G236" s="23">
        <f>'Total and digestible IAA'!AL236/$G$2</f>
        <v>0.34731818653387281</v>
      </c>
      <c r="H236" s="23">
        <f>'Total and digestible IAA'!AM236/$H$2</f>
        <v>0.19640996495216442</v>
      </c>
      <c r="I236" s="23">
        <f>'Total and digestible IAA'!AN236/$I$2</f>
        <v>0.43232978828387719</v>
      </c>
      <c r="J236" s="23">
        <f>'Total and digestible IAA'!AO236/$J$2</f>
        <v>0.31609477124183005</v>
      </c>
      <c r="K236" s="23">
        <f>'Total and digestible IAA'!AP236/$K$2</f>
        <v>0.50524237472766886</v>
      </c>
      <c r="L236" s="24">
        <f t="shared" si="5"/>
        <v>19.640996495216442</v>
      </c>
      <c r="M236" s="5" t="s">
        <v>355</v>
      </c>
      <c r="N236" s="5" t="s">
        <v>405</v>
      </c>
    </row>
    <row r="237" spans="1:14" x14ac:dyDescent="0.25">
      <c r="A237" s="5" t="str">
        <f>'IAA digestibility'!A237</f>
        <v>Faba beans (cultivar - Blandine )</v>
      </c>
      <c r="B237" s="5" t="str">
        <f>'IAA digestibility'!B237</f>
        <v>Legumes &amp; oilseeds</v>
      </c>
      <c r="C237" s="23">
        <f>'Total and digestible IAA'!AH237/$C$2</f>
        <v>0.32230498767580118</v>
      </c>
      <c r="D237" s="23">
        <f>'Total and digestible IAA'!AI237/$D$2</f>
        <v>0.36758373205741629</v>
      </c>
      <c r="E237" s="23">
        <f>'Total and digestible IAA'!AJ237/$E$2</f>
        <v>0.37032894736842104</v>
      </c>
      <c r="F237" s="23">
        <f>'Total and digestible IAA'!AK237/$F$2</f>
        <v>0.32466075770648684</v>
      </c>
      <c r="G237" s="23">
        <f>'Total and digestible IAA'!AL237/$G$2</f>
        <v>0.36347188995215318</v>
      </c>
      <c r="H237" s="23">
        <f>'Total and digestible IAA'!AM237/$H$2</f>
        <v>0.17784480965259003</v>
      </c>
      <c r="I237" s="23">
        <f>'Total and digestible IAA'!AN237/$I$2</f>
        <v>0.45303127552806632</v>
      </c>
      <c r="J237" s="23">
        <f>'Total and digestible IAA'!AO237/$J$2</f>
        <v>0.29465759569377992</v>
      </c>
      <c r="K237" s="23">
        <f>'Total and digestible IAA'!AP237/$K$2</f>
        <v>0.41254111842105268</v>
      </c>
      <c r="L237" s="24">
        <f t="shared" si="5"/>
        <v>17.784480965259004</v>
      </c>
      <c r="M237" s="5" t="s">
        <v>355</v>
      </c>
      <c r="N237" s="5" t="s">
        <v>405</v>
      </c>
    </row>
    <row r="238" spans="1:14" x14ac:dyDescent="0.25">
      <c r="A238" s="5" t="str">
        <f>'IAA digestibility'!A238</f>
        <v>Lupins (cultivar - Lublanc )</v>
      </c>
      <c r="B238" s="5" t="str">
        <f>'IAA digestibility'!B238</f>
        <v>Legumes &amp; oilseeds</v>
      </c>
      <c r="C238" s="23">
        <f>'Total and digestible IAA'!AH238/$C$2</f>
        <v>0.22859824046920818</v>
      </c>
      <c r="D238" s="23">
        <f>'Total and digestible IAA'!AI238/$D$2</f>
        <v>0.3031989677419355</v>
      </c>
      <c r="E238" s="23">
        <f>'Total and digestible IAA'!AJ238/$E$2</f>
        <v>0.35650494623655915</v>
      </c>
      <c r="F238" s="23">
        <f>'Total and digestible IAA'!AK238/$F$2</f>
        <v>0.27053833950290851</v>
      </c>
      <c r="G238" s="23">
        <f>'Total and digestible IAA'!AL238/$G$2</f>
        <v>0.20525053763440859</v>
      </c>
      <c r="H238" s="23">
        <f>'Total and digestible IAA'!AM238/$H$2</f>
        <v>0.1574485273492286</v>
      </c>
      <c r="I238" s="23">
        <f>'Total and digestible IAA'!AN238/$I$2</f>
        <v>0.44423414634146341</v>
      </c>
      <c r="J238" s="23">
        <f>'Total and digestible IAA'!AO238/$J$2</f>
        <v>0.20544774193548382</v>
      </c>
      <c r="K238" s="23">
        <f>'Total and digestible IAA'!AP238/$K$2</f>
        <v>0.3052903225806452</v>
      </c>
      <c r="L238" s="24">
        <f t="shared" si="5"/>
        <v>15.74485273492286</v>
      </c>
      <c r="M238" s="5" t="s">
        <v>355</v>
      </c>
      <c r="N238" s="5" t="s">
        <v>405</v>
      </c>
    </row>
    <row r="239" spans="1:14" x14ac:dyDescent="0.25">
      <c r="A239" s="5" t="str">
        <f>'IAA digestibility'!A239</f>
        <v>Lupins (cultivar - Australian)</v>
      </c>
      <c r="B239" s="5" t="str">
        <f>'IAA digestibility'!B239</f>
        <v>Legumes &amp; oilseeds</v>
      </c>
      <c r="C239" s="23">
        <f>'Total and digestible IAA'!AH239/$C$2</f>
        <v>0.31121322514765148</v>
      </c>
      <c r="D239" s="23">
        <f>'Total and digestible IAA'!AI239/$D$2</f>
        <v>0.38092046144505159</v>
      </c>
      <c r="E239" s="23">
        <f>'Total and digestible IAA'!AJ239/$E$2</f>
        <v>0.44050293462861767</v>
      </c>
      <c r="F239" s="23">
        <f>'Total and digestible IAA'!AK239/$F$2</f>
        <v>0.33205231568574761</v>
      </c>
      <c r="G239" s="23">
        <f>'Total and digestible IAA'!AL239/$G$2</f>
        <v>0.26445304594211699</v>
      </c>
      <c r="H239" s="23">
        <f>'Total and digestible IAA'!AM239/$H$2</f>
        <v>0.24523375834851247</v>
      </c>
      <c r="I239" s="23">
        <f>'Total and digestible IAA'!AN239/$I$2</f>
        <v>0.44307017933567316</v>
      </c>
      <c r="J239" s="23">
        <f>'Total and digestible IAA'!AO239/$J$2</f>
        <v>0.27278688524590167</v>
      </c>
      <c r="K239" s="23">
        <f>'Total and digestible IAA'!AP239/$K$2</f>
        <v>0.49251669702489376</v>
      </c>
      <c r="L239" s="24">
        <f t="shared" si="5"/>
        <v>24.523375834851247</v>
      </c>
      <c r="M239" s="5" t="s">
        <v>355</v>
      </c>
      <c r="N239" s="5" t="s">
        <v>405</v>
      </c>
    </row>
    <row r="240" spans="1:14" x14ac:dyDescent="0.25">
      <c r="A240" s="5" t="str">
        <f>'IAA digestibility'!A240</f>
        <v>Peas (Cultivar - Amino)</v>
      </c>
      <c r="B240" s="5" t="str">
        <f>'IAA digestibility'!B240</f>
        <v>Legumes &amp; oilseeds</v>
      </c>
      <c r="C240" s="23">
        <f>'Total and digestible IAA'!AH240/$C$2</f>
        <v>0.37754958996285143</v>
      </c>
      <c r="D240" s="23">
        <f>'Total and digestible IAA'!AI240/$D$2</f>
        <v>0.44199537393986127</v>
      </c>
      <c r="E240" s="23">
        <f>'Total and digestible IAA'!AJ240/$E$2</f>
        <v>0.43688511950655362</v>
      </c>
      <c r="F240" s="23">
        <f>'Total and digestible IAA'!AK240/$F$2</f>
        <v>0.37999165792433992</v>
      </c>
      <c r="G240" s="23">
        <f>'Total and digestible IAA'!AL240/$G$2</f>
        <v>0.52907350295553845</v>
      </c>
      <c r="H240" s="23">
        <f>'Total and digestible IAA'!AM240/$H$2</f>
        <v>0.24565720223928131</v>
      </c>
      <c r="I240" s="23">
        <f>'Total and digestible IAA'!AN240/$I$2</f>
        <v>0.57129586099253438</v>
      </c>
      <c r="J240" s="23">
        <f>'Total and digestible IAA'!AO240/$J$2</f>
        <v>0.35223303777949122</v>
      </c>
      <c r="K240" s="23">
        <f>'Total and digestible IAA'!AP240/$K$2</f>
        <v>0.47243639167309176</v>
      </c>
      <c r="L240" s="24">
        <f t="shared" si="5"/>
        <v>24.565720223928132</v>
      </c>
      <c r="M240" s="5" t="s">
        <v>355</v>
      </c>
      <c r="N240" s="5" t="s">
        <v>405</v>
      </c>
    </row>
    <row r="241" spans="1:14" x14ac:dyDescent="0.25">
      <c r="A241" s="5" t="str">
        <f>'IAA digestibility'!A241</f>
        <v>Peas (Cultivar - Australian)</v>
      </c>
      <c r="B241" s="5" t="str">
        <f>'IAA digestibility'!B241</f>
        <v>Legumes &amp; oilseeds</v>
      </c>
      <c r="C241" s="23">
        <f>'Total and digestible IAA'!AH241/$C$2</f>
        <v>0.31944946029453081</v>
      </c>
      <c r="D241" s="23">
        <f>'Total and digestible IAA'!AI241/$D$2</f>
        <v>0.36042036836403035</v>
      </c>
      <c r="E241" s="23">
        <f>'Total and digestible IAA'!AJ241/$E$2</f>
        <v>0.4070940170940171</v>
      </c>
      <c r="F241" s="23">
        <f>'Total and digestible IAA'!AK241/$F$2</f>
        <v>0.31742239904327191</v>
      </c>
      <c r="G241" s="23">
        <f>'Total and digestible IAA'!AL241/$G$2</f>
        <v>0.44811228482003124</v>
      </c>
      <c r="H241" s="23">
        <f>'Total and digestible IAA'!AM241/$H$2</f>
        <v>0.21057044608789866</v>
      </c>
      <c r="I241" s="23">
        <f>'Total and digestible IAA'!AN241/$I$2</f>
        <v>0.46632578460129137</v>
      </c>
      <c r="J241" s="23">
        <f>'Total and digestible IAA'!AO241/$J$2</f>
        <v>0.30741603466955586</v>
      </c>
      <c r="K241" s="23">
        <f>'Total and digestible IAA'!AP241/$K$2</f>
        <v>0.42493680028891306</v>
      </c>
      <c r="L241" s="24">
        <f t="shared" si="5"/>
        <v>21.057044608789866</v>
      </c>
      <c r="M241" s="5" t="s">
        <v>355</v>
      </c>
      <c r="N241" s="5" t="s">
        <v>405</v>
      </c>
    </row>
    <row r="242" spans="1:14" x14ac:dyDescent="0.25">
      <c r="A242" s="5" t="str">
        <f>'IAA digestibility'!A242</f>
        <v>Peas (Cultivar - Finale)</v>
      </c>
      <c r="B242" s="5" t="str">
        <f>'IAA digestibility'!B242</f>
        <v>Legumes &amp; oilseeds</v>
      </c>
      <c r="C242" s="23">
        <f>'Total and digestible IAA'!AH242/$C$2</f>
        <v>0.4350447814134964</v>
      </c>
      <c r="D242" s="23">
        <f>'Total and digestible IAA'!AI242/$D$2</f>
        <v>0.48723064644852349</v>
      </c>
      <c r="E242" s="23">
        <f>'Total and digestible IAA'!AJ242/$E$2</f>
        <v>0.51951316839584993</v>
      </c>
      <c r="F242" s="23">
        <f>'Total and digestible IAA'!AK242/$F$2</f>
        <v>0.3918137453717635</v>
      </c>
      <c r="G242" s="23">
        <f>'Total and digestible IAA'!AL242/$G$2</f>
        <v>0.54247638999733983</v>
      </c>
      <c r="H242" s="23">
        <f>'Total and digestible IAA'!AM242/$H$2</f>
        <v>0.33185398521808535</v>
      </c>
      <c r="I242" s="23">
        <f>'Total and digestible IAA'!AN242/$I$2</f>
        <v>0.56247834465575297</v>
      </c>
      <c r="J242" s="23">
        <f>'Total and digestible IAA'!AO242/$J$2</f>
        <v>0.36465682362330404</v>
      </c>
      <c r="K242" s="23">
        <f>'Total and digestible IAA'!AP242/$K$2</f>
        <v>0.56389664804469286</v>
      </c>
      <c r="L242" s="24">
        <f t="shared" si="5"/>
        <v>33.185398521808537</v>
      </c>
      <c r="M242" s="5" t="s">
        <v>355</v>
      </c>
      <c r="N242" s="5" t="s">
        <v>405</v>
      </c>
    </row>
    <row r="243" spans="1:14" x14ac:dyDescent="0.25">
      <c r="A243" s="5" t="str">
        <f>'IAA digestibility'!A243</f>
        <v>Peas (Cultivar - Frilene), high in trypsin inhibitor</v>
      </c>
      <c r="B243" s="5" t="str">
        <f>'IAA digestibility'!B243</f>
        <v>Legumes &amp; oilseeds</v>
      </c>
      <c r="C243" s="23">
        <f>'Total and digestible IAA'!AH243/$C$2</f>
        <v>0.36884203594582021</v>
      </c>
      <c r="D243" s="23">
        <f>'Total and digestible IAA'!AI243/$D$2</f>
        <v>0.42984188834769582</v>
      </c>
      <c r="E243" s="23">
        <f>'Total and digestible IAA'!AJ243/$E$2</f>
        <v>0.42483701760959164</v>
      </c>
      <c r="F243" s="23">
        <f>'Total and digestible IAA'!AK243/$F$2</f>
        <v>0.33455152970658875</v>
      </c>
      <c r="G243" s="23">
        <f>'Total and digestible IAA'!AL243/$G$2</f>
        <v>0.42368396403147246</v>
      </c>
      <c r="H243" s="23">
        <f>'Total and digestible IAA'!AM243/$H$2</f>
        <v>0.23096746868229429</v>
      </c>
      <c r="I243" s="23">
        <f>'Total and digestible IAA'!AN243/$I$2</f>
        <v>0.457399775196703</v>
      </c>
      <c r="J243" s="23">
        <f>'Total and digestible IAA'!AO243/$J$2</f>
        <v>0.31878606219557892</v>
      </c>
      <c r="K243" s="23">
        <f>'Total and digestible IAA'!AP243/$K$2</f>
        <v>0.46338516298239046</v>
      </c>
      <c r="L243" s="24">
        <f t="shared" si="5"/>
        <v>23.096746868229427</v>
      </c>
      <c r="M243" s="5" t="s">
        <v>355</v>
      </c>
      <c r="N243" s="5" t="s">
        <v>405</v>
      </c>
    </row>
    <row r="244" spans="1:14" x14ac:dyDescent="0.25">
      <c r="A244" s="5" t="str">
        <f>'IAA digestibility'!A244</f>
        <v>Peas (Cultivar - Frilene), high in trypsin inhibitor, extruded</v>
      </c>
      <c r="B244" s="5" t="str">
        <f>'IAA digestibility'!B244</f>
        <v>Legumes &amp; oilseeds</v>
      </c>
      <c r="C244" s="23">
        <f>'Total and digestible IAA'!AH244/$C$2</f>
        <v>0.37861127123529204</v>
      </c>
      <c r="D244" s="23">
        <f>'Total and digestible IAA'!AI244/$D$2</f>
        <v>0.4854666169339798</v>
      </c>
      <c r="E244" s="23">
        <f>'Total and digestible IAA'!AJ244/$E$2</f>
        <v>0.43189978863608103</v>
      </c>
      <c r="F244" s="23">
        <f>'Total and digestible IAA'!AK244/$F$2</f>
        <v>0.37269186320249964</v>
      </c>
      <c r="G244" s="23">
        <f>'Total and digestible IAA'!AL244/$G$2</f>
        <v>0.47586410543329599</v>
      </c>
      <c r="H244" s="23">
        <f>'Total and digestible IAA'!AM244/$H$2</f>
        <v>0.3148273681137797</v>
      </c>
      <c r="I244" s="23">
        <f>'Total and digestible IAA'!AN244/$I$2</f>
        <v>0.59917941066766123</v>
      </c>
      <c r="J244" s="23">
        <f>'Total and digestible IAA'!AO244/$J$2</f>
        <v>0.36993659082431918</v>
      </c>
      <c r="K244" s="23">
        <f>'Total and digestible IAA'!AP244/$K$2</f>
        <v>0.5116560984707198</v>
      </c>
      <c r="L244" s="24">
        <f t="shared" si="5"/>
        <v>31.482736811377972</v>
      </c>
      <c r="M244" s="5" t="s">
        <v>355</v>
      </c>
      <c r="N244" s="5" t="s">
        <v>405</v>
      </c>
    </row>
    <row r="245" spans="1:14" x14ac:dyDescent="0.25">
      <c r="A245" s="5" t="str">
        <f>'IAA digestibility'!A245</f>
        <v xml:space="preserve">Pea protein isolate, yellow </v>
      </c>
      <c r="B245" s="5" t="str">
        <f>'IAA digestibility'!B245</f>
        <v>Legumes &amp; oilseeds</v>
      </c>
      <c r="C245" s="23">
        <v>1.41</v>
      </c>
      <c r="D245" s="23">
        <v>1.47</v>
      </c>
      <c r="E245" s="23">
        <v>1.64</v>
      </c>
      <c r="F245" s="23">
        <v>1.3</v>
      </c>
      <c r="G245" s="23">
        <v>1.59</v>
      </c>
      <c r="H245" s="23">
        <v>1</v>
      </c>
      <c r="I245" s="23">
        <v>2.23</v>
      </c>
      <c r="J245" s="23">
        <v>1.19</v>
      </c>
      <c r="K245" s="23">
        <v>1.4</v>
      </c>
      <c r="L245" s="24">
        <f t="shared" si="5"/>
        <v>100</v>
      </c>
      <c r="M245" s="5" t="s">
        <v>355</v>
      </c>
    </row>
    <row r="246" spans="1:14" x14ac:dyDescent="0.25">
      <c r="A246" s="5" t="str">
        <f>'IAA digestibility'!A246</f>
        <v xml:space="preserve">Casein </v>
      </c>
      <c r="B246" s="5" t="str">
        <f>'IAA digestibility'!B246</f>
        <v>Milk products</v>
      </c>
      <c r="C246" s="23">
        <v>1.95</v>
      </c>
      <c r="D246" s="23">
        <v>1.75</v>
      </c>
      <c r="E246" s="23">
        <v>1.75</v>
      </c>
      <c r="F246" s="23">
        <v>1.57</v>
      </c>
      <c r="G246" s="23">
        <v>1.81</v>
      </c>
      <c r="H246" s="23">
        <v>1.45</v>
      </c>
      <c r="I246" s="23">
        <v>2.54</v>
      </c>
      <c r="J246" s="23">
        <v>1.55</v>
      </c>
      <c r="K246" s="23">
        <v>1.53</v>
      </c>
      <c r="L246" s="24">
        <f t="shared" si="5"/>
        <v>145</v>
      </c>
      <c r="M246" s="5" t="s">
        <v>355</v>
      </c>
    </row>
    <row r="247" spans="1:14" x14ac:dyDescent="0.25">
      <c r="A247" s="5" t="str">
        <f>'IAA digestibility'!A247</f>
        <v>Beef, lean (80%)</v>
      </c>
      <c r="B247" s="5" t="str">
        <f>'IAA digestibility'!B247</f>
        <v>Animal products</v>
      </c>
      <c r="C247" s="23">
        <f>'Total and digestible IAA'!AH247/$C$2</f>
        <v>1.4952982403065598</v>
      </c>
      <c r="D247" s="23">
        <f>'Total and digestible IAA'!AI247/$D$2</f>
        <v>1.3608652246256236</v>
      </c>
      <c r="E247" s="23">
        <f>'Total and digestible IAA'!AJ247/$E$2</f>
        <v>1.3266222961730447</v>
      </c>
      <c r="F247" s="23">
        <f>'Total and digestible IAA'!AK247/$F$2</f>
        <v>1.1113035650964243</v>
      </c>
      <c r="G247" s="23">
        <f>'Total and digestible IAA'!AL247/$G$2</f>
        <v>1.493838394342762</v>
      </c>
      <c r="H247" s="23">
        <f>'Total and digestible IAA'!AM247/$H$2</f>
        <v>1.1972618100267669</v>
      </c>
      <c r="I247" s="23">
        <f>'Total and digestible IAA'!AN247/$I$2</f>
        <v>1.6238281725579318</v>
      </c>
      <c r="J247" s="23">
        <f>'Total and digestible IAA'!AO247/$J$2</f>
        <v>1.1014455074875209</v>
      </c>
      <c r="K247" s="23">
        <f>'Total and digestible IAA'!AP247/$K$2</f>
        <v>1.5732893094841931</v>
      </c>
      <c r="L247" s="24">
        <f t="shared" ref="L247" si="6">MIN(C247:K247)*100</f>
        <v>110.1445507487521</v>
      </c>
      <c r="M247" s="5" t="s">
        <v>535</v>
      </c>
    </row>
    <row r="248" spans="1:14" x14ac:dyDescent="0.25">
      <c r="A248" s="5" t="str">
        <f>'IAA digestibility'!A248</f>
        <v>Beef, lean (93%)</v>
      </c>
      <c r="B248" s="5" t="str">
        <f>'IAA digestibility'!B248</f>
        <v>Animal products</v>
      </c>
      <c r="C248" s="23">
        <f>'Total and digestible IAA'!AH248/$C$2</f>
        <v>1.8109380659181453</v>
      </c>
      <c r="D248" s="23">
        <f>'Total and digestible IAA'!AI248/$D$2</f>
        <v>1.6102281781963057</v>
      </c>
      <c r="E248" s="23">
        <f>'Total and digestible IAA'!AJ248/$E$2</f>
        <v>1.5482071713147409</v>
      </c>
      <c r="F248" s="23">
        <f>'Total and digestible IAA'!AK248/$F$2</f>
        <v>1.2566128926915288</v>
      </c>
      <c r="G248" s="23">
        <f>'Total and digestible IAA'!AL248/$G$2</f>
        <v>1.7103102740552938</v>
      </c>
      <c r="H248" s="23">
        <f>'Total and digestible IAA'!AM248/$H$2</f>
        <v>1.4363573374486243</v>
      </c>
      <c r="I248" s="23">
        <f>'Total and digestible IAA'!AN248/$I$2</f>
        <v>1.5403309158046308</v>
      </c>
      <c r="J248" s="23">
        <f>'Total and digestible IAA'!AO248/$J$2</f>
        <v>1.1895689967403116</v>
      </c>
      <c r="K248" s="23">
        <f>'Total and digestible IAA'!AP248/$K$2</f>
        <v>1.8471568272365084</v>
      </c>
      <c r="L248" s="24">
        <f t="shared" ref="L248:L270" si="7">MIN(C248:K248)*100</f>
        <v>118.95689967403116</v>
      </c>
      <c r="M248" s="5" t="s">
        <v>535</v>
      </c>
    </row>
    <row r="249" spans="1:14" x14ac:dyDescent="0.25">
      <c r="A249" s="5" t="str">
        <f>'IAA digestibility'!A249</f>
        <v>Pork</v>
      </c>
      <c r="B249" s="5" t="str">
        <f>'IAA digestibility'!B249</f>
        <v>Animal products</v>
      </c>
      <c r="C249" s="23">
        <f>'Total and digestible IAA'!AH249/$C$2</f>
        <v>1.776171500942143</v>
      </c>
      <c r="D249" s="23">
        <f>'Total and digestible IAA'!AI249/$D$2</f>
        <v>1.6092354740061163</v>
      </c>
      <c r="E249" s="23">
        <f>'Total and digestible IAA'!AJ249/$E$2</f>
        <v>1.4724770642201837</v>
      </c>
      <c r="F249" s="23">
        <f>'Total and digestible IAA'!AK249/$F$2</f>
        <v>1.1970388195384436</v>
      </c>
      <c r="G249" s="23">
        <f>'Total and digestible IAA'!AL249/$G$2</f>
        <v>1.6228126061841657</v>
      </c>
      <c r="H249" s="23">
        <f>'Total and digestible IAA'!AM249/$H$2</f>
        <v>1.3850551788326022</v>
      </c>
      <c r="I249" s="23">
        <f>'Total and digestible IAA'!AN249/$I$2</f>
        <v>1.7683797021456453</v>
      </c>
      <c r="J249" s="23">
        <f>'Total and digestible IAA'!AO249/$J$2</f>
        <v>1.1877803261977573</v>
      </c>
      <c r="K249" s="23">
        <f>'Total and digestible IAA'!AP249/$K$2</f>
        <v>1.929599898063201</v>
      </c>
      <c r="L249" s="24">
        <f t="shared" si="7"/>
        <v>118.77803261977573</v>
      </c>
      <c r="M249" s="5" t="s">
        <v>535</v>
      </c>
    </row>
    <row r="250" spans="1:14" x14ac:dyDescent="0.25">
      <c r="A250" s="5" t="str">
        <f>'IAA digestibility'!A250</f>
        <v xml:space="preserve">Impossible burger </v>
      </c>
      <c r="B250" s="5" t="str">
        <f>'IAA digestibility'!B250</f>
        <v xml:space="preserve">Plant based </v>
      </c>
      <c r="C250" s="23">
        <f>'Total and digestible IAA'!AH250/$C$2</f>
        <v>1.9060773480662982</v>
      </c>
      <c r="D250" s="23">
        <f>'Total and digestible IAA'!AI250/$D$2</f>
        <v>1.3554917127071826</v>
      </c>
      <c r="E250" s="23">
        <f>'Total and digestible IAA'!AJ250/$E$2</f>
        <v>1.5076795580110494</v>
      </c>
      <c r="F250" s="23">
        <f>'Total and digestible IAA'!AK250/$F$2</f>
        <v>1.1481296983968843</v>
      </c>
      <c r="G250" s="23">
        <f>'Total and digestible IAA'!AL250/$G$2</f>
        <v>1.1247237569060773</v>
      </c>
      <c r="H250" s="23">
        <f>'Total and digestible IAA'!AM250/$H$2</f>
        <v>1.0762190727840497</v>
      </c>
      <c r="I250" s="23">
        <f>'Total and digestible IAA'!AN250/$I$2</f>
        <v>2.0616224228540627</v>
      </c>
      <c r="J250" s="23">
        <f>'Total and digestible IAA'!AO250/$J$2</f>
        <v>1.2139502762430943</v>
      </c>
      <c r="K250" s="23">
        <f>'Total and digestible IAA'!AP250/$K$2</f>
        <v>1.3864640883977901</v>
      </c>
      <c r="L250" s="24">
        <f t="shared" si="7"/>
        <v>107.62190727840498</v>
      </c>
      <c r="M250" s="5" t="s">
        <v>355</v>
      </c>
    </row>
    <row r="251" spans="1:14" x14ac:dyDescent="0.25">
      <c r="A251" s="5" t="str">
        <f>'IAA digestibility'!A251</f>
        <v>Beyond burger</v>
      </c>
      <c r="B251" s="5" t="str">
        <f>'IAA digestibility'!B251</f>
        <v xml:space="preserve">Plant based </v>
      </c>
      <c r="C251" s="23">
        <f>'Total and digestible IAA'!AH251/$C$2</f>
        <v>1.3191259778796873</v>
      </c>
      <c r="D251" s="23">
        <f>'Total and digestible IAA'!AI251/$D$2</f>
        <v>1.2729970326409497</v>
      </c>
      <c r="E251" s="23">
        <f>'Total and digestible IAA'!AJ251/$E$2</f>
        <v>1.485328058028355</v>
      </c>
      <c r="F251" s="23">
        <f>'Total and digestible IAA'!AK251/$F$2</f>
        <v>1.2331565889964491</v>
      </c>
      <c r="G251" s="23">
        <f>'Total and digestible IAA'!AL251/$G$2</f>
        <v>1.3199802176063302</v>
      </c>
      <c r="H251" s="23">
        <f>'Total and digestible IAA'!AM251/$H$2</f>
        <v>0.84062271534855726</v>
      </c>
      <c r="I251" s="23">
        <f>'Total and digestible IAA'!AN251/$I$2</f>
        <v>2.1454005934718108</v>
      </c>
      <c r="J251" s="23">
        <f>'Total and digestible IAA'!AO251/$J$2</f>
        <v>1.2310583580613252</v>
      </c>
      <c r="K251" s="23">
        <f>'Total and digestible IAA'!AP251/$K$2</f>
        <v>1.3878585558852623</v>
      </c>
      <c r="L251" s="24">
        <f t="shared" si="7"/>
        <v>84.062271534855725</v>
      </c>
      <c r="M251" s="5" t="s">
        <v>355</v>
      </c>
    </row>
    <row r="252" spans="1:14" x14ac:dyDescent="0.25">
      <c r="A252" s="5" t="str">
        <f>'IAA digestibility'!A252</f>
        <v xml:space="preserve">Burger bun </v>
      </c>
      <c r="B252" s="5" t="str">
        <f>'IAA digestibility'!B252</f>
        <v xml:space="preserve">Cereals &amp; cereal products </v>
      </c>
      <c r="C252" s="23">
        <f>'Total and digestible IAA'!AH252/$C$2</f>
        <v>1.5432006010518409</v>
      </c>
      <c r="D252" s="23">
        <f>'Total and digestible IAA'!AI252/$D$2</f>
        <v>0.9340826446280992</v>
      </c>
      <c r="E252" s="23">
        <f>'Total and digestible IAA'!AJ252/$E$2</f>
        <v>1.1318181818181821</v>
      </c>
      <c r="F252" s="23">
        <f>'Total and digestible IAA'!AK252/$F$2</f>
        <v>0.98490719414713457</v>
      </c>
      <c r="G252" s="23">
        <f>'Total and digestible IAA'!AL252/$G$2</f>
        <v>0.30805785123966939</v>
      </c>
      <c r="H252" s="23">
        <f>'Total and digestible IAA'!AM252/$H$2</f>
        <v>1.4243621990657567</v>
      </c>
      <c r="I252" s="23">
        <f>'Total and digestible IAA'!AN252/$I$2</f>
        <v>1.7157831082443058</v>
      </c>
      <c r="J252" s="23">
        <f>'Total and digestible IAA'!AO252/$J$2</f>
        <v>0.93181818181818188</v>
      </c>
      <c r="K252" s="23">
        <f>'Total and digestible IAA'!AP252/$K$2</f>
        <v>1.1454545454545455</v>
      </c>
      <c r="L252" s="24">
        <f t="shared" si="7"/>
        <v>30.805785123966938</v>
      </c>
      <c r="M252" s="5" t="s">
        <v>8</v>
      </c>
    </row>
    <row r="253" spans="1:14" s="4" customFormat="1" x14ac:dyDescent="0.25">
      <c r="A253" s="4" t="str">
        <f>'IAA digestibility'!A253</f>
        <v>Beef, lean (80%) + burger bun</v>
      </c>
      <c r="B253" s="4" t="str">
        <f>'IAA digestibility'!B253</f>
        <v>Mixed food (animal + cereal product)</v>
      </c>
      <c r="C253" s="23">
        <v>1.63</v>
      </c>
      <c r="D253" s="23">
        <v>1.26</v>
      </c>
      <c r="E253" s="23">
        <v>1.27</v>
      </c>
      <c r="F253" s="23">
        <v>1.08</v>
      </c>
      <c r="G253" s="23">
        <v>1.17</v>
      </c>
      <c r="H253" s="23">
        <v>1.27</v>
      </c>
      <c r="I253" s="23">
        <v>1.66</v>
      </c>
      <c r="J253" s="23">
        <v>1.05</v>
      </c>
      <c r="K253" s="23">
        <v>1.47</v>
      </c>
      <c r="L253" s="24">
        <f t="shared" si="7"/>
        <v>105</v>
      </c>
      <c r="M253" s="4" t="s">
        <v>535</v>
      </c>
    </row>
    <row r="254" spans="1:14" x14ac:dyDescent="0.25">
      <c r="A254" s="5" t="str">
        <f>'IAA digestibility'!A254</f>
        <v>Pork + burger bun</v>
      </c>
      <c r="B254" s="5" t="str">
        <f>'IAA digestibility'!B254</f>
        <v>Mixed food (animal + cereal product)</v>
      </c>
      <c r="C254" s="23">
        <v>1.73</v>
      </c>
      <c r="D254" s="23">
        <v>1.32</v>
      </c>
      <c r="E254" s="23">
        <v>1.33</v>
      </c>
      <c r="F254" s="23">
        <v>1.1000000000000001</v>
      </c>
      <c r="G254" s="23">
        <v>1.19</v>
      </c>
      <c r="H254" s="23">
        <v>1.34</v>
      </c>
      <c r="I254" s="23">
        <v>1.72</v>
      </c>
      <c r="J254" s="23">
        <v>1.07</v>
      </c>
      <c r="K254" s="23">
        <v>1.63</v>
      </c>
      <c r="L254" s="24">
        <f t="shared" si="7"/>
        <v>107</v>
      </c>
      <c r="M254" s="5" t="s">
        <v>535</v>
      </c>
    </row>
    <row r="255" spans="1:14" x14ac:dyDescent="0.25">
      <c r="A255" s="5" t="str">
        <f>'IAA digestibility'!A255</f>
        <v>Impossible burger + burger bun</v>
      </c>
      <c r="B255" s="5" t="str">
        <f>'IAA digestibility'!B255</f>
        <v>Mixed food (plant based)</v>
      </c>
      <c r="C255" s="23">
        <v>1.76</v>
      </c>
      <c r="D255" s="23">
        <v>1.1599999999999999</v>
      </c>
      <c r="E255" s="23">
        <v>1.36</v>
      </c>
      <c r="F255" s="23">
        <v>1.07</v>
      </c>
      <c r="G255" s="23">
        <v>0.86</v>
      </c>
      <c r="H255" s="23">
        <v>1.1399999999999999</v>
      </c>
      <c r="I255" s="23">
        <v>1.92</v>
      </c>
      <c r="J255" s="23">
        <v>1.1000000000000001</v>
      </c>
      <c r="K255" s="23">
        <v>1.29</v>
      </c>
      <c r="L255" s="24">
        <f t="shared" si="7"/>
        <v>86</v>
      </c>
      <c r="M255" s="5" t="s">
        <v>8</v>
      </c>
    </row>
    <row r="256" spans="1:14" x14ac:dyDescent="0.25">
      <c r="A256" s="5" t="str">
        <f>'IAA digestibility'!A256</f>
        <v>Millet</v>
      </c>
      <c r="B256" s="5" t="str">
        <f>'IAA digestibility'!B256</f>
        <v xml:space="preserve">Cereals &amp; cereal products </v>
      </c>
      <c r="C256" s="23">
        <v>2.0699999999999998</v>
      </c>
      <c r="D256" s="23">
        <v>1.1499999999999999</v>
      </c>
      <c r="E256" s="23">
        <v>1.1399999999999999</v>
      </c>
      <c r="F256" s="23">
        <v>2.71</v>
      </c>
      <c r="G256" s="23">
        <v>0.22</v>
      </c>
      <c r="H256" s="23">
        <v>2.56</v>
      </c>
      <c r="I256" s="23">
        <v>1.1100000000000001</v>
      </c>
      <c r="J256" s="23">
        <v>0.94</v>
      </c>
      <c r="K256" s="23">
        <v>0.78</v>
      </c>
      <c r="L256" s="24">
        <f t="shared" si="7"/>
        <v>22</v>
      </c>
      <c r="M256" s="5" t="s">
        <v>8</v>
      </c>
    </row>
    <row r="257" spans="1:14" x14ac:dyDescent="0.25">
      <c r="A257" s="5" t="str">
        <f>'IAA digestibility'!A257</f>
        <v>Adlay (Chinese pearl barley)</v>
      </c>
      <c r="B257" s="5" t="str">
        <f>'IAA digestibility'!B257</f>
        <v xml:space="preserve">Cereals &amp; cereal products </v>
      </c>
      <c r="C257" s="23">
        <v>0.48</v>
      </c>
      <c r="D257" s="23">
        <v>0.84</v>
      </c>
      <c r="E257" s="23">
        <v>1.04</v>
      </c>
      <c r="F257" s="23">
        <v>2.94</v>
      </c>
      <c r="G257" s="23">
        <v>0.16</v>
      </c>
      <c r="H257" s="23">
        <v>1.99</v>
      </c>
      <c r="I257" s="23">
        <v>1.2</v>
      </c>
      <c r="J257" s="23">
        <v>0.99</v>
      </c>
      <c r="K257" s="23">
        <v>0.89</v>
      </c>
      <c r="L257" s="24">
        <f t="shared" si="7"/>
        <v>16</v>
      </c>
      <c r="M257" s="5" t="s">
        <v>8</v>
      </c>
    </row>
    <row r="258" spans="1:14" x14ac:dyDescent="0.25">
      <c r="A258" s="5" t="str">
        <f>'IAA digestibility'!A258</f>
        <v>Mung bean (32%) + millet (68%)</v>
      </c>
      <c r="B258" s="5" t="str">
        <f>'IAA digestibility'!B258</f>
        <v>Mixed food (cereal + legume)</v>
      </c>
      <c r="C258" s="23">
        <v>1.61</v>
      </c>
      <c r="D258" s="23">
        <v>0.95</v>
      </c>
      <c r="E258" s="23">
        <v>1.05</v>
      </c>
      <c r="F258" s="23">
        <v>1.77</v>
      </c>
      <c r="G258" s="23">
        <v>0.66</v>
      </c>
      <c r="H258" s="23">
        <v>1.82</v>
      </c>
      <c r="I258" s="23">
        <v>1.21</v>
      </c>
      <c r="J258" s="23">
        <v>0.91</v>
      </c>
      <c r="K258" s="23">
        <v>0.9</v>
      </c>
      <c r="L258" s="24">
        <f t="shared" si="7"/>
        <v>66</v>
      </c>
      <c r="M258" s="5" t="s">
        <v>8</v>
      </c>
    </row>
    <row r="259" spans="1:14" x14ac:dyDescent="0.25">
      <c r="A259" s="5" t="str">
        <f>'IAA digestibility'!A259</f>
        <v>Adzuki bean (40%)+ adlay (Chinese pearl barley) (60%)</v>
      </c>
      <c r="B259" s="5" t="str">
        <f>'IAA digestibility'!B259</f>
        <v>Mixed food (cereal + legume)</v>
      </c>
      <c r="C259" s="23">
        <v>0.7</v>
      </c>
      <c r="D259" s="23">
        <v>0.67</v>
      </c>
      <c r="E259" s="23">
        <v>0.84</v>
      </c>
      <c r="F259" s="23">
        <v>1.9</v>
      </c>
      <c r="G259" s="23">
        <v>0.51</v>
      </c>
      <c r="H259" s="23">
        <v>1.3</v>
      </c>
      <c r="I259" s="23">
        <v>0.95</v>
      </c>
      <c r="J259" s="23">
        <v>0.77</v>
      </c>
      <c r="K259" s="23">
        <v>0.74</v>
      </c>
      <c r="L259" s="24">
        <f t="shared" si="7"/>
        <v>51</v>
      </c>
      <c r="M259" s="5" t="s">
        <v>8</v>
      </c>
    </row>
    <row r="260" spans="1:14" x14ac:dyDescent="0.25">
      <c r="A260" s="5" t="str">
        <f>'IAA digestibility'!A260</f>
        <v>Cornflakes (Kelloggs company)</v>
      </c>
      <c r="B260" s="5" t="str">
        <f>'IAA digestibility'!B260</f>
        <v xml:space="preserve">Cereals &amp; cereal products </v>
      </c>
      <c r="C260" s="23">
        <f>'Total and digestible IAA'!AH260/$C$2</f>
        <v>0.71017871017871026</v>
      </c>
      <c r="D260" s="23">
        <f>'Total and digestible IAA'!AI260/$D$2</f>
        <v>1.2095042735042734</v>
      </c>
      <c r="E260" s="23">
        <f>'Total and digestible IAA'!AJ260/$E$2</f>
        <v>1.2649572649572649</v>
      </c>
      <c r="F260" s="23">
        <f>'Total and digestible IAA'!AK260/$F$2</f>
        <v>2.4981925178646489</v>
      </c>
      <c r="G260" s="23">
        <f>'Total and digestible IAA'!AL260/$G$2</f>
        <v>0.19419515669515666</v>
      </c>
      <c r="H260" s="23">
        <f>'Total and digestible IAA'!AM260/$H$2</f>
        <v>1.5557785209959121</v>
      </c>
      <c r="I260" s="23">
        <f>'Total and digestible IAA'!AN260/$I$2</f>
        <v>2.3779862414008752</v>
      </c>
      <c r="J260" s="23">
        <f>'Total and digestible IAA'!AO260/$J$2</f>
        <v>1.1283760683760682</v>
      </c>
      <c r="K260" s="23">
        <f>'Total and digestible IAA'!AP260/$K$2</f>
        <v>1.5928418803418802</v>
      </c>
      <c r="L260" s="24">
        <f t="shared" si="7"/>
        <v>19.419515669515665</v>
      </c>
      <c r="M260" s="5" t="s">
        <v>8</v>
      </c>
    </row>
    <row r="261" spans="1:14" x14ac:dyDescent="0.25">
      <c r="A261" s="5" t="str">
        <f>'IAA digestibility'!A261</f>
        <v>Quick Oats</v>
      </c>
      <c r="B261" s="5" t="str">
        <f>'IAA digestibility'!B261</f>
        <v xml:space="preserve">Cereals &amp; cereal products </v>
      </c>
      <c r="C261" s="23">
        <f>'Total and digestible IAA'!AH261/$C$2</f>
        <v>1.3972557808997976</v>
      </c>
      <c r="D261" s="23">
        <f>'Total and digestible IAA'!AI261/$D$2</f>
        <v>1.0390138304269392</v>
      </c>
      <c r="E261" s="23">
        <f>'Total and digestible IAA'!AJ261/$E$2</f>
        <v>1.0948286229705351</v>
      </c>
      <c r="F261" s="23">
        <f>'Total and digestible IAA'!AK261/$F$2</f>
        <v>1.0334769279299705</v>
      </c>
      <c r="G261" s="23">
        <f>'Total and digestible IAA'!AL261/$G$2</f>
        <v>0.67341902184806568</v>
      </c>
      <c r="H261" s="23">
        <f>'Total and digestible IAA'!AM261/$H$2</f>
        <v>1.7748960757143979</v>
      </c>
      <c r="I261" s="23">
        <f>'Total and digestible IAA'!AN261/$I$2</f>
        <v>1.8385814645879468</v>
      </c>
      <c r="J261" s="23">
        <f>'Total and digestible IAA'!AO261/$J$2</f>
        <v>1.0718129885748646</v>
      </c>
      <c r="K261" s="23">
        <f>'Total and digestible IAA'!AP261/$K$2</f>
        <v>1.1838544798556823</v>
      </c>
      <c r="L261" s="24">
        <f t="shared" si="7"/>
        <v>67.341902184806571</v>
      </c>
      <c r="M261" s="5" t="s">
        <v>8</v>
      </c>
    </row>
    <row r="262" spans="1:14" x14ac:dyDescent="0.25">
      <c r="A262" s="5" t="str">
        <f>'IAA digestibility'!A262</f>
        <v>milk, dried, non fat</v>
      </c>
      <c r="B262" s="5" t="str">
        <f>'IAA digestibility'!B262</f>
        <v>Animal products</v>
      </c>
      <c r="C262" s="23">
        <f>'Total and digestible IAA'!AH262/$C$2</f>
        <v>2.1379980563654035</v>
      </c>
      <c r="D262" s="23">
        <f>'Total and digestible IAA'!AI262/$D$2</f>
        <v>1.6054110787172009</v>
      </c>
      <c r="E262" s="23">
        <f>'Total and digestible IAA'!AJ262/$E$2</f>
        <v>1.7244314868804664</v>
      </c>
      <c r="F262" s="23">
        <f>'Total and digestible IAA'!AK262/$F$2</f>
        <v>1.592830855995794</v>
      </c>
      <c r="G262" s="23">
        <f>'Total and digestible IAA'!AL262/$G$2</f>
        <v>1.643604227405248</v>
      </c>
      <c r="H262" s="23">
        <f>'Total and digestible IAA'!AM262/$H$2</f>
        <v>1.4380656610470275</v>
      </c>
      <c r="I262" s="23">
        <f>'Total and digestible IAA'!AN262/$I$2</f>
        <v>2.3760435184526769</v>
      </c>
      <c r="J262" s="23">
        <f>'Total and digestible IAA'!AO262/$J$2</f>
        <v>1.5489795918367346</v>
      </c>
      <c r="K262" s="23">
        <f>'Total and digestible IAA'!AP262/$K$2</f>
        <v>1.7551202623906703</v>
      </c>
      <c r="L262" s="24">
        <f t="shared" si="7"/>
        <v>143.80656610470274</v>
      </c>
      <c r="M262" s="5" t="s">
        <v>355</v>
      </c>
    </row>
    <row r="263" spans="1:14" x14ac:dyDescent="0.25">
      <c r="A263" s="5" t="str">
        <f>'IAA digestibility'!A263</f>
        <v>Cornflakes + dry milk (ratio of mix 2.6:1)</v>
      </c>
      <c r="B263" s="5" t="str">
        <f>'IAA digestibility'!B263</f>
        <v>Mixed food (cereal + animal product)</v>
      </c>
      <c r="C263" s="23">
        <v>1.67</v>
      </c>
      <c r="D263" s="23">
        <v>1.44</v>
      </c>
      <c r="E263" s="23">
        <v>1.53</v>
      </c>
      <c r="F263" s="23">
        <v>1.84</v>
      </c>
      <c r="G263" s="23">
        <v>1.19</v>
      </c>
      <c r="H263" s="23">
        <v>1.44</v>
      </c>
      <c r="I263" s="23">
        <v>2.35</v>
      </c>
      <c r="J263" s="23">
        <v>1.38</v>
      </c>
      <c r="K263" s="23">
        <v>1.68</v>
      </c>
      <c r="L263" s="24">
        <f t="shared" si="7"/>
        <v>119</v>
      </c>
      <c r="M263" s="5" t="s">
        <v>8</v>
      </c>
    </row>
    <row r="264" spans="1:14" x14ac:dyDescent="0.25">
      <c r="A264" s="5" t="str">
        <f>'IAA digestibility'!A264</f>
        <v>Quick oats + dry milk (ratio  of mix 2.4:1)</v>
      </c>
      <c r="B264" s="5" t="str">
        <f>'IAA digestibility'!B264</f>
        <v>Mixed food (cereal + animal product)</v>
      </c>
      <c r="C264" s="23">
        <v>1.76</v>
      </c>
      <c r="D264" s="23">
        <v>1.31</v>
      </c>
      <c r="E264" s="23">
        <v>1.4</v>
      </c>
      <c r="F264" s="23">
        <v>1.29</v>
      </c>
      <c r="G264" s="23">
        <v>1.1299999999999999</v>
      </c>
      <c r="H264" s="23">
        <v>1.63</v>
      </c>
      <c r="I264" s="23">
        <v>2.08</v>
      </c>
      <c r="J264" s="23">
        <v>1.3</v>
      </c>
      <c r="K264" s="23">
        <v>1.45</v>
      </c>
      <c r="L264" s="24">
        <f t="shared" si="7"/>
        <v>112.99999999999999</v>
      </c>
      <c r="M264" s="5" t="s">
        <v>8</v>
      </c>
    </row>
    <row r="265" spans="1:14" x14ac:dyDescent="0.25">
      <c r="A265" s="5" t="str">
        <f>'IAA digestibility'!A265</f>
        <v>Pinto bean (served with corn tortilla and guacamole)</v>
      </c>
      <c r="B265" s="5" t="str">
        <f>'IAA digestibility'!B265</f>
        <v>Legumes &amp; oilseeds</v>
      </c>
      <c r="C265" s="23"/>
      <c r="D265" s="23">
        <f>'Total and digestible IAA'!AI265/$D$2</f>
        <v>1.28</v>
      </c>
      <c r="E265" s="23">
        <f>'Total and digestible IAA'!AJ265/$E$2</f>
        <v>1.1099999999999999</v>
      </c>
      <c r="F265" s="23">
        <f>'Total and digestible IAA'!AK265/$F$2</f>
        <v>1.2180327868852459</v>
      </c>
      <c r="G265" s="23">
        <f>'Total and digestible IAA'!AL265/$G$2</f>
        <v>1.1020833333333333</v>
      </c>
      <c r="H265" s="23">
        <f>'Total and digestible IAA'!AM265/$H$2</f>
        <v>0.83043478260869574</v>
      </c>
      <c r="I265" s="23">
        <f>'Total and digestible IAA'!AN265/$I$2</f>
        <v>1.3463414634146342</v>
      </c>
      <c r="J265" s="23">
        <f>'Total and digestible IAA'!AO265/$J$2</f>
        <v>0.97249999999999992</v>
      </c>
      <c r="K265" s="23"/>
      <c r="L265" s="24">
        <f t="shared" si="7"/>
        <v>83.043478260869577</v>
      </c>
      <c r="M265" s="5" t="s">
        <v>355</v>
      </c>
      <c r="N265" s="5" t="s">
        <v>444</v>
      </c>
    </row>
    <row r="266" spans="1:14" x14ac:dyDescent="0.25">
      <c r="A266" s="5" t="str">
        <f>'IAA digestibility'!A266</f>
        <v>Salami (fully coked, cured and fermented), includes pok and pork hearts</v>
      </c>
      <c r="B266" s="5" t="str">
        <f>'IAA digestibility'!B266</f>
        <v>Animal products</v>
      </c>
      <c r="C266" s="23">
        <f>'Total and digestible IAA'!AH266/$C$2</f>
        <v>1.706763182173018</v>
      </c>
      <c r="D266" s="23">
        <f>'Total and digestible IAA'!AI266/$D$2</f>
        <v>1.5512880562060889</v>
      </c>
      <c r="E266" s="23">
        <f>'Total and digestible IAA'!AJ266/$E$2</f>
        <v>1.4739266198282592</v>
      </c>
      <c r="F266" s="23">
        <f>'Total and digestible IAA'!AK266/$F$2</f>
        <v>1.2003301723806965</v>
      </c>
      <c r="G266" s="23">
        <f>'Total and digestible IAA'!AL266/$G$2</f>
        <v>1.5739900468384072</v>
      </c>
      <c r="H266" s="23">
        <f>'Total and digestible IAA'!AM266/$H$2</f>
        <v>1.270568170247429</v>
      </c>
      <c r="I266" s="23">
        <f>'Total and digestible IAA'!AN266/$I$2</f>
        <v>1.7618095618895298</v>
      </c>
      <c r="J266" s="23">
        <f>'Total and digestible IAA'!AO266/$J$2</f>
        <v>1.2046545667447306</v>
      </c>
      <c r="K266" s="23">
        <f>'Total and digestible IAA'!AP266/$K$2</f>
        <v>1.9528688524590161</v>
      </c>
      <c r="L266" s="24">
        <f t="shared" si="7"/>
        <v>120.03301723806965</v>
      </c>
      <c r="M266" s="5" t="s">
        <v>535</v>
      </c>
    </row>
    <row r="267" spans="1:14" x14ac:dyDescent="0.25">
      <c r="A267" s="5" t="str">
        <f>'IAA digestibility'!A267</f>
        <v>Bologna (fully cooked and cured), includes pork and beef</v>
      </c>
      <c r="B267" s="5" t="str">
        <f>'IAA digestibility'!B267</f>
        <v>Animal products</v>
      </c>
      <c r="C267" s="23">
        <f>'Total and digestible IAA'!AH267/$C$2</f>
        <v>2.2380553227158426</v>
      </c>
      <c r="D267" s="23">
        <f>'Total and digestible IAA'!AI267/$D$2</f>
        <v>1.7182229673093046</v>
      </c>
      <c r="E267" s="23">
        <f>'Total and digestible IAA'!AJ267/$E$2</f>
        <v>1.6177703269069574</v>
      </c>
      <c r="F267" s="23">
        <f>'Total and digestible IAA'!AK267/$F$2</f>
        <v>1.288925837879433</v>
      </c>
      <c r="G267" s="23">
        <f>'Total and digestible IAA'!AL267/$G$2</f>
        <v>1.7411288069293098</v>
      </c>
      <c r="H267" s="23">
        <f>'Total and digestible IAA'!AM267/$H$2</f>
        <v>1.4092714749079778</v>
      </c>
      <c r="I267" s="23">
        <f>'Total and digestible IAA'!AN267/$I$2</f>
        <v>1.9637110788542926</v>
      </c>
      <c r="J267" s="23">
        <f>'Total and digestible IAA'!AO267/$J$2</f>
        <v>1.303541492036882</v>
      </c>
      <c r="K267" s="23">
        <f>'Total and digestible IAA'!AP267/$K$2</f>
        <v>2.335184409052808</v>
      </c>
      <c r="L267" s="24">
        <f t="shared" si="7"/>
        <v>128.89258378794329</v>
      </c>
      <c r="M267" s="5" t="s">
        <v>526</v>
      </c>
    </row>
    <row r="268" spans="1:14" x14ac:dyDescent="0.25">
      <c r="A268" s="5" t="str">
        <f>'IAA digestibility'!A268</f>
        <v xml:space="preserve">Beef jerky </v>
      </c>
      <c r="B268" s="5" t="str">
        <f>'IAA digestibility'!B268</f>
        <v>Animal products</v>
      </c>
      <c r="C268" s="23">
        <f>'Total and digestible IAA'!AH268/$C$2</f>
        <v>2.0132661035239834</v>
      </c>
      <c r="D268" s="23">
        <f>'Total and digestible IAA'!AI268/$D$2</f>
        <v>1.6932460090053212</v>
      </c>
      <c r="E268" s="23">
        <f>'Total and digestible IAA'!AJ268/$E$2</f>
        <v>1.675658343566653</v>
      </c>
      <c r="F268" s="23">
        <f>'Total and digestible IAA'!AK268/$F$2</f>
        <v>1.3142803459868611</v>
      </c>
      <c r="G268" s="23">
        <f>'Total and digestible IAA'!AL268/$G$2</f>
        <v>1.7880167826442896</v>
      </c>
      <c r="H268" s="23">
        <f>'Total and digestible IAA'!AM268/$H$2</f>
        <v>1.2008311235295164</v>
      </c>
      <c r="I268" s="23">
        <f>'Total and digestible IAA'!AN268/$I$2</f>
        <v>1.9801723191198342</v>
      </c>
      <c r="J268" s="23">
        <f>'Total and digestible IAA'!AO268/$J$2</f>
        <v>1.2627097830536225</v>
      </c>
      <c r="K268" s="23">
        <f>'Total and digestible IAA'!AP268/$K$2</f>
        <v>2.3896080638559152</v>
      </c>
      <c r="L268" s="24">
        <f t="shared" si="7"/>
        <v>120.08311235295164</v>
      </c>
      <c r="M268" s="5" t="s">
        <v>355</v>
      </c>
    </row>
    <row r="269" spans="1:14" x14ac:dyDescent="0.25">
      <c r="A269" s="5" t="str">
        <f>'IAA digestibility'!A269</f>
        <v>Beef, ground, raw</v>
      </c>
      <c r="B269" s="5" t="str">
        <f>'IAA digestibility'!B269</f>
        <v>Animal products</v>
      </c>
      <c r="C269" s="23">
        <f>'Total and digestible IAA'!AH269/$C$2</f>
        <v>1.3966835667553503</v>
      </c>
      <c r="D269" s="23">
        <f>'Total and digestible IAA'!AI269/$D$2</f>
        <v>1.6350082827167314</v>
      </c>
      <c r="E269" s="23">
        <f>'Total and digestible IAA'!AJ269/$E$2</f>
        <v>1.5090005521811152</v>
      </c>
      <c r="F269" s="23">
        <f>'Total and digestible IAA'!AK269/$F$2</f>
        <v>1.2126259380289848</v>
      </c>
      <c r="G269" s="23">
        <f>'Total and digestible IAA'!AL269/$G$2</f>
        <v>1.6979569298729986</v>
      </c>
      <c r="H269" s="23">
        <f>'Total and digestible IAA'!AM269/$H$2</f>
        <v>1.5164573980265528</v>
      </c>
      <c r="I269" s="23">
        <f>'Total and digestible IAA'!AN269/$I$2</f>
        <v>1.8434768555305654</v>
      </c>
      <c r="J269" s="23">
        <f>'Total and digestible IAA'!AO269/$J$2</f>
        <v>1.2101049144119271</v>
      </c>
      <c r="K269" s="23">
        <f>'Total and digestible IAA'!AP269/$K$2</f>
        <v>1.9435394809497515</v>
      </c>
      <c r="L269" s="24">
        <f t="shared" si="7"/>
        <v>121.01049144119271</v>
      </c>
      <c r="M269" s="5" t="s">
        <v>535</v>
      </c>
    </row>
    <row r="270" spans="1:14" x14ac:dyDescent="0.25">
      <c r="A270" s="5" t="str">
        <f>'IAA digestibility'!A270</f>
        <v>Beef, ground, cooked</v>
      </c>
      <c r="B270" s="5" t="str">
        <f>'IAA digestibility'!B270</f>
        <v>Animal products</v>
      </c>
      <c r="C270" s="23">
        <f>'Total and digestible IAA'!AH270/$C$2</f>
        <v>1.5000793273044581</v>
      </c>
      <c r="D270" s="23">
        <f>'Total and digestible IAA'!AI270/$D$2</f>
        <v>1.302329842931937</v>
      </c>
      <c r="E270" s="23">
        <f>'Total and digestible IAA'!AJ270/$E$2</f>
        <v>1.2184554973821988</v>
      </c>
      <c r="F270" s="23">
        <f>'Total and digestible IAA'!AK270/$F$2</f>
        <v>0.99385245901639341</v>
      </c>
      <c r="G270" s="23">
        <f>'Total and digestible IAA'!AL270/$G$2</f>
        <v>1.3772087696335076</v>
      </c>
      <c r="H270" s="23">
        <f>'Total and digestible IAA'!AM270/$H$2</f>
        <v>1.1386723195993624</v>
      </c>
      <c r="I270" s="23">
        <f>'Total and digestible IAA'!AN270/$I$2</f>
        <v>1.5287239816115437</v>
      </c>
      <c r="J270" s="23">
        <f>'Total and digestible IAA'!AO270/$J$2</f>
        <v>1.0025768979057592</v>
      </c>
      <c r="K270" s="23">
        <f>'Total and digestible IAA'!AP270/$K$2</f>
        <v>1.5180791884816753</v>
      </c>
      <c r="L270" s="24">
        <f t="shared" si="7"/>
        <v>99.385245901639337</v>
      </c>
      <c r="M270" s="5" t="s">
        <v>526</v>
      </c>
    </row>
    <row r="271" spans="1:14" x14ac:dyDescent="0.25">
      <c r="A271" s="5" t="str">
        <f>'IAA digestibility'!A271</f>
        <v>ribeye roast, medium rare (cooked to 56oC)</v>
      </c>
      <c r="B271" s="5" t="str">
        <f>'IAA digestibility'!B271</f>
        <v>Animal products</v>
      </c>
      <c r="C271" s="23">
        <f>'Total and digestible IAA'!AH271/$C$2</f>
        <v>1.6882762046696473</v>
      </c>
      <c r="D271" s="23">
        <f>'Total and digestible IAA'!AI271/$D$2</f>
        <v>1.5059836065573771</v>
      </c>
      <c r="E271" s="23">
        <f>'Total and digestible IAA'!AJ271/$E$2</f>
        <v>1.4311475409836067</v>
      </c>
      <c r="F271" s="23">
        <f>'Total and digestible IAA'!AK271/$F$2</f>
        <v>1.142152647137866</v>
      </c>
      <c r="G271" s="23">
        <f>'Total and digestible IAA'!AL271/$G$2</f>
        <v>1.6183230874316938</v>
      </c>
      <c r="H271" s="23">
        <f>'Total and digestible IAA'!AM271/$H$2</f>
        <v>1.3391482537419814</v>
      </c>
      <c r="I271" s="23">
        <f>'Total and digestible IAA'!AN271/$I$2</f>
        <v>1.7836865253898444</v>
      </c>
      <c r="J271" s="23">
        <f>'Total and digestible IAA'!AO271/$J$2</f>
        <v>1.111967213114754</v>
      </c>
      <c r="K271" s="23">
        <f>'Total and digestible IAA'!AP271/$K$2</f>
        <v>1.8692366803278688</v>
      </c>
      <c r="L271" s="24">
        <f t="shared" ref="L271:L292" si="8">MIN(C271:K271)*100</f>
        <v>111.1967213114754</v>
      </c>
      <c r="M271" s="5" t="s">
        <v>535</v>
      </c>
    </row>
    <row r="272" spans="1:14" x14ac:dyDescent="0.25">
      <c r="A272" s="5" t="str">
        <f>'IAA digestibility'!A272</f>
        <v>ribeye roast, medium (cooked to 64oC)</v>
      </c>
      <c r="B272" s="5" t="str">
        <f>'IAA digestibility'!B272</f>
        <v>Animal products</v>
      </c>
      <c r="C272" s="23">
        <f>'Total and digestible IAA'!AH272/$C$2</f>
        <v>1.794095382286147</v>
      </c>
      <c r="D272" s="23">
        <f>'Total and digestible IAA'!AI272/$D$2</f>
        <v>1.7381074943224828</v>
      </c>
      <c r="E272" s="23">
        <f>'Total and digestible IAA'!AJ272/$E$2</f>
        <v>1.7077971233913702</v>
      </c>
      <c r="F272" s="23">
        <f>'Total and digestible IAA'!AK272/$F$2</f>
        <v>1.3356994825082837</v>
      </c>
      <c r="G272" s="23">
        <f>'Total and digestible IAA'!AL272/$G$2</f>
        <v>1.8717433131466061</v>
      </c>
      <c r="H272" s="23">
        <f>'Total and digestible IAA'!AM272/$H$2</f>
        <v>1.6242964815850969</v>
      </c>
      <c r="I272" s="23">
        <f>'Total and digestible IAA'!AN272/$I$2</f>
        <v>2.026282749579956</v>
      </c>
      <c r="J272" s="23">
        <f>'Total and digestible IAA'!AO272/$J$2</f>
        <v>1.2993470855412566</v>
      </c>
      <c r="K272" s="23">
        <f>'Total and digestible IAA'!AP272/$K$2</f>
        <v>2.1098362982588954</v>
      </c>
      <c r="L272" s="24">
        <f t="shared" si="8"/>
        <v>129.93470855412565</v>
      </c>
      <c r="M272" s="5" t="s">
        <v>535</v>
      </c>
    </row>
    <row r="273" spans="1:14" x14ac:dyDescent="0.25">
      <c r="A273" s="5" t="str">
        <f>'IAA digestibility'!A273</f>
        <v>ribeye roast, well-done (ccoked to 72oC)</v>
      </c>
      <c r="B273" s="5" t="str">
        <f>'IAA digestibility'!B273</f>
        <v>Animal products</v>
      </c>
      <c r="C273" s="23">
        <f>'Total and digestible IAA'!AH273/$C$2</f>
        <v>1.4695873850803431</v>
      </c>
      <c r="D273" s="23">
        <f>'Total and digestible IAA'!AI273/$D$2</f>
        <v>1.4105824133993148</v>
      </c>
      <c r="E273" s="23">
        <f>'Total and digestible IAA'!AJ273/$E$2</f>
        <v>1.3605633802816901</v>
      </c>
      <c r="F273" s="23">
        <f>'Total and digestible IAA'!AK273/$F$2</f>
        <v>1.0675519666514819</v>
      </c>
      <c r="G273" s="23">
        <f>'Total and digestible IAA'!AL273/$G$2</f>
        <v>1.495408260373049</v>
      </c>
      <c r="H273" s="23">
        <f>'Total and digestible IAA'!AM273/$H$2</f>
        <v>1.2681021499147647</v>
      </c>
      <c r="I273" s="23">
        <f>'Total and digestible IAA'!AN273/$I$2</f>
        <v>1.6670040015969247</v>
      </c>
      <c r="J273" s="23">
        <f>'Total and digestible IAA'!AO273/$J$2</f>
        <v>1.0652835934526075</v>
      </c>
      <c r="K273" s="23">
        <f>'Total and digestible IAA'!AP273/$K$2</f>
        <v>1.6954225352112677</v>
      </c>
      <c r="L273" s="24">
        <f t="shared" si="8"/>
        <v>106.52835934526075</v>
      </c>
      <c r="M273" s="5" t="s">
        <v>535</v>
      </c>
    </row>
    <row r="274" spans="1:14" x14ac:dyDescent="0.25">
      <c r="A274" s="5" t="str">
        <f>'IAA digestibility'!A274</f>
        <v>pork belly, raw</v>
      </c>
      <c r="B274" s="5" t="str">
        <f>'IAA digestibility'!B274</f>
        <v>Animal products</v>
      </c>
      <c r="C274" s="23">
        <f>'Total and digestible IAA'!AH274/$C$2</f>
        <v>1.4580801944106927</v>
      </c>
      <c r="D274" s="23">
        <f>'Total and digestible IAA'!AI274/$D$2</f>
        <v>1.7349696233292828</v>
      </c>
      <c r="E274" s="23">
        <f>'Total and digestible IAA'!AJ274/$E$2</f>
        <v>1.5250303766707169</v>
      </c>
      <c r="F274" s="23">
        <f>'Total and digestible IAA'!AK274/$F$2</f>
        <v>1.220046610760313</v>
      </c>
      <c r="G274" s="23">
        <f>'Total and digestible IAA'!AL274/$G$2</f>
        <v>1.757859963547995</v>
      </c>
      <c r="H274" s="23">
        <f>'Total and digestible IAA'!AM274/$H$2</f>
        <v>1.5519573141740188</v>
      </c>
      <c r="I274" s="23">
        <f>'Total and digestible IAA'!AN274/$I$2</f>
        <v>1.9855377411611295</v>
      </c>
      <c r="J274" s="23">
        <f>'Total and digestible IAA'!AO274/$J$2</f>
        <v>1.1786148238153098</v>
      </c>
      <c r="K274" s="23">
        <f>'Total and digestible IAA'!AP274/$K$2</f>
        <v>2.2066752733900366</v>
      </c>
      <c r="L274" s="24">
        <f t="shared" si="8"/>
        <v>117.86148238153098</v>
      </c>
      <c r="M274" s="5" t="s">
        <v>535</v>
      </c>
    </row>
    <row r="275" spans="1:14" x14ac:dyDescent="0.25">
      <c r="A275" s="5" t="str">
        <f>'IAA digestibility'!A275</f>
        <v>Bacon, smoked</v>
      </c>
      <c r="B275" s="5" t="str">
        <f>'IAA digestibility'!B275</f>
        <v>Animal products</v>
      </c>
      <c r="C275" s="23">
        <f>'Total and digestible IAA'!AH275/$C$2</f>
        <v>1.8457156420602896</v>
      </c>
      <c r="D275" s="23">
        <f>'Total and digestible IAA'!AI275/$D$2</f>
        <v>1.6608668407310705</v>
      </c>
      <c r="E275" s="23">
        <f>'Total and digestible IAA'!AJ275/$E$2</f>
        <v>1.4796866840731071</v>
      </c>
      <c r="F275" s="23">
        <f>'Total and digestible IAA'!AK275/$F$2</f>
        <v>1.2015580190900141</v>
      </c>
      <c r="G275" s="23">
        <f>'Total and digestible IAA'!AL275/$G$2</f>
        <v>1.7024804177545692</v>
      </c>
      <c r="H275" s="23">
        <f>'Total and digestible IAA'!AM275/$H$2</f>
        <v>1.2853445339993188</v>
      </c>
      <c r="I275" s="23">
        <f>'Total and digestible IAA'!AN275/$I$2</f>
        <v>1.9559574603578931</v>
      </c>
      <c r="J275" s="23">
        <f>'Total and digestible IAA'!AO275/$J$2</f>
        <v>1.1707049608355091</v>
      </c>
      <c r="K275" s="23">
        <f>'Total and digestible IAA'!AP275/$K$2</f>
        <v>2.398563968668407</v>
      </c>
      <c r="L275" s="24">
        <f t="shared" si="8"/>
        <v>117.07049608355091</v>
      </c>
      <c r="M275" s="5" t="s">
        <v>535</v>
      </c>
    </row>
    <row r="276" spans="1:14" x14ac:dyDescent="0.25">
      <c r="A276" s="5" t="str">
        <f>'IAA digestibility'!A276</f>
        <v>Bacon, smoked, cooked</v>
      </c>
      <c r="B276" s="5" t="str">
        <f>'IAA digestibility'!B276</f>
        <v>Animal products</v>
      </c>
      <c r="C276" s="23">
        <f>'Total and digestible IAA'!AH276/$C$2</f>
        <v>1.6144154702607676</v>
      </c>
      <c r="D276" s="23">
        <f>'Total and digestible IAA'!AI276/$D$2</f>
        <v>1.9760679753882215</v>
      </c>
      <c r="E276" s="23">
        <f>'Total and digestible IAA'!AJ276/$E$2</f>
        <v>1.7551225705635314</v>
      </c>
      <c r="F276" s="23">
        <f>'Total and digestible IAA'!AK276/$F$2</f>
        <v>1.436887887681142</v>
      </c>
      <c r="G276" s="23">
        <f>'Total and digestible IAA'!AL276/$G$2</f>
        <v>1.9832991503076471</v>
      </c>
      <c r="H276" s="23">
        <f>'Total and digestible IAA'!AM276/$H$2</f>
        <v>1.4953056726837284</v>
      </c>
      <c r="I276" s="23">
        <f>'Total and digestible IAA'!AN276/$I$2</f>
        <v>2.2488405165329119</v>
      </c>
      <c r="J276" s="23">
        <f>'Total and digestible IAA'!AO276/$J$2</f>
        <v>1.4185613829475534</v>
      </c>
      <c r="K276" s="23">
        <f>'Total and digestible IAA'!AP276/$K$2</f>
        <v>2.6213741576325806</v>
      </c>
      <c r="L276" s="24">
        <f t="shared" si="8"/>
        <v>141.85613829475534</v>
      </c>
      <c r="M276" s="5" t="s">
        <v>535</v>
      </c>
    </row>
    <row r="277" spans="1:14" x14ac:dyDescent="0.25">
      <c r="A277" s="5" t="str">
        <f>'IAA digestibility'!A277</f>
        <v>Ham, non-cured</v>
      </c>
      <c r="B277" s="5" t="str">
        <f>'IAA digestibility'!B277</f>
        <v>Animal products</v>
      </c>
      <c r="C277" s="23">
        <f>'Total and digestible IAA'!AH277/$C$2</f>
        <v>1.8615471048843011</v>
      </c>
      <c r="D277" s="23">
        <f>'Total and digestible IAA'!AI277/$D$2</f>
        <v>1.7635225955967553</v>
      </c>
      <c r="E277" s="23">
        <f>'Total and digestible IAA'!AJ277/$E$2</f>
        <v>1.6230301274623402</v>
      </c>
      <c r="F277" s="23">
        <f>'Total and digestible IAA'!AK277/$F$2</f>
        <v>1.319092756871759</v>
      </c>
      <c r="G277" s="23">
        <f>'Total and digestible IAA'!AL277/$G$2</f>
        <v>1.8713064889918887</v>
      </c>
      <c r="H277" s="23">
        <f>'Total and digestible IAA'!AM277/$H$2</f>
        <v>1.5853317547483499</v>
      </c>
      <c r="I277" s="23">
        <f>'Total and digestible IAA'!AN277/$I$2</f>
        <v>2.1137057343922225</v>
      </c>
      <c r="J277" s="23">
        <f>'Total and digestible IAA'!AO277/$J$2</f>
        <v>1.2339513325608342</v>
      </c>
      <c r="K277" s="23">
        <f>'Total and digestible IAA'!AP277/$K$2</f>
        <v>2.333647161066049</v>
      </c>
      <c r="L277" s="24">
        <f t="shared" si="8"/>
        <v>123.39513325608343</v>
      </c>
      <c r="M277" s="5" t="s">
        <v>535</v>
      </c>
    </row>
    <row r="278" spans="1:14" x14ac:dyDescent="0.25">
      <c r="A278" s="5" t="str">
        <f>'IAA digestibility'!A278</f>
        <v>Ham, cured with celery/salt (no nitrite)</v>
      </c>
      <c r="B278" s="5" t="str">
        <f>'IAA digestibility'!B278</f>
        <v>Animal products</v>
      </c>
      <c r="C278" s="23">
        <f>'Total and digestible IAA'!AH278/$C$2</f>
        <v>2.0034854126703525</v>
      </c>
      <c r="D278" s="23">
        <f>'Total and digestible IAA'!AI278/$D$2</f>
        <v>1.8646421183285065</v>
      </c>
      <c r="E278" s="23">
        <f>'Total and digestible IAA'!AJ278/$E$2</f>
        <v>1.7283133360915737</v>
      </c>
      <c r="F278" s="23">
        <f>'Total and digestible IAA'!AK278/$F$2</f>
        <v>1.3933273194652631</v>
      </c>
      <c r="G278" s="23">
        <f>'Total and digestible IAA'!AL278/$G$2</f>
        <v>1.9417321748724312</v>
      </c>
      <c r="H278" s="23">
        <f>'Total and digestible IAA'!AM278/$H$2</f>
        <v>1.5643539421848858</v>
      </c>
      <c r="I278" s="23">
        <f>'Total and digestible IAA'!AN278/$I$2</f>
        <v>2.2279988294297506</v>
      </c>
      <c r="J278" s="23">
        <f>'Total and digestible IAA'!AO278/$J$2</f>
        <v>1.322258998758792</v>
      </c>
      <c r="K278" s="23">
        <f>'Total and digestible IAA'!AP278/$K$2</f>
        <v>2.5793856019859329</v>
      </c>
      <c r="L278" s="24">
        <f t="shared" si="8"/>
        <v>132.22589987587921</v>
      </c>
      <c r="M278" s="5" t="s">
        <v>535</v>
      </c>
    </row>
    <row r="279" spans="1:14" x14ac:dyDescent="0.25">
      <c r="A279" s="5" t="str">
        <f>'IAA digestibility'!A279</f>
        <v xml:space="preserve">Ham, cured </v>
      </c>
      <c r="B279" s="5" t="str">
        <f>'IAA digestibility'!B279</f>
        <v>Animal products</v>
      </c>
      <c r="C279" s="23">
        <f>'Total and digestible IAA'!AH279/$C$2</f>
        <v>1.8736545785726113</v>
      </c>
      <c r="D279" s="23">
        <f>'Total and digestible IAA'!AI279/$D$2</f>
        <v>1.7722236233711643</v>
      </c>
      <c r="E279" s="23">
        <f>'Total and digestible IAA'!AJ279/$E$2</f>
        <v>1.6462239036009525</v>
      </c>
      <c r="F279" s="23">
        <f>'Total and digestible IAA'!AK279/$F$2</f>
        <v>1.3222114264844713</v>
      </c>
      <c r="G279" s="23">
        <f>'Total and digestible IAA'!AL279/$G$2</f>
        <v>1.8585014712063892</v>
      </c>
      <c r="H279" s="23">
        <f>'Total and digestible IAA'!AM279/$H$2</f>
        <v>1.4558546703949411</v>
      </c>
      <c r="I279" s="23">
        <f>'Total and digestible IAA'!AN279/$I$2</f>
        <v>2.1424558381775496</v>
      </c>
      <c r="J279" s="23">
        <f>'Total and digestible IAA'!AO279/$J$2</f>
        <v>1.2522488440521227</v>
      </c>
      <c r="K279" s="23">
        <f>'Total and digestible IAA'!AP279/$K$2</f>
        <v>2.5168137873055905</v>
      </c>
      <c r="L279" s="24">
        <f t="shared" si="8"/>
        <v>125.22488440521226</v>
      </c>
      <c r="M279" s="5" t="s">
        <v>535</v>
      </c>
    </row>
    <row r="280" spans="1:14" x14ac:dyDescent="0.25">
      <c r="A280" s="5" t="str">
        <f>'IAA digestibility'!A280</f>
        <v>pork loin, medium (cooked to 63oC)</v>
      </c>
      <c r="B280" s="5" t="str">
        <f>'IAA digestibility'!B280</f>
        <v>Animal products</v>
      </c>
      <c r="C280" s="23">
        <f>'Total and digestible IAA'!AH280/$C$2</f>
        <v>2.2389651005757338</v>
      </c>
      <c r="D280" s="23">
        <f>'Total and digestible IAA'!AI280/$D$2</f>
        <v>2.0010946051602816</v>
      </c>
      <c r="E280" s="23">
        <f>'Total and digestible IAA'!AJ280/$E$2</f>
        <v>1.8370211102423766</v>
      </c>
      <c r="F280" s="23">
        <f>'Total and digestible IAA'!AK280/$F$2</f>
        <v>1.4780694446224634</v>
      </c>
      <c r="G280" s="23">
        <f>'Total and digestible IAA'!AL280/$G$2</f>
        <v>2.1021468595256709</v>
      </c>
      <c r="H280" s="23">
        <f>'Total and digestible IAA'!AM280/$H$2</f>
        <v>1.8014923343644833</v>
      </c>
      <c r="I280" s="23">
        <f>'Total and digestible IAA'!AN280/$I$2</f>
        <v>2.3882225061500026</v>
      </c>
      <c r="J280" s="23">
        <f>'Total and digestible IAA'!AO280/$J$2</f>
        <v>1.3897576231430804</v>
      </c>
      <c r="K280" s="23">
        <f>'Total and digestible IAA'!AP280/$K$2</f>
        <v>2.7328967943706015</v>
      </c>
      <c r="L280" s="24">
        <f t="shared" si="8"/>
        <v>138.97576231430804</v>
      </c>
      <c r="M280" s="5" t="s">
        <v>535</v>
      </c>
    </row>
    <row r="281" spans="1:14" x14ac:dyDescent="0.25">
      <c r="A281" s="5" t="str">
        <f>'IAA digestibility'!A281</f>
        <v>pork loin, medium-well (cooked to 68oC)</v>
      </c>
      <c r="B281" s="5" t="str">
        <f>'IAA digestibility'!B281</f>
        <v>Animal products</v>
      </c>
      <c r="C281" s="23">
        <f>'Total and digestible IAA'!AH281/$C$2</f>
        <v>1.8735638955988922</v>
      </c>
      <c r="D281" s="23">
        <f>'Total and digestible IAA'!AI281/$D$2</f>
        <v>1.685236552171095</v>
      </c>
      <c r="E281" s="23">
        <f>'Total and digestible IAA'!AJ281/$E$2</f>
        <v>1.5505508749189889</v>
      </c>
      <c r="F281" s="23">
        <f>'Total and digestible IAA'!AK281/$F$2</f>
        <v>1.2379864645198302</v>
      </c>
      <c r="G281" s="23">
        <f>'Total and digestible IAA'!AL281/$G$2</f>
        <v>1.7669650572477853</v>
      </c>
      <c r="H281" s="23">
        <f>'Total and digestible IAA'!AM281/$H$2</f>
        <v>1.5297275212037533</v>
      </c>
      <c r="I281" s="23">
        <f>'Total and digestible IAA'!AN281/$I$2</f>
        <v>2.054636991606468</v>
      </c>
      <c r="J281" s="23">
        <f>'Total and digestible IAA'!AO281/$J$2</f>
        <v>1.1750162022034998</v>
      </c>
      <c r="K281" s="23">
        <f>'Total and digestible IAA'!AP281/$K$2</f>
        <v>2.4353937135450421</v>
      </c>
      <c r="L281" s="24">
        <f t="shared" si="8"/>
        <v>117.50162022034998</v>
      </c>
      <c r="M281" s="5" t="s">
        <v>535</v>
      </c>
    </row>
    <row r="282" spans="1:14" x14ac:dyDescent="0.25">
      <c r="A282" s="5" t="str">
        <f>'IAA digestibility'!A282</f>
        <v>pork loin, well-done (cooked to 72oC)</v>
      </c>
      <c r="B282" s="5" t="str">
        <f>'IAA digestibility'!B282</f>
        <v>Animal products</v>
      </c>
      <c r="C282" s="23">
        <f>'Total and digestible IAA'!AH282/$C$2</f>
        <v>1.9039039039039041</v>
      </c>
      <c r="D282" s="23">
        <f>'Total and digestible IAA'!AI282/$D$2</f>
        <v>1.6977777777777776</v>
      </c>
      <c r="E282" s="23">
        <f>'Total and digestible IAA'!AJ282/$E$2</f>
        <v>1.5663663663663663</v>
      </c>
      <c r="F282" s="23">
        <f>'Total and digestible IAA'!AK282/$F$2</f>
        <v>1.2541722049918773</v>
      </c>
      <c r="G282" s="23">
        <f>'Total and digestible IAA'!AL282/$G$2</f>
        <v>1.7915165165165163</v>
      </c>
      <c r="H282" s="23">
        <f>'Total and digestible IAA'!AM282/$H$2</f>
        <v>1.5208773991382685</v>
      </c>
      <c r="I282" s="23">
        <f>'Total and digestible IAA'!AN282/$I$2</f>
        <v>2.0136087306819013</v>
      </c>
      <c r="J282" s="23">
        <f>'Total and digestible IAA'!AO282/$J$2</f>
        <v>1.1755630630630631</v>
      </c>
      <c r="K282" s="23">
        <f>'Total and digestible IAA'!AP282/$K$2</f>
        <v>2.2859046546546549</v>
      </c>
      <c r="L282" s="24">
        <f t="shared" si="8"/>
        <v>117.55630630630631</v>
      </c>
      <c r="M282" s="5" t="s">
        <v>535</v>
      </c>
    </row>
    <row r="283" spans="1:14" x14ac:dyDescent="0.25">
      <c r="A283" s="5" t="str">
        <f>'IAA digestibility'!A283</f>
        <v>Chickpea, extruded</v>
      </c>
      <c r="B283" s="5" t="str">
        <f>'IAA digestibility'!B283</f>
        <v>Legumes &amp; oilseeds</v>
      </c>
      <c r="C283" s="23"/>
      <c r="D283" s="23">
        <f>'Total and digestible IAA'!AI283/$D$2</f>
        <v>1.4631605143094151</v>
      </c>
      <c r="E283" s="23">
        <f>'Total and digestible IAA'!AJ283/$E$2</f>
        <v>1.2244020461772431</v>
      </c>
      <c r="F283" s="23">
        <f>'Total and digestible IAA'!AK283/$F$2</f>
        <v>0.9109885701463919</v>
      </c>
      <c r="G283" s="23">
        <f>'Total and digestible IAA'!AL283/$G$2</f>
        <v>0.98548320199087536</v>
      </c>
      <c r="H283" s="23"/>
      <c r="I283" s="23">
        <f>'Total and digestible IAA'!AN283/$I$2</f>
        <v>1.5202678779172696</v>
      </c>
      <c r="J283" s="23">
        <f>'Total and digestible IAA'!AO283/$J$2</f>
        <v>0.90019701368726679</v>
      </c>
      <c r="K283" s="23"/>
      <c r="L283" s="24">
        <f t="shared" si="8"/>
        <v>90.019701368726686</v>
      </c>
      <c r="M283" s="5" t="s">
        <v>535</v>
      </c>
      <c r="N283" s="5" t="s">
        <v>507</v>
      </c>
    </row>
    <row r="284" spans="1:14" x14ac:dyDescent="0.25">
      <c r="A284" s="5" t="str">
        <f>'IAA digestibility'!A284</f>
        <v xml:space="preserve">Yellow pea, extruded </v>
      </c>
      <c r="B284" s="5" t="str">
        <f>'IAA digestibility'!B284</f>
        <v>Legumes &amp; oilseeds</v>
      </c>
      <c r="C284" s="23"/>
      <c r="D284" s="23">
        <f>'Total and digestible IAA'!AI284/$D$2</f>
        <v>1.4420000000000002</v>
      </c>
      <c r="E284" s="23">
        <f>'Total and digestible IAA'!AJ284/$E$2</f>
        <v>1.2473913043478262</v>
      </c>
      <c r="F284" s="23">
        <f>'Total and digestible IAA'!AK284/$F$2</f>
        <v>0.97252316464718458</v>
      </c>
      <c r="G284" s="23">
        <f>'Total and digestible IAA'!AL284/$G$2</f>
        <v>1.0190217391304348</v>
      </c>
      <c r="H284" s="23"/>
      <c r="I284" s="23">
        <f>'Total and digestible IAA'!AN284/$I$2</f>
        <v>1.3560975609756099</v>
      </c>
      <c r="J284" s="23">
        <f>'Total and digestible IAA'!AO284/$J$2</f>
        <v>1.0117391304347827</v>
      </c>
      <c r="K284" s="23"/>
      <c r="L284" s="24">
        <f t="shared" si="8"/>
        <v>97.252316464718461</v>
      </c>
      <c r="M284" s="5" t="s">
        <v>526</v>
      </c>
      <c r="N284" s="5" t="s">
        <v>507</v>
      </c>
    </row>
    <row r="285" spans="1:14" x14ac:dyDescent="0.25">
      <c r="A285" s="5" t="str">
        <f>'IAA digestibility'!A285</f>
        <v>Black soldier fly larvae meal, defatted</v>
      </c>
      <c r="B285" s="5" t="str">
        <f>'IAA digestibility'!B285</f>
        <v>Animal products</v>
      </c>
      <c r="C285" s="23"/>
      <c r="D285" s="23">
        <f>'Total and digestible IAA'!AI285/$D$2</f>
        <v>1.0258823529411765</v>
      </c>
      <c r="E285" s="23">
        <f>'Total and digestible IAA'!AJ285/$E$2</f>
        <v>1.1489882352941179</v>
      </c>
      <c r="F285" s="23">
        <f>'Total and digestible IAA'!AK285/$F$2</f>
        <v>0.8745226615236259</v>
      </c>
      <c r="G285" s="23">
        <f>'Total and digestible IAA'!AL285/$G$2</f>
        <v>0.79566666666666686</v>
      </c>
      <c r="H285" s="23">
        <f>'Total and digestible IAA'!AM285/$H$2</f>
        <v>0.87682864450127895</v>
      </c>
      <c r="I285" s="23"/>
      <c r="J285" s="23">
        <f>'Total and digestible IAA'!AO285/$J$2</f>
        <v>1.0669176470588233</v>
      </c>
      <c r="K285" s="23">
        <f>'Total and digestible IAA'!AP285/$K$2</f>
        <v>1.3291764705882352</v>
      </c>
      <c r="L285" s="24">
        <f t="shared" si="8"/>
        <v>79.566666666666691</v>
      </c>
      <c r="M285" s="5" t="s">
        <v>8</v>
      </c>
      <c r="N285" s="5" t="s">
        <v>511</v>
      </c>
    </row>
    <row r="286" spans="1:14" x14ac:dyDescent="0.25">
      <c r="A286" s="5" t="str">
        <f>'IAA digestibility'!A286</f>
        <v>Black soldier fly larvae meal, full fat</v>
      </c>
      <c r="B286" s="5" t="str">
        <f>'IAA digestibility'!B286</f>
        <v>Animal products</v>
      </c>
      <c r="C286" s="23"/>
      <c r="D286" s="23">
        <f>'Total and digestible IAA'!AI286/$D$2</f>
        <v>0.89147058823529401</v>
      </c>
      <c r="E286" s="23">
        <f>'Total and digestible IAA'!AJ286/$E$2</f>
        <v>0.94431372549019621</v>
      </c>
      <c r="F286" s="23">
        <f>'Total and digestible IAA'!AK286/$F$2</f>
        <v>0.72522099003535834</v>
      </c>
      <c r="G286" s="23">
        <f>'Total and digestible IAA'!AL286/$G$2</f>
        <v>0.74159007352941175</v>
      </c>
      <c r="H286" s="23">
        <f>'Total and digestible IAA'!AM286/$H$2</f>
        <v>0.9960571184995739</v>
      </c>
      <c r="I286" s="23"/>
      <c r="J286" s="23">
        <f>'Total and digestible IAA'!AO286/$J$2</f>
        <v>0.95333333333333337</v>
      </c>
      <c r="K286" s="23">
        <f>'Total and digestible IAA'!AP286/$K$2</f>
        <v>1.0201746323529413</v>
      </c>
      <c r="L286" s="24">
        <f t="shared" si="8"/>
        <v>72.522099003535828</v>
      </c>
      <c r="M286" s="5" t="s">
        <v>526</v>
      </c>
      <c r="N286" s="5" t="s">
        <v>511</v>
      </c>
    </row>
    <row r="287" spans="1:14" x14ac:dyDescent="0.25">
      <c r="A287" s="5" t="str">
        <f>'IAA digestibility'!A287</f>
        <v>Corn/maize, yellow dent,  raw</v>
      </c>
      <c r="B287" s="5" t="str">
        <f>'IAA digestibility'!B287</f>
        <v xml:space="preserve">Cereals &amp; cereal products </v>
      </c>
      <c r="C287" s="23">
        <f>'Total and digestible IAA'!AH287/$C$2</f>
        <v>0.71328671328671334</v>
      </c>
      <c r="D287" s="23">
        <f>'Total and digestible IAA'!AI287/$D$2</f>
        <v>0.95343589743589729</v>
      </c>
      <c r="E287" s="23">
        <f>'Total and digestible IAA'!AJ287/$E$2</f>
        <v>0.81555555555555559</v>
      </c>
      <c r="F287" s="23">
        <f>'Total and digestible IAA'!AK287/$F$2</f>
        <v>1.4712904581757038</v>
      </c>
      <c r="G287" s="23">
        <f>'Total and digestible IAA'!AL287/$G$2</f>
        <v>0.45005341880341887</v>
      </c>
      <c r="H287" s="23">
        <f>'Total and digestible IAA'!AM287/$H$2</f>
        <v>1.5179487179487181</v>
      </c>
      <c r="I287" s="23"/>
      <c r="J287" s="23">
        <f>'Total and digestible IAA'!AO287/$J$2</f>
        <v>0.84807692307692317</v>
      </c>
      <c r="K287" s="23">
        <f>'Total and digestible IAA'!AP287/$K$2</f>
        <v>1.3377403846153848</v>
      </c>
      <c r="L287" s="24">
        <f t="shared" si="8"/>
        <v>45.005341880341888</v>
      </c>
      <c r="M287" s="5" t="s">
        <v>8</v>
      </c>
      <c r="N287" s="5" t="s">
        <v>519</v>
      </c>
    </row>
    <row r="288" spans="1:14" x14ac:dyDescent="0.25">
      <c r="A288" s="5" t="str">
        <f>'IAA digestibility'!A288</f>
        <v>Corn/maize, yellow dent, extruded</v>
      </c>
      <c r="B288" s="5" t="str">
        <f>'IAA digestibility'!B288</f>
        <v xml:space="preserve">Cereals &amp; cereal products </v>
      </c>
      <c r="C288" s="23">
        <f>'Total and digestible IAA'!AH288/$C$2</f>
        <v>0.93301435406698574</v>
      </c>
      <c r="D288" s="23">
        <f>'Total and digestible IAA'!AI288/$D$2</f>
        <v>1.1823157894736842</v>
      </c>
      <c r="E288" s="23">
        <f>'Total and digestible IAA'!AJ288/$E$2</f>
        <v>0.9671052631578948</v>
      </c>
      <c r="F288" s="23">
        <f>'Total and digestible IAA'!AK288/$F$2</f>
        <v>1.6615185504745473</v>
      </c>
      <c r="G288" s="23">
        <f>'Total and digestible IAA'!AL288/$G$2</f>
        <v>0.58182565789473684</v>
      </c>
      <c r="H288" s="23">
        <f>'Total and digestible IAA'!AM288/$H$2</f>
        <v>1.6430205949656753</v>
      </c>
      <c r="I288" s="23"/>
      <c r="J288" s="23">
        <f>'Total and digestible IAA'!AO288/$J$2</f>
        <v>1.0027960526315789</v>
      </c>
      <c r="K288" s="23">
        <f>'Total and digestible IAA'!AP288/$K$2</f>
        <v>1.5387335526315793</v>
      </c>
      <c r="L288" s="24">
        <f t="shared" si="8"/>
        <v>58.182565789473685</v>
      </c>
      <c r="M288" s="5" t="s">
        <v>8</v>
      </c>
      <c r="N288" s="5" t="s">
        <v>519</v>
      </c>
    </row>
    <row r="289" spans="1:14" x14ac:dyDescent="0.25">
      <c r="A289" s="5" t="str">
        <f>'IAA digestibility'!A289</f>
        <v>Wheat, hard red winter, raw</v>
      </c>
      <c r="B289" s="5" t="str">
        <f>'IAA digestibility'!B289</f>
        <v xml:space="preserve">Cereals &amp; cereal products </v>
      </c>
      <c r="C289" s="23">
        <f>'Total and digestible IAA'!AH289/$C$2</f>
        <v>1.4698449559456324</v>
      </c>
      <c r="D289" s="23">
        <f>'Total and digestible IAA'!AI289/$D$2</f>
        <v>0.85953418482344124</v>
      </c>
      <c r="E289" s="23">
        <f>'Total and digestible IAA'!AJ289/$E$2</f>
        <v>0.94214876033057848</v>
      </c>
      <c r="F289" s="23">
        <f>'Total and digestible IAA'!AK289/$F$2</f>
        <v>0.88883004273872723</v>
      </c>
      <c r="G289" s="23">
        <f>'Total and digestible IAA'!AL289/$G$2</f>
        <v>0.42092411720510897</v>
      </c>
      <c r="H289" s="23">
        <f>'Total and digestible IAA'!AM289/$H$2</f>
        <v>1.4501682291836799</v>
      </c>
      <c r="I289" s="23"/>
      <c r="J289" s="23">
        <f>'Total and digestible IAA'!AO289/$J$2</f>
        <v>0.85830202854996229</v>
      </c>
      <c r="K289" s="23">
        <f>'Total and digestible IAA'!AP289/$K$2</f>
        <v>1.2114951164537942</v>
      </c>
      <c r="L289" s="24">
        <f t="shared" si="8"/>
        <v>42.092411720510896</v>
      </c>
      <c r="M289" s="5" t="s">
        <v>8</v>
      </c>
      <c r="N289" s="5" t="s">
        <v>519</v>
      </c>
    </row>
    <row r="290" spans="1:14" x14ac:dyDescent="0.25">
      <c r="A290" s="5" t="str">
        <f>'IAA digestibility'!A290</f>
        <v>Wheat, hard red winter, extruded</v>
      </c>
      <c r="B290" s="5" t="str">
        <f>'IAA digestibility'!B290</f>
        <v xml:space="preserve">Cereals &amp; cereal products </v>
      </c>
      <c r="C290" s="23">
        <f>'Total and digestible IAA'!AH290/$C$2</f>
        <v>1.5295815295815296</v>
      </c>
      <c r="D290" s="23">
        <f>'Total and digestible IAA'!AI290/$D$2</f>
        <v>0.92940476190476207</v>
      </c>
      <c r="E290" s="23">
        <f>'Total and digestible IAA'!AJ290/$E$2</f>
        <v>0.984375</v>
      </c>
      <c r="F290" s="23">
        <f>'Total and digestible IAA'!AK290/$F$2</f>
        <v>0.92066744730679151</v>
      </c>
      <c r="G290" s="23">
        <f>'Total and digestible IAA'!AL290/$G$2</f>
        <v>0.45538814484126983</v>
      </c>
      <c r="H290" s="23">
        <f>'Total and digestible IAA'!AM290/$H$2</f>
        <v>1.4167637163561075</v>
      </c>
      <c r="I290" s="23"/>
      <c r="J290" s="23">
        <f>'Total and digestible IAA'!AO290/$J$2</f>
        <v>0.87676711309523792</v>
      </c>
      <c r="K290" s="23">
        <f>'Total and digestible IAA'!AP290/$K$2</f>
        <v>1.220703125</v>
      </c>
      <c r="L290" s="24">
        <f t="shared" si="8"/>
        <v>45.538814484126981</v>
      </c>
      <c r="M290" s="5" t="s">
        <v>8</v>
      </c>
      <c r="N290" s="5" t="s">
        <v>519</v>
      </c>
    </row>
    <row r="291" spans="1:14" x14ac:dyDescent="0.25">
      <c r="A291" s="5" t="str">
        <f>'IAA digestibility'!A291</f>
        <v>Sorghum, 1.6g/kg tannin, raw</v>
      </c>
      <c r="B291" s="5" t="str">
        <f>'IAA digestibility'!B291</f>
        <v xml:space="preserve">Cereals &amp; cereal products </v>
      </c>
      <c r="C291" s="23">
        <f>'Total and digestible IAA'!AH291/$C$2</f>
        <v>1.2341539738800014</v>
      </c>
      <c r="D291" s="23">
        <f>'Total and digestible IAA'!AI291/$D$2</f>
        <v>0.90942044257112742</v>
      </c>
      <c r="E291" s="23">
        <f>'Total and digestible IAA'!AJ291/$E$2</f>
        <v>0.97365648050579556</v>
      </c>
      <c r="F291" s="23">
        <f>'Total and digestible IAA'!AK291/$F$2</f>
        <v>1.7329717217433362</v>
      </c>
      <c r="G291" s="23">
        <f>'Total and digestible IAA'!AL291/$G$2</f>
        <v>0.30119423955040392</v>
      </c>
      <c r="H291" s="23">
        <f>'Total and digestible IAA'!AM291/$H$2</f>
        <v>1.2036926742108398</v>
      </c>
      <c r="I291" s="23"/>
      <c r="J291" s="23">
        <f>'Total and digestible IAA'!AO291/$J$2</f>
        <v>0.93532665964172812</v>
      </c>
      <c r="K291" s="23">
        <f>'Total and digestible IAA'!AP291/$K$2</f>
        <v>1.0089567966280295</v>
      </c>
      <c r="L291" s="24">
        <f t="shared" si="8"/>
        <v>30.119423955040393</v>
      </c>
      <c r="M291" s="5" t="s">
        <v>8</v>
      </c>
      <c r="N291" s="5" t="s">
        <v>519</v>
      </c>
    </row>
    <row r="292" spans="1:14" x14ac:dyDescent="0.25">
      <c r="A292" s="5" t="str">
        <f>'IAA digestibility'!A292</f>
        <v xml:space="preserve">Sorghum, 1.5g/kg tannin, extruded </v>
      </c>
      <c r="B292" s="5" t="str">
        <f>'IAA digestibility'!B292</f>
        <v xml:space="preserve">Cereals &amp; cereal products </v>
      </c>
      <c r="C292" s="23">
        <f>'Total and digestible IAA'!AH292/$C$2</f>
        <v>1.1429832303618712</v>
      </c>
      <c r="D292" s="23">
        <f>'Total and digestible IAA'!AI292/$D$2</f>
        <v>0.86947141316073351</v>
      </c>
      <c r="E292" s="23">
        <f>'Total and digestible IAA'!AJ292/$E$2</f>
        <v>0.91405969075871984</v>
      </c>
      <c r="F292" s="23">
        <f>'Total and digestible IAA'!AK292/$F$2</f>
        <v>1.5049427909526587</v>
      </c>
      <c r="G292" s="23">
        <f>'Total and digestible IAA'!AL292/$G$2</f>
        <v>0.33135562747213232</v>
      </c>
      <c r="H292" s="23">
        <f>'Total and digestible IAA'!AM292/$H$2</f>
        <v>1.090661788846677</v>
      </c>
      <c r="I292" s="23"/>
      <c r="J292" s="23">
        <f>'Total and digestible IAA'!AO292/$J$2</f>
        <v>0.87055016181229772</v>
      </c>
      <c r="K292" s="23">
        <f>'Total and digestible IAA'!AP292/$K$2</f>
        <v>0.92475728155339809</v>
      </c>
      <c r="L292" s="24">
        <f t="shared" si="8"/>
        <v>33.135562747213228</v>
      </c>
      <c r="M292" s="5" t="s">
        <v>8</v>
      </c>
      <c r="N292" s="5" t="s">
        <v>519</v>
      </c>
    </row>
    <row r="293" spans="1:14" s="6" customFormat="1" x14ac:dyDescent="0.25">
      <c r="C293" s="38"/>
      <c r="D293" s="38"/>
      <c r="E293" s="38"/>
      <c r="F293" s="38"/>
      <c r="G293" s="38"/>
      <c r="H293" s="38"/>
      <c r="I293" s="38"/>
      <c r="J293" s="38"/>
      <c r="K293" s="38"/>
      <c r="L293" s="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election activeCell="A5" sqref="A5"/>
    </sheetView>
  </sheetViews>
  <sheetFormatPr defaultRowHeight="15" x14ac:dyDescent="0.25"/>
  <cols>
    <col min="2" max="2" width="206.42578125" customWidth="1"/>
  </cols>
  <sheetData>
    <row r="1" spans="1:2" x14ac:dyDescent="0.25">
      <c r="A1" s="1" t="s">
        <v>34</v>
      </c>
    </row>
    <row r="2" spans="1:2" x14ac:dyDescent="0.25">
      <c r="A2">
        <v>1</v>
      </c>
      <c r="B2" t="s">
        <v>35</v>
      </c>
    </row>
    <row r="3" spans="1:2" x14ac:dyDescent="0.25">
      <c r="A3">
        <v>2</v>
      </c>
      <c r="B3" t="s">
        <v>124</v>
      </c>
    </row>
    <row r="4" spans="1:2" x14ac:dyDescent="0.25">
      <c r="A4">
        <v>3</v>
      </c>
      <c r="B4" t="s">
        <v>36</v>
      </c>
    </row>
    <row r="5" spans="1:2" x14ac:dyDescent="0.25">
      <c r="A5">
        <v>4</v>
      </c>
      <c r="B5" t="s">
        <v>37</v>
      </c>
    </row>
    <row r="6" spans="1:2" x14ac:dyDescent="0.25">
      <c r="A6">
        <v>5</v>
      </c>
      <c r="B6" t="s">
        <v>38</v>
      </c>
    </row>
    <row r="7" spans="1:2" x14ac:dyDescent="0.25">
      <c r="A7">
        <v>6</v>
      </c>
      <c r="B7" t="s">
        <v>219</v>
      </c>
    </row>
    <row r="8" spans="1:2" x14ac:dyDescent="0.25">
      <c r="A8">
        <v>7</v>
      </c>
      <c r="B8" t="s">
        <v>231</v>
      </c>
    </row>
    <row r="9" spans="1:2" x14ac:dyDescent="0.25">
      <c r="A9">
        <v>8</v>
      </c>
      <c r="B9" t="s">
        <v>244</v>
      </c>
    </row>
    <row r="10" spans="1:2" x14ac:dyDescent="0.25">
      <c r="A10">
        <v>9</v>
      </c>
      <c r="B10" t="s">
        <v>254</v>
      </c>
    </row>
    <row r="11" spans="1:2" x14ac:dyDescent="0.25">
      <c r="A11">
        <v>10</v>
      </c>
      <c r="B11" t="s">
        <v>259</v>
      </c>
    </row>
    <row r="12" spans="1:2" x14ac:dyDescent="0.25">
      <c r="A12">
        <v>11</v>
      </c>
      <c r="B12" t="s">
        <v>263</v>
      </c>
    </row>
    <row r="13" spans="1:2" x14ac:dyDescent="0.25">
      <c r="A13">
        <v>12</v>
      </c>
      <c r="B13" t="s">
        <v>269</v>
      </c>
    </row>
    <row r="14" spans="1:2" x14ac:dyDescent="0.25">
      <c r="A14">
        <v>13</v>
      </c>
      <c r="B14" t="s">
        <v>271</v>
      </c>
    </row>
    <row r="15" spans="1:2" x14ac:dyDescent="0.25">
      <c r="A15">
        <v>14</v>
      </c>
      <c r="B15" t="s">
        <v>273</v>
      </c>
    </row>
    <row r="16" spans="1:2" x14ac:dyDescent="0.25">
      <c r="A16">
        <v>15</v>
      </c>
      <c r="B16" t="s">
        <v>274</v>
      </c>
    </row>
    <row r="17" spans="1:2" x14ac:dyDescent="0.25">
      <c r="A17">
        <v>16</v>
      </c>
      <c r="B17" t="s">
        <v>336</v>
      </c>
    </row>
    <row r="18" spans="1:2" x14ac:dyDescent="0.25">
      <c r="A18">
        <v>17</v>
      </c>
      <c r="B18" t="s">
        <v>365</v>
      </c>
    </row>
    <row r="19" spans="1:2" x14ac:dyDescent="0.25">
      <c r="A19">
        <v>18</v>
      </c>
      <c r="B19" t="s">
        <v>370</v>
      </c>
    </row>
    <row r="20" spans="1:2" x14ac:dyDescent="0.25">
      <c r="A20">
        <v>19</v>
      </c>
      <c r="B20" t="s">
        <v>372</v>
      </c>
    </row>
    <row r="21" spans="1:2" x14ac:dyDescent="0.25">
      <c r="A21">
        <v>20</v>
      </c>
      <c r="B21" t="s">
        <v>375</v>
      </c>
    </row>
    <row r="22" spans="1:2" x14ac:dyDescent="0.25">
      <c r="A22">
        <v>21</v>
      </c>
      <c r="B22" t="s">
        <v>392</v>
      </c>
    </row>
    <row r="23" spans="1:2" x14ac:dyDescent="0.25">
      <c r="A23">
        <v>22</v>
      </c>
      <c r="B23" t="s">
        <v>404</v>
      </c>
    </row>
    <row r="24" spans="1:2" x14ac:dyDescent="0.25">
      <c r="A24">
        <v>23</v>
      </c>
      <c r="B24" t="s">
        <v>421</v>
      </c>
    </row>
    <row r="25" spans="1:2" x14ac:dyDescent="0.25">
      <c r="A25">
        <v>24</v>
      </c>
      <c r="B25" t="s">
        <v>420</v>
      </c>
    </row>
    <row r="26" spans="1:2" x14ac:dyDescent="0.25">
      <c r="A26">
        <v>25</v>
      </c>
      <c r="B26" t="s">
        <v>426</v>
      </c>
    </row>
    <row r="27" spans="1:2" x14ac:dyDescent="0.25">
      <c r="A27">
        <v>26</v>
      </c>
      <c r="B27" t="s">
        <v>441</v>
      </c>
    </row>
    <row r="28" spans="1:2" x14ac:dyDescent="0.25">
      <c r="A28">
        <v>27</v>
      </c>
      <c r="B28" t="s">
        <v>442</v>
      </c>
    </row>
    <row r="29" spans="1:2" x14ac:dyDescent="0.25">
      <c r="A29">
        <v>28</v>
      </c>
      <c r="B29" t="s">
        <v>445</v>
      </c>
    </row>
    <row r="30" spans="1:2" x14ac:dyDescent="0.25">
      <c r="A30">
        <v>29</v>
      </c>
      <c r="B30" t="s">
        <v>455</v>
      </c>
    </row>
    <row r="31" spans="1:2" x14ac:dyDescent="0.25">
      <c r="A31">
        <v>30</v>
      </c>
      <c r="B31" s="29" t="s">
        <v>502</v>
      </c>
    </row>
    <row r="32" spans="1:2" x14ac:dyDescent="0.25">
      <c r="A32">
        <v>31</v>
      </c>
      <c r="B32" t="s">
        <v>510</v>
      </c>
    </row>
    <row r="33" spans="1:2" x14ac:dyDescent="0.25">
      <c r="A33">
        <v>32</v>
      </c>
      <c r="B33" t="s">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vt:lpstr>
      <vt:lpstr>IAA digestibility</vt:lpstr>
      <vt:lpstr>Total and digestible IAA</vt:lpstr>
      <vt:lpstr>DIAAS (birth to 6 months)</vt:lpstr>
      <vt:lpstr>DIAAS (6 months to 3 yrs)</vt:lpstr>
      <vt:lpstr>DIAAS (older child, adolescent,</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 Muleya</dc:creator>
  <cp:lastModifiedBy>Molly Muleya</cp:lastModifiedBy>
  <dcterms:created xsi:type="dcterms:W3CDTF">2015-06-05T18:17:20Z</dcterms:created>
  <dcterms:modified xsi:type="dcterms:W3CDTF">2021-11-26T12:39:40Z</dcterms:modified>
</cp:coreProperties>
</file>